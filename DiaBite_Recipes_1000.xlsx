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'Recipes'!$A$1:$AC$1359</definedName>
    <definedName name="_xlnm._FilterDatabase" localSheetId="1" hidden="1">'Ingredients'!$A$1:$Q$365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row r="1002" ht="96" customHeight="1">
      <c r="A1002" s="2" t="inlineStr">
        <is>
          <t>DB-1001</t>
        </is>
      </c>
      <c r="B1002" s="3" t="inlineStr">
        <is>
          <t>Diner Veggie Omelet with Cheddar</t>
        </is>
      </c>
      <c r="C1002" s="4" t="inlineStr">
        <is>
          <t>Breakfast</t>
        </is>
      </c>
      <c r="D1002" s="4" t="inlineStr">
        <is>
          <t>American</t>
        </is>
      </c>
      <c r="E1002" s="2" t="n">
        <v>2</v>
      </c>
      <c r="F1002" s="2" t="n">
        <v>10</v>
      </c>
      <c r="G1002" s="2" t="n">
        <v>8</v>
      </c>
      <c r="H1002" s="2" t="n">
        <v>18</v>
      </c>
      <c r="I1002" s="4" t="inlineStr">
        <is>
          <t>diner-veggie-omelet-with-cheddar.jpg</t>
        </is>
      </c>
      <c r="J1002" s="3" t="inlineStr">
        <is>
          <t>Diner Veggie Omelet with Cheddar, healthy food photography, plated, natural light</t>
        </is>
      </c>
      <c r="K1002" s="4" t="inlineStr"/>
      <c r="L1002" s="3" t="inlineStr">
        <is>
          <t>Egg, large (50 g each) — 300 g (10.6 oz)
Bell pepper — 100 g (3.5 oz)
Mushrooms (cremini/white) — 100 g (3.5 oz)
Yellow onion — 40 g (1.4 oz)
Cheddar cheese — 40 g (1.4 oz)
Extra-virgin olive oil — 10 g (0.4 oz)
Salt — 2 g (0.1 oz)
Black pepper — 1 g (0.0 oz)</t>
        </is>
      </c>
      <c r="M1002" s="4" t="inlineStr">
        <is>
          <t>[{"ingredient_id": "egg", "name": "Egg, large (50 g each)", "grams": 300.0, "note": ""}, {"ingredient_id": "bell_pepper", "name": "Bell pepper", "grams": 100.0, "note": ""}, {"ingredient_id": "mushrooms", "name": "Mushrooms (cremini/white)", "grams": 100.0, "note": ""}, {"ingredient_id": "onion", "name": "Yellow onion", "grams": 40.0, "note": ""}, {"ingredient_id": "cheddar", "name": "Cheddar cheese", "grams": 40.0, "note": ""}, {"ingredient_id": "olive_oil", "name": "Extra-virgin olive oil", "grams": 10.0, "note": ""}, {"ingredient_id": "salt", "name": "Salt", "grams": 2.0, "note": ""}, {"ingredient_id": "black_pepper", "name": "Black pepper", "grams": 1.0, "note": ""}]</t>
        </is>
      </c>
      <c r="N1002" s="2" t="n">
        <v>375</v>
      </c>
      <c r="O1002" s="5" t="n">
        <v>25.8</v>
      </c>
      <c r="P1002" s="5" t="n">
        <v>26.2</v>
      </c>
      <c r="Q1002" s="5" t="n">
        <v>8.1</v>
      </c>
      <c r="R1002" s="5" t="n">
        <v>2</v>
      </c>
      <c r="S1002" s="5" t="n">
        <v>6.1</v>
      </c>
      <c r="T1002" s="2" t="n">
        <v>12</v>
      </c>
      <c r="U1002" s="2" t="inlineStr">
        <is>
          <t>low</t>
        </is>
      </c>
      <c r="V1002" s="5" t="n">
        <v>0.7</v>
      </c>
      <c r="W1002" s="2" t="inlineStr">
        <is>
          <t>low</t>
        </is>
      </c>
      <c r="X1002" s="3" t="inlineStr"/>
      <c r="Y1002" s="3" t="inlineStr">
        <is>
          <t>0% of this dish's available carbohydrate comes from ingredients with a published, measured GI; the rest uses conventional placeholders (see Ingredients sheet)</t>
        </is>
      </c>
      <c r="Z1002" s="2" t="n">
        <v>0</v>
      </c>
      <c r="AA1002" s="3" t="inlineStr">
        <is>
          <t>vegetarian, gluten-free, nut-free, low-carb, high-protein</t>
        </is>
      </c>
      <c r="AB1002" s="3" t="inlineStr">
        <is>
          <t>1. Sauté the pepper, mushrooms and onion in half the oil until soft; set aside.
2. Beat the eggs with salt and pepper and cook in the rest of the oil over medium heat.
3. When nearly set, add the vegetables and cheddar to one half and fold.
4. Slide onto a plate and serve hot.</t>
        </is>
      </c>
      <c r="AC1002" s="4" t="inlineStr">
        <is>
          <t>["Sauté the pepper, mushrooms and onion in half the oil until soft; set aside.", "Beat the eggs with salt and pepper and cook in the rest of the oil over medium heat.", "When nearly set, add the vegetables and cheddar to one half and fold.", "Slide onto a plate and serve hot."]</t>
        </is>
      </c>
    </row>
    <row r="1003" ht="96" customHeight="1">
      <c r="A1003" s="2" t="inlineStr">
        <is>
          <t>DB-1002</t>
        </is>
      </c>
      <c r="B1003" s="3" t="inlineStr">
        <is>
          <t>Denver Scramble</t>
        </is>
      </c>
      <c r="C1003" s="4" t="inlineStr">
        <is>
          <t>Breakfast</t>
        </is>
      </c>
      <c r="D1003" s="4" t="inlineStr">
        <is>
          <t>American</t>
        </is>
      </c>
      <c r="E1003" s="2" t="n">
        <v>2</v>
      </c>
      <c r="F1003" s="2" t="n">
        <v>10</v>
      </c>
      <c r="G1003" s="2" t="n">
        <v>10</v>
      </c>
      <c r="H1003" s="2" t="n">
        <v>20</v>
      </c>
      <c r="I1003" s="4" t="inlineStr">
        <is>
          <t>denver-scramble.jpg</t>
        </is>
      </c>
      <c r="J1003" s="3" t="inlineStr">
        <is>
          <t>Denver Scramble, healthy food photography, plated, natural light</t>
        </is>
      </c>
      <c r="K1003" s="4" t="inlineStr"/>
      <c r="L1003" s="3" t="inlineStr">
        <is>
          <t>Egg, large (50 g each) — 300 g (10.6 oz)
Ham, lean — 80 g (2.8 oz)
Bell pepper — 100 g (3.5 oz)
Yellow onion — 50 g (1.8 oz)
Extra-virgin olive oil — 10 g (0.4 oz)
Black pepper — 1 g (0.0 oz)
Fresh chives — 3 g (0.1 oz)</t>
        </is>
      </c>
      <c r="M1003" s="4" t="inlineStr">
        <is>
          <t>[{"ingredient_id": "egg", "name": "Egg, large (50 g each)", "grams": 300.0, "note": ""}, {"ingredient_id": "ham", "name": "Ham, lean", "grams": 80.0, "note": ""}, {"ingredient_id": "bell_pepper", "name": "Bell pepper", "grams": 100.0, "note": ""}, {"ingredient_id": "onion", "name": "Yellow onion", "grams": 50.0, "note": ""}, {"ingredient_id": "olive_oil", "name": "Extra-virgin olive oil", "grams": 10.0, "note": ""}, {"ingredient_id": "black_pepper", "name": "Black pepper", "grams": 1.0, "note": ""}, {"ingredient_id": "chives", "name": "Fresh chives", "grams": 3.0, "note": ""}]</t>
        </is>
      </c>
      <c r="N1003" s="2" t="n">
        <v>344</v>
      </c>
      <c r="O1003" s="5" t="n">
        <v>28.2</v>
      </c>
      <c r="P1003" s="5" t="n">
        <v>21.9</v>
      </c>
      <c r="Q1003" s="5" t="n">
        <v>7.4</v>
      </c>
      <c r="R1003" s="5" t="n">
        <v>1.6</v>
      </c>
      <c r="S1003" s="5" t="n">
        <v>5.7</v>
      </c>
      <c r="T1003" s="2" t="n">
        <v>11</v>
      </c>
      <c r="U1003" s="2" t="inlineStr">
        <is>
          <t>low</t>
        </is>
      </c>
      <c r="V1003" s="5" t="n">
        <v>0.6</v>
      </c>
      <c r="W1003" s="2" t="inlineStr">
        <is>
          <t>low</t>
        </is>
      </c>
      <c r="X1003" s="3" t="inlineStr"/>
      <c r="Y1003" s="3" t="inlineStr">
        <is>
          <t>0% of this dish's available carbohydrate comes from ingredients with a published, measured GI; the rest uses conventional placeholders (see Ingredients sheet)</t>
        </is>
      </c>
      <c r="Z1003" s="2" t="n">
        <v>0</v>
      </c>
      <c r="AA1003" s="3" t="inlineStr">
        <is>
          <t>gluten-free, dairy-free, nut-free, low-carb, high-protein</t>
        </is>
      </c>
      <c r="AB1003" s="3" t="inlineStr">
        <is>
          <t>1. Dice the ham, pepper and onion.
2. Sauté them in oil for 4 minutes.
3. Pour in the beaten eggs and stir gently until just set.
4. Finish with pepper and chives.</t>
        </is>
      </c>
      <c r="AC1003" s="4" t="inlineStr">
        <is>
          <t>["Dice the ham, pepper and onion.", "Sauté them in oil for 4 minutes.", "Pour in the beaten eggs and stir gently until just set.", "Finish with pepper and chives."]</t>
        </is>
      </c>
    </row>
    <row r="1004" ht="96" customHeight="1">
      <c r="A1004" s="2" t="inlineStr">
        <is>
          <t>DB-1003</t>
        </is>
      </c>
      <c r="B1004" s="3" t="inlineStr">
        <is>
          <t>Egg and Turkey Sausage Breakfast Sandwich</t>
        </is>
      </c>
      <c r="C1004" s="4" t="inlineStr">
        <is>
          <t>Breakfast</t>
        </is>
      </c>
      <c r="D1004" s="4" t="inlineStr">
        <is>
          <t>American</t>
        </is>
      </c>
      <c r="E1004" s="2" t="n">
        <v>2</v>
      </c>
      <c r="F1004" s="2" t="n">
        <v>5</v>
      </c>
      <c r="G1004" s="2" t="n">
        <v>10</v>
      </c>
      <c r="H1004" s="2" t="n">
        <v>15</v>
      </c>
      <c r="I1004" s="4" t="inlineStr">
        <is>
          <t>egg-and-turkey-sausage-breakfast-sandwich.jpg</t>
        </is>
      </c>
      <c r="J1004" s="3" t="inlineStr">
        <is>
          <t>Egg and Turkey Sausage Breakfast Sandwich, healthy food photography, plated, natural light</t>
        </is>
      </c>
      <c r="K1004" s="4" t="inlineStr"/>
      <c r="L1004" s="3" t="inlineStr">
        <is>
          <t>Whole wheat English muffin — 114 g (4.0 oz)
Egg, large (50 g each) — 100 g (3.5 oz)
Turkey sausage — 100 g (3.5 oz)
Cheddar cheese — 30 g (1.1 oz)
Spinach — 30 g (1.1 oz)
Extra-virgin olive oil — 5 g (0.2 oz)</t>
        </is>
      </c>
      <c r="M1004" s="4" t="inlineStr">
        <is>
          <t>[{"ingredient_id": "whole_wheat_english_muffin", "name": "Whole wheat English muffin", "grams": 114.0, "note": ""}, {"ingredient_id": "egg", "name": "Egg, large (50 g each)", "grams": 100.0, "note": ""}, {"ingredient_id": "turkey_sausage", "name": "Turkey sausage", "grams": 100.0, "note": ""}, {"ingredient_id": "cheddar", "name": "Cheddar cheese", "grams": 30.0, "note": ""}, {"ingredient_id": "spinach", "name": "Spinach", "grams": 30.0, "note": ""}, {"ingredient_id": "olive_oil", "name": "Extra-virgin olive oil", "grams": 5.0, "note": ""}]</t>
        </is>
      </c>
      <c r="N1004" s="2" t="n">
        <v>360</v>
      </c>
      <c r="O1004" s="5" t="n">
        <v>22.8</v>
      </c>
      <c r="P1004" s="5" t="n">
        <v>18.4</v>
      </c>
      <c r="Q1004" s="5" t="n">
        <v>27.7</v>
      </c>
      <c r="R1004" s="5" t="n">
        <v>4.3</v>
      </c>
      <c r="S1004" s="5" t="n">
        <v>23.4</v>
      </c>
      <c r="T1004" s="2" t="n">
        <v>42</v>
      </c>
      <c r="U1004" s="2" t="inlineStr">
        <is>
          <t>low</t>
        </is>
      </c>
      <c r="V1004" s="5" t="n">
        <v>9.800000000000001</v>
      </c>
      <c r="W1004" s="2" t="inlineStr">
        <is>
          <t>low</t>
        </is>
      </c>
      <c r="X1004" s="3" t="inlineStr"/>
      <c r="Y1004" s="3" t="inlineStr">
        <is>
          <t>93% of this dish's available carbohydrate comes from ingredients with a published, measured GI; the rest uses conventional placeholders (see Ingredients sheet)</t>
        </is>
      </c>
      <c r="Z1004" s="2" t="n">
        <v>93</v>
      </c>
      <c r="AA1004" s="3" t="inlineStr">
        <is>
          <t>nut-free</t>
        </is>
      </c>
      <c r="AB1004" s="3" t="inlineStr">
        <is>
          <t>1. Shape the sausage into two thin patties and brown 3 minutes a side.
2. Fry the eggs in the oil.
3. Toast the muffins.
4. Layer sausage, egg, cheddar and spinach in each muffin.</t>
        </is>
      </c>
      <c r="AC1004" s="4" t="inlineStr">
        <is>
          <t>["Shape the sausage into two thin patties and brown 3 minutes a side.", "Fry the eggs in the oil.", "Toast the muffins.", "Layer sausage, egg, cheddar and spinach in each muffin."]</t>
        </is>
      </c>
    </row>
    <row r="1005" ht="96" customHeight="1">
      <c r="A1005" s="2" t="inlineStr">
        <is>
          <t>DB-1004</t>
        </is>
      </c>
      <c r="B1005" s="3" t="inlineStr">
        <is>
          <t>Huevos Rancheros Bowl</t>
        </is>
      </c>
      <c r="C1005" s="4" t="inlineStr">
        <is>
          <t>Breakfast</t>
        </is>
      </c>
      <c r="D1005" s="4" t="inlineStr">
        <is>
          <t>Tex-Mex</t>
        </is>
      </c>
      <c r="E1005" s="2" t="n">
        <v>2</v>
      </c>
      <c r="F1005" s="2" t="n">
        <v>10</v>
      </c>
      <c r="G1005" s="2" t="n">
        <v>12</v>
      </c>
      <c r="H1005" s="2" t="n">
        <v>22</v>
      </c>
      <c r="I1005" s="4" t="inlineStr">
        <is>
          <t>huevos-rancheros-bowl.jpg</t>
        </is>
      </c>
      <c r="J1005" s="3" t="inlineStr">
        <is>
          <t>Huevos Rancheros Bowl, healthy food photography, plated, natural light</t>
        </is>
      </c>
      <c r="K1005" s="4" t="inlineStr"/>
      <c r="L1005" s="3" t="inlineStr">
        <is>
          <t>Egg, large (50 g each) — 200 g (7.1 oz)
Pinto beans, cooked — 200 g (7.1 oz)
Salsa, no sugar added — 120 g (4.2 oz)
Avocado — 70 g (2.5 oz)
Cotija cheese — 20 g (0.7 oz)
Fresh cilantro — 5 g (0.2 oz)
Extra-virgin olive oil — 5 g (0.2 oz)</t>
        </is>
      </c>
      <c r="M1005" s="4" t="inlineStr">
        <is>
          <t>[{"ingredient_id": "egg", "name": "Egg, large (50 g each)", "grams": 200.0, "note": ""}, {"ingredient_id": "pinto_beans", "name": "Pinto beans, cooked", "grams": 200.0, "note": ""}, {"ingredient_id": "salsa", "name": "Salsa, no sugar added", "grams": 120.0, "note": ""}, {"ingredient_id": "avocado", "name": "Avocado", "grams": 70.0, "note": ""}, {"ingredient_id": "cotija", "name": "Cotija cheese", "grams": 20.0, "note": ""}, {"ingredient_id": "cilantro", "name": "Fresh cilantro", "grams": 5.0, "note": ""}, {"ingredient_id": "olive_oil", "name": "Extra-virgin olive oil", "grams": 5.0, "note": ""}]</t>
        </is>
      </c>
      <c r="N1005" s="2" t="n">
        <v>423</v>
      </c>
      <c r="O1005" s="5" t="n">
        <v>25.3</v>
      </c>
      <c r="P1005" s="5" t="n">
        <v>21</v>
      </c>
      <c r="Q1005" s="5" t="n">
        <v>34.4</v>
      </c>
      <c r="R1005" s="5" t="n">
        <v>12.3</v>
      </c>
      <c r="S1005" s="5" t="n">
        <v>22.1</v>
      </c>
      <c r="T1005" s="2" t="n">
        <v>30</v>
      </c>
      <c r="U1005" s="2" t="inlineStr">
        <is>
          <t>low</t>
        </is>
      </c>
      <c r="V1005" s="5" t="n">
        <v>6.6</v>
      </c>
      <c r="W1005" s="2" t="inlineStr">
        <is>
          <t>low</t>
        </is>
      </c>
      <c r="X1005" s="3" t="inlineStr"/>
      <c r="Y1005" s="3" t="inlineStr">
        <is>
          <t>77% of this dish's available carbohydrate comes from ingredients with a published, measured GI; the rest uses conventional placeholders (see Ingredients sheet)</t>
        </is>
      </c>
      <c r="Z1005" s="2" t="n">
        <v>77</v>
      </c>
      <c r="AA1005" s="3" t="inlineStr">
        <is>
          <t>vegetarian, gluten-free, nut-free, high-protein, high-fiber</t>
        </is>
      </c>
      <c r="AB1005" s="3" t="inlineStr">
        <is>
          <t>1. Warm the beans with a third of the salsa.
2. Fry the eggs in the oil until the whites are set.
3. Spoon the beans into bowls and top with eggs.
4. Finish with the rest of the salsa, avocado, cotija and cilantro.</t>
        </is>
      </c>
      <c r="AC1005" s="4" t="inlineStr">
        <is>
          <t>["Warm the beans with a third of the salsa.", "Fry the eggs in the oil until the whites are set.", "Spoon the beans into bowls and top with eggs.", "Finish with the rest of the salsa, avocado, cotija and cilantro."]</t>
        </is>
      </c>
    </row>
    <row r="1006" ht="96" customHeight="1">
      <c r="A1006" s="2" t="inlineStr">
        <is>
          <t>DB-1005</t>
        </is>
      </c>
      <c r="B1006" s="3" t="inlineStr">
        <is>
          <t>Greek Yogurt Parfait with Berries and Pecans</t>
        </is>
      </c>
      <c r="C1006" s="4" t="inlineStr">
        <is>
          <t>Breakfast</t>
        </is>
      </c>
      <c r="D1006" s="4" t="inlineStr">
        <is>
          <t>American</t>
        </is>
      </c>
      <c r="E1006" s="2" t="n">
        <v>2</v>
      </c>
      <c r="F1006" s="2" t="n">
        <v>5</v>
      </c>
      <c r="G1006" s="2" t="n">
        <v>0</v>
      </c>
      <c r="H1006" s="2" t="n">
        <v>5</v>
      </c>
      <c r="I1006" s="4" t="inlineStr">
        <is>
          <t>greek-yogurt-parfait-with-berries-and-pecans.jpg</t>
        </is>
      </c>
      <c r="J1006" s="3" t="inlineStr">
        <is>
          <t>Greek Yogurt Parfait with Berries and Pecans, healthy food photography, plated, natural light</t>
        </is>
      </c>
      <c r="K1006" s="4" t="inlineStr"/>
      <c r="L1006" s="3" t="inlineStr">
        <is>
          <t>Greek yogurt, plain 2% — 400 g (14.1 oz)
Mixed berries, frozen — 150 g (5.3 oz)
Pecans — 25 g (0.9 oz)
Ground cinnamon — 1 g (0.0 oz)
Vanilla extract — 3 g (0.1 oz)</t>
        </is>
      </c>
      <c r="M1006" s="4" t="inlineStr">
        <is>
          <t>[{"ingredient_id": "greek_yogurt", "name": "Greek yogurt, plain 2%", "grams": 400.0, "note": ""}, {"ingredient_id": "mixed_berries", "name": "Mixed berries, frozen", "grams": 150.0, "note": ""}, {"ingredient_id": "pecans", "name": "Pecans", "grams": 25.0, "note": ""}, {"ingredient_id": "cinnamon", "name": "Ground cinnamon", "grams": 1.0, "note": ""}, {"ingredient_id": "vanilla_extract", "name": "Vanilla extract", "grams": 3.0, "note": ""}]</t>
        </is>
      </c>
      <c r="N1006" s="2" t="n">
        <v>272</v>
      </c>
      <c r="O1006" s="5" t="n">
        <v>21.7</v>
      </c>
      <c r="P1006" s="5" t="n">
        <v>13.3</v>
      </c>
      <c r="Q1006" s="5" t="n">
        <v>18.6</v>
      </c>
      <c r="R1006" s="5" t="n">
        <v>4.5</v>
      </c>
      <c r="S1006" s="5" t="n">
        <v>14.1</v>
      </c>
      <c r="T1006" s="2" t="n">
        <v>22</v>
      </c>
      <c r="U1006" s="2" t="inlineStr">
        <is>
          <t>low</t>
        </is>
      </c>
      <c r="V1006" s="5" t="n">
        <v>3.1</v>
      </c>
      <c r="W1006" s="2" t="inlineStr">
        <is>
          <t>low</t>
        </is>
      </c>
      <c r="X1006" s="3" t="inlineStr"/>
      <c r="Y1006" s="3" t="inlineStr">
        <is>
          <t>57% of this dish's available carbohydrate comes from ingredients with a published, measured GI; the rest uses conventional placeholders (see Ingredients sheet)</t>
        </is>
      </c>
      <c r="Z1006" s="2" t="n">
        <v>57</v>
      </c>
      <c r="AA1006" s="3" t="inlineStr">
        <is>
          <t>vegetarian, gluten-free, low-carb, no-cook</t>
        </is>
      </c>
      <c r="AB1006" s="3" t="inlineStr">
        <is>
          <t>1. Stir the vanilla and cinnamon into the yogurt.
2. Layer yogurt and berries in two glasses.
3. Top with chopped pecans.</t>
        </is>
      </c>
      <c r="AC1006" s="4" t="inlineStr">
        <is>
          <t>["Stir the vanilla and cinnamon into the yogurt.", "Layer yogurt and berries in two glasses.", "Top with chopped pecans."]</t>
        </is>
      </c>
    </row>
    <row r="1007" ht="96" customHeight="1">
      <c r="A1007" s="2" t="inlineStr">
        <is>
          <t>DB-1006</t>
        </is>
      </c>
      <c r="B1007" s="3" t="inlineStr">
        <is>
          <t>Blueberry Protein Pancakes</t>
        </is>
      </c>
      <c r="C1007" s="4" t="inlineStr">
        <is>
          <t>Breakfast</t>
        </is>
      </c>
      <c r="D1007" s="4" t="inlineStr">
        <is>
          <t>American</t>
        </is>
      </c>
      <c r="E1007" s="2" t="n">
        <v>3</v>
      </c>
      <c r="F1007" s="2" t="n">
        <v>10</v>
      </c>
      <c r="G1007" s="2" t="n">
        <v>12</v>
      </c>
      <c r="H1007" s="2" t="n">
        <v>22</v>
      </c>
      <c r="I1007" s="4" t="inlineStr">
        <is>
          <t>blueberry-protein-pancakes.jpg</t>
        </is>
      </c>
      <c r="J1007" s="3" t="inlineStr">
        <is>
          <t>Blueberry Protein Pancakes, healthy food photography, plated, natural light</t>
        </is>
      </c>
      <c r="K1007" s="4" t="inlineStr"/>
      <c r="L1007" s="3" t="inlineStr">
        <is>
          <t>Oat flour — 90 g (3.2 oz)
Egg, large (50 g each) — 150 g (5.3 oz)
Greek yogurt, plain 2% — 150 g (5.3 oz)
Blueberries — 100 g (3.5 oz)
Baking powder — 4 g (0.1 oz)
Vanilla extract — 3 g (0.1 oz)
Butter — 10 g (0.4 oz)</t>
        </is>
      </c>
      <c r="M1007" s="4" t="inlineStr">
        <is>
          <t>[{"ingredient_id": "oat_flour", "name": "Oat flour", "grams": 90.0, "note": ""}, {"ingredient_id": "egg", "name": "Egg, large (50 g each)", "grams": 150.0, "note": ""}, {"ingredient_id": "greek_yogurt", "name": "Greek yogurt, plain 2%", "grams": 150.0, "note": ""}, {"ingredient_id": "blueberries", "name": "Blueberries", "grams": 100.0, "note": ""}, {"ingredient_id": "baking_powder", "name": "Baking powder", "grams": 4.0, "note": ""}, {"ingredient_id": "vanilla_extract", "name": "Vanilla extract", "grams": 3.0, "note": ""}, {"ingredient_id": "butter", "name": "Butter", "grams": 10.0, "note": ""}]</t>
        </is>
      </c>
      <c r="N1007" s="2" t="n">
        <v>276</v>
      </c>
      <c r="O1007" s="5" t="n">
        <v>16.1</v>
      </c>
      <c r="P1007" s="5" t="n">
        <v>11.2</v>
      </c>
      <c r="Q1007" s="5" t="n">
        <v>27.5</v>
      </c>
      <c r="R1007" s="5" t="n">
        <v>2.8</v>
      </c>
      <c r="S1007" s="5" t="n">
        <v>24.7</v>
      </c>
      <c r="T1007" s="2" t="n">
        <v>49</v>
      </c>
      <c r="U1007" s="2" t="inlineStr">
        <is>
          <t>low</t>
        </is>
      </c>
      <c r="V1007" s="5" t="n">
        <v>12.1</v>
      </c>
      <c r="W1007" s="2" t="inlineStr">
        <is>
          <t>medium</t>
        </is>
      </c>
      <c r="X1007" s="3" t="inlineStr"/>
      <c r="Y1007" s="3" t="inlineStr">
        <is>
          <t>24% of this dish's available carbohydrate comes from ingredients with a published, measured GI; the rest uses conventional placeholders (see Ingredients sheet)</t>
        </is>
      </c>
      <c r="Z1007" s="2" t="n">
        <v>24</v>
      </c>
      <c r="AA1007" s="3" t="inlineStr">
        <is>
          <t>vegetarian, nut-free</t>
        </is>
      </c>
      <c r="AB1007" s="3" t="inlineStr">
        <is>
          <t>1. Whisk the oat flour, baking powder, eggs, yogurt and vanilla into a thick batter.
2. Fold in the blueberries.
3. Cook small pancakes in a buttered pan, 2 minutes a side.
4. Serve warm.</t>
        </is>
      </c>
      <c r="AC1007" s="4" t="inlineStr">
        <is>
          <t>["Whisk the oat flour, baking powder, eggs, yogurt and vanilla into a thick batter.", "Fold in the blueberries.", "Cook small pancakes in a buttered pan, 2 minutes a side.", "Serve warm."]</t>
        </is>
      </c>
    </row>
    <row r="1008" ht="96" customHeight="1">
      <c r="A1008" s="2" t="inlineStr">
        <is>
          <t>DB-1007</t>
        </is>
      </c>
      <c r="B1008" s="3" t="inlineStr">
        <is>
          <t>Almond Flour Waffles with Strawberries</t>
        </is>
      </c>
      <c r="C1008" s="4" t="inlineStr">
        <is>
          <t>Breakfast</t>
        </is>
      </c>
      <c r="D1008" s="4" t="inlineStr">
        <is>
          <t>American</t>
        </is>
      </c>
      <c r="E1008" s="2" t="n">
        <v>3</v>
      </c>
      <c r="F1008" s="2" t="n">
        <v>10</v>
      </c>
      <c r="G1008" s="2" t="n">
        <v>10</v>
      </c>
      <c r="H1008" s="2" t="n">
        <v>20</v>
      </c>
      <c r="I1008" s="4" t="inlineStr">
        <is>
          <t>almond-flour-waffles-with-strawberries.jpg</t>
        </is>
      </c>
      <c r="J1008" s="3" t="inlineStr">
        <is>
          <t>Almond Flour Waffles with Strawberries, healthy food photography, plated, natural light</t>
        </is>
      </c>
      <c r="K1008" s="4" t="inlineStr"/>
      <c r="L1008" s="3" t="inlineStr">
        <is>
          <t>Almond flour — 90 g (3.2 oz)
Egg, large (50 g each) — 150 g (5.3 oz)
Greek yogurt, plain 2% — 90 g (3.2 oz)
Baking powder — 4 g (0.1 oz)
Vanilla extract — 3 g (0.1 oz)
Strawberries — 150 g (5.3 oz)
Butter — 10 g (0.4 oz)</t>
        </is>
      </c>
      <c r="M1008" s="4" t="inlineStr">
        <is>
          <t>[{"ingredient_id": "almond_flour", "name": "Almond flour", "grams": 90.0, "note": ""}, {"ingredient_id": "egg", "name": "Egg, large (50 g each)", "grams": 150.0, "note": ""}, {"ingredient_id": "greek_yogurt", "name": "Greek yogurt, plain 2%", "grams": 90.0, "note": ""}, {"ingredient_id": "baking_powder", "name": "Baking powder", "grams": 4.0, "note": ""}, {"ingredient_id": "vanilla_extract", "name": "Vanilla extract", "grams": 3.0, "note": ""}, {"ingredient_id": "strawberries", "name": "Strawberries", "grams": 150.0, "note": ""}, {"ingredient_id": "butter", "name": "Butter", "grams": 10.0, "note": ""}]</t>
        </is>
      </c>
      <c r="N1008" s="2" t="n">
        <v>314</v>
      </c>
      <c r="O1008" s="5" t="n">
        <v>16</v>
      </c>
      <c r="P1008" s="5" t="n">
        <v>23.2</v>
      </c>
      <c r="Q1008" s="5" t="n">
        <v>12.2</v>
      </c>
      <c r="R1008" s="5" t="n">
        <v>4.6</v>
      </c>
      <c r="S1008" s="5" t="n">
        <v>7.6</v>
      </c>
      <c r="T1008" s="2" t="n">
        <v>22</v>
      </c>
      <c r="U1008" s="2" t="inlineStr">
        <is>
          <t>low</t>
        </is>
      </c>
      <c r="V1008" s="5" t="n">
        <v>1.7</v>
      </c>
      <c r="W1008" s="2" t="inlineStr">
        <is>
          <t>low</t>
        </is>
      </c>
      <c r="X1008" s="3" t="inlineStr"/>
      <c r="Y1008" s="3" t="inlineStr">
        <is>
          <t>53% of this dish's available carbohydrate comes from ingredients with a published, measured GI; the rest uses conventional placeholders (see Ingredients sheet)</t>
        </is>
      </c>
      <c r="Z1008" s="2" t="n">
        <v>53</v>
      </c>
      <c r="AA1008" s="3" t="inlineStr">
        <is>
          <t>vegetarian, gluten-free, low-carb</t>
        </is>
      </c>
      <c r="AB1008" s="3" t="inlineStr">
        <is>
          <t>1. Whisk the almond flour, baking powder, eggs, yogurt and vanilla.
2. Cook in a greased waffle iron until golden.
3. Slice the strawberries.
4. Serve the waffles topped with berries.</t>
        </is>
      </c>
      <c r="AC1008" s="4" t="inlineStr">
        <is>
          <t>["Whisk the almond flour, baking powder, eggs, yogurt and vanilla.", "Cook in a greased waffle iron until golden.", "Slice the strawberries.", "Serve the waffles topped with berries."]</t>
        </is>
      </c>
    </row>
    <row r="1009" ht="96" customHeight="1">
      <c r="A1009" s="2" t="inlineStr">
        <is>
          <t>DB-1008</t>
        </is>
      </c>
      <c r="B1009" s="3" t="inlineStr">
        <is>
          <t>Cottage Cheese Bowl with Peaches</t>
        </is>
      </c>
      <c r="C1009" s="4" t="inlineStr">
        <is>
          <t>Breakfast</t>
        </is>
      </c>
      <c r="D1009" s="4" t="inlineStr">
        <is>
          <t>American</t>
        </is>
      </c>
      <c r="E1009" s="2" t="n">
        <v>2</v>
      </c>
      <c r="F1009" s="2" t="n">
        <v>5</v>
      </c>
      <c r="G1009" s="2" t="n">
        <v>0</v>
      </c>
      <c r="H1009" s="2" t="n">
        <v>5</v>
      </c>
      <c r="I1009" s="4" t="inlineStr">
        <is>
          <t>cottage-cheese-bowl-with-peaches.jpg</t>
        </is>
      </c>
      <c r="J1009" s="3" t="inlineStr">
        <is>
          <t>Cottage Cheese Bowl with Peaches, healthy food photography, plated, natural light</t>
        </is>
      </c>
      <c r="K1009" s="4" t="inlineStr"/>
      <c r="L1009" s="3" t="inlineStr">
        <is>
          <t>Cottage cheese, low-fat — 400 g (14.1 oz)
Peach — 200 g (7.1 oz)
Almonds — 20 g (0.7 oz)
Ground cinnamon — 1 g (0.0 oz)
Hemp seeds — 10 g (0.4 oz)</t>
        </is>
      </c>
      <c r="M1009" s="4" t="inlineStr">
        <is>
          <t>[{"ingredient_id": "cottage_cheese", "name": "Cottage cheese, low-fat", "grams": 400.0, "note": ""}, {"ingredient_id": "peach", "name": "Peach", "grams": 200.0, "note": ""}, {"ingredient_id": "almonds", "name": "Almonds", "grams": 20.0, "note": ""}, {"ingredient_id": "cinnamon", "name": "Ground cinnamon", "grams": 1.0, "note": ""}, {"ingredient_id": "hemp_seeds", "name": "Hemp seeds", "grams": 10.0, "note": ""}]</t>
        </is>
      </c>
      <c r="N1009" s="2" t="n">
        <v>294</v>
      </c>
      <c r="O1009" s="5" t="n">
        <v>26.6</v>
      </c>
      <c r="P1009" s="5" t="n">
        <v>12.4</v>
      </c>
      <c r="Q1009" s="5" t="n">
        <v>21.1</v>
      </c>
      <c r="R1009" s="5" t="n">
        <v>3.2</v>
      </c>
      <c r="S1009" s="5" t="n">
        <v>17.9</v>
      </c>
      <c r="T1009" s="2" t="n">
        <v>31</v>
      </c>
      <c r="U1009" s="2" t="inlineStr">
        <is>
          <t>low</t>
        </is>
      </c>
      <c r="V1009" s="5" t="n">
        <v>5.6</v>
      </c>
      <c r="W1009" s="2" t="inlineStr">
        <is>
          <t>low</t>
        </is>
      </c>
      <c r="X1009" s="3" t="inlineStr"/>
      <c r="Y1009" s="3" t="inlineStr">
        <is>
          <t>45% of this dish's available carbohydrate comes from ingredients with a published, measured GI; the rest uses conventional placeholders (see Ingredients sheet)</t>
        </is>
      </c>
      <c r="Z1009" s="2" t="n">
        <v>45</v>
      </c>
      <c r="AA1009" s="3" t="inlineStr">
        <is>
          <t>vegetarian, gluten-free, high-protein, no-cook</t>
        </is>
      </c>
      <c r="AB1009" s="3" t="inlineStr">
        <is>
          <t>1. Divide the cottage cheese between two bowls.
2. Top with sliced peach, almonds and hemp seeds.
3. Dust with cinnamon.</t>
        </is>
      </c>
      <c r="AC1009" s="4" t="inlineStr">
        <is>
          <t>["Divide the cottage cheese between two bowls.", "Top with sliced peach, almonds and hemp seeds.", "Dust with cinnamon."]</t>
        </is>
      </c>
    </row>
    <row r="1010" ht="96" customHeight="1">
      <c r="A1010" s="2" t="inlineStr">
        <is>
          <t>DB-1009</t>
        </is>
      </c>
      <c r="B1010" s="3" t="inlineStr">
        <is>
          <t>Sweet Potato and Sausage Breakfast Hash</t>
        </is>
      </c>
      <c r="C1010" s="4" t="inlineStr">
        <is>
          <t>Breakfast</t>
        </is>
      </c>
      <c r="D1010" s="4" t="inlineStr">
        <is>
          <t>American</t>
        </is>
      </c>
      <c r="E1010" s="2" t="n">
        <v>3</v>
      </c>
      <c r="F1010" s="2" t="n">
        <v>15</v>
      </c>
      <c r="G1010" s="2" t="n">
        <v>20</v>
      </c>
      <c r="H1010" s="2" t="n">
        <v>35</v>
      </c>
      <c r="I1010" s="4" t="inlineStr">
        <is>
          <t>sweet-potato-and-sausage-breakfast-hash.jpg</t>
        </is>
      </c>
      <c r="J1010" s="3" t="inlineStr">
        <is>
          <t>Sweet Potato and Sausage Breakfast Hash, healthy food photography, plated, natural light</t>
        </is>
      </c>
      <c r="K1010" s="4" t="inlineStr"/>
      <c r="L1010" s="3" t="inlineStr">
        <is>
          <t>Sweet potato, boiled/simmered — 300 g (10.6 oz)
Turkey sausage — 200 g (7.1 oz)
Bell pepper — 120 g (4.2 oz)
Yellow onion — 80 g (2.8 oz)
Egg, large (50 g each) — 150 g (5.3 oz)
Extra-virgin olive oil — 15 g (0.5 oz)
Smoked paprika — 2 g (0.1 oz)
Salt — 2 g (0.1 oz)</t>
        </is>
      </c>
      <c r="M1010" s="4" t="inlineStr">
        <is>
          <t>[{"ingredient_id": "sweet_potato", "name": "Sweet potato, boiled/simmered", "grams": 300.0, "note": ""}, {"ingredient_id": "turkey_sausage", "name": "Turkey sausage", "grams": 200.0, "note": ""}, {"ingredient_id": "bell_pepper", "name": "Bell pepper", "grams": 120.0,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t>
        </is>
      </c>
      <c r="N1010" s="2" t="n">
        <v>330</v>
      </c>
      <c r="O1010" s="5" t="n">
        <v>18.7</v>
      </c>
      <c r="P1010" s="5" t="n">
        <v>16.7</v>
      </c>
      <c r="Q1010" s="5" t="n">
        <v>26.9</v>
      </c>
      <c r="R1010" s="5" t="n">
        <v>4.5</v>
      </c>
      <c r="S1010" s="5" t="n">
        <v>22.4</v>
      </c>
      <c r="T1010" s="2" t="n">
        <v>37</v>
      </c>
      <c r="U1010" s="2" t="inlineStr">
        <is>
          <t>low</t>
        </is>
      </c>
      <c r="V1010" s="5" t="n">
        <v>8.300000000000001</v>
      </c>
      <c r="W1010" s="2" t="inlineStr">
        <is>
          <t>low</t>
        </is>
      </c>
      <c r="X1010" s="3" t="inlineStr"/>
      <c r="Y1010" s="3" t="inlineStr">
        <is>
          <t>76% of this dish's available carbohydrate comes from ingredients with a published, measured GI; the rest uses conventional placeholders (see Ingredients sheet)</t>
        </is>
      </c>
      <c r="Z1010" s="2" t="n">
        <v>76</v>
      </c>
      <c r="AA1010" s="3" t="inlineStr">
        <is>
          <t>gluten-free, dairy-free, nut-free, one-pan</t>
        </is>
      </c>
      <c r="AB1010" s="3" t="inlineStr">
        <is>
          <t>1. Dice the sweet potato small and sauté in oil for 10 minutes.
2. Add the sausage, pepper and onion and cook 8 minutes.
3. Season with paprika and salt.
4. Make wells, crack in the eggs and cover until set.</t>
        </is>
      </c>
      <c r="AC1010" s="4" t="inlineStr">
        <is>
          <t>["Dice the sweet potato small and sauté in oil for 10 minutes.", "Add the sausage, pepper and onion and cook 8 minutes.", "Season with paprika and salt.", "Make wells, crack in the eggs and cover until set."]</t>
        </is>
      </c>
    </row>
    <row r="1011" ht="96" customHeight="1">
      <c r="A1011" s="2" t="inlineStr">
        <is>
          <t>DB-1010</t>
        </is>
      </c>
      <c r="B1011" s="3" t="inlineStr">
        <is>
          <t>Avocado Toast with Egg</t>
        </is>
      </c>
      <c r="C1011" s="4" t="inlineStr">
        <is>
          <t>Breakfast</t>
        </is>
      </c>
      <c r="D1011" s="4" t="inlineStr">
        <is>
          <t>American</t>
        </is>
      </c>
      <c r="E1011" s="2" t="n">
        <v>2</v>
      </c>
      <c r="F1011" s="2" t="n">
        <v>5</v>
      </c>
      <c r="G1011" s="2" t="n">
        <v>5</v>
      </c>
      <c r="H1011" s="2" t="n">
        <v>10</v>
      </c>
      <c r="I1011" s="4" t="inlineStr">
        <is>
          <t>avocado-toast-with-egg.jpg</t>
        </is>
      </c>
      <c r="J1011" s="3" t="inlineStr">
        <is>
          <t>Avocado Toast with Egg, healthy food photography, plated, natural light</t>
        </is>
      </c>
      <c r="K1011" s="4" t="inlineStr"/>
      <c r="L1011" s="3" t="inlineStr">
        <is>
          <t>Sprouted grain bread (Ezekiel-style) — 70 g (2.5 oz)
Avocado — 140 g (4.9 oz)
Egg, large (50 g each) — 100 g (3.5 oz)
Red pepper flakes — 1 g (0.0 oz)
Lemon juice — 5 g (0.2 oz)
Salt — 1 g (0.0 oz)</t>
        </is>
      </c>
      <c r="M1011" s="4" t="inlineStr">
        <is>
          <t>[{"ingredient_id": "ezekiel_bread", "name": "Sprouted grain bread (Ezekiel-style)", "grams": 70.0, "note": ""}, {"ingredient_id": "avocado", "name": "Avocado", "grams": 140.0, "note": ""}, {"ingredient_id": "egg", "name": "Egg, large (50 g each)", "grams": 100.0, "note": ""}, {"ingredient_id": "red_pepper_flakes", "name": "Red pepper flakes", "grams": 1.0, "note": ""}, {"ingredient_id": "lemon_juice", "name": "Lemon juice", "grams": 5.0, "note": ""}, {"ingredient_id": "salt", "name": "Salt", "grams": 1.0, "note": ""}]</t>
        </is>
      </c>
      <c r="N1011" s="2" t="n">
        <v>268</v>
      </c>
      <c r="O1011" s="5" t="n">
        <v>12</v>
      </c>
      <c r="P1011" s="5" t="n">
        <v>15.9</v>
      </c>
      <c r="Q1011" s="5" t="n">
        <v>22.2</v>
      </c>
      <c r="R1011" s="5" t="n">
        <v>8</v>
      </c>
      <c r="S1011" s="5" t="n">
        <v>14.2</v>
      </c>
      <c r="T1011" s="2" t="n">
        <v>55</v>
      </c>
      <c r="U1011" s="2" t="inlineStr">
        <is>
          <t>low</t>
        </is>
      </c>
      <c r="V1011" s="5" t="n">
        <v>7.8</v>
      </c>
      <c r="W1011" s="2" t="inlineStr">
        <is>
          <t>low</t>
        </is>
      </c>
      <c r="X1011" s="3" t="inlineStr"/>
      <c r="Y1011" s="3" t="inlineStr">
        <is>
          <t>86% of this dish's available carbohydrate comes from ingredients with a published, measured GI; the rest uses conventional placeholders (see Ingredients sheet)</t>
        </is>
      </c>
      <c r="Z1011" s="2" t="n">
        <v>86</v>
      </c>
      <c r="AA1011" s="3" t="inlineStr">
        <is>
          <t>vegetarian, gluten-free, dairy-free, nut-free, low-carb, high-fiber</t>
        </is>
      </c>
      <c r="AB1011" s="3" t="inlineStr">
        <is>
          <t>1. Toast the bread.
2. Mash the avocado with lemon juice and salt.
3. Fry or poach the eggs.
4. Spread, top with egg and a pinch of pepper flakes.</t>
        </is>
      </c>
      <c r="AC1011" s="4" t="inlineStr">
        <is>
          <t>["Toast the bread.", "Mash the avocado with lemon juice and salt.", "Fry or poach the eggs.", "Spread, top with egg and a pinch of pepper flakes."]</t>
        </is>
      </c>
    </row>
    <row r="1012" ht="96" customHeight="1">
      <c r="A1012" s="2" t="inlineStr">
        <is>
          <t>DB-1011</t>
        </is>
      </c>
      <c r="B1012" s="3" t="inlineStr">
        <is>
          <t>Spinach and Feta Egg Muffins</t>
        </is>
      </c>
      <c r="C1012" s="4" t="inlineStr">
        <is>
          <t>Breakfast</t>
        </is>
      </c>
      <c r="D1012" s="4" t="inlineStr">
        <is>
          <t>American</t>
        </is>
      </c>
      <c r="E1012" s="2" t="n">
        <v>4</v>
      </c>
      <c r="F1012" s="2" t="n">
        <v>10</v>
      </c>
      <c r="G1012" s="2" t="n">
        <v>20</v>
      </c>
      <c r="H1012" s="2" t="n">
        <v>30</v>
      </c>
      <c r="I1012" s="4" t="inlineStr">
        <is>
          <t>spinach-and-feta-egg-muffins.jpg</t>
        </is>
      </c>
      <c r="J1012" s="3" t="inlineStr">
        <is>
          <t>Spinach and Feta Egg Muffins, healthy food photography, plated, natural light</t>
        </is>
      </c>
      <c r="K1012" s="4" t="inlineStr"/>
      <c r="L1012" s="3" t="inlineStr">
        <is>
          <t>Egg, large (50 g each) — 300 g (10.6 oz)
Spinach — 100 g (3.5 oz)
Feta cheese — 60 g (2.1 oz)
Roasted red peppers, jarred — 60 g (2.1 oz)
Black pepper — 1 g (0.0 oz)
Extra-virgin olive oil — 5 g (0.2 oz)</t>
        </is>
      </c>
      <c r="M1012" s="4" t="inlineStr">
        <is>
          <t>[{"ingredient_id": "egg", "name": "Egg, large (50 g each)", "grams": 300.0, "note": ""}, {"ingredient_id": "spinach", "name": "Spinach", "grams": 100.0, "note": ""}, {"ingredient_id": "feta", "name": "Feta cheese", "grams": 60.0, "note": ""}, {"ingredient_id": "roasted_red_pepper", "name": "Roasted red peppers, jarred", "grams": 60.0, "note": ""}, {"ingredient_id": "black_pepper", "name": "Black pepper", "grams": 1.0, "note": ""}, {"ingredient_id": "olive_oil", "name": "Extra-virgin olive oil", "grams": 5.0, "note": ""}]</t>
        </is>
      </c>
      <c r="N1012" s="2" t="n">
        <v>169</v>
      </c>
      <c r="O1012" s="5" t="n">
        <v>12.4</v>
      </c>
      <c r="P1012" s="5" t="n">
        <v>11.7</v>
      </c>
      <c r="Q1012" s="5" t="n">
        <v>3.1</v>
      </c>
      <c r="R1012" s="5" t="n">
        <v>0.9</v>
      </c>
      <c r="S1012" s="5" t="n">
        <v>2.2</v>
      </c>
      <c r="T1012" s="2" t="n">
        <v>7</v>
      </c>
      <c r="U1012" s="2" t="inlineStr">
        <is>
          <t>low</t>
        </is>
      </c>
      <c r="V1012" s="5" t="n">
        <v>0.2</v>
      </c>
      <c r="W1012" s="2" t="inlineStr">
        <is>
          <t>low</t>
        </is>
      </c>
      <c r="X1012" s="3" t="inlineStr">
        <is>
          <t>Negligible carbohydrate (&lt;5 g net/serving): GI has little practical meaning, glycemic load is what matters.</t>
        </is>
      </c>
      <c r="Y1012" s="3" t="inlineStr">
        <is>
          <t>0% of this dish's available carbohydrate comes from ingredients with a published, measured GI; the rest uses conventional placeholders (see Ingredients sheet)</t>
        </is>
      </c>
      <c r="Z1012" s="2" t="n">
        <v>0</v>
      </c>
      <c r="AA1012" s="3" t="inlineStr">
        <is>
          <t>vegetarian, gluten-free, nut-free, low-carb, meal-prep</t>
        </is>
      </c>
      <c r="AB1012" s="3" t="inlineStr">
        <is>
          <t>1. Heat the oven to 350°F and oil a 6-cup muffin tin.
2. Chop the spinach and pepper and divide among the cups.
3. Pour in the beaten eggs and add the feta.
4. Bake 18 to 20 minutes.</t>
        </is>
      </c>
      <c r="AC1012" s="4" t="inlineStr">
        <is>
          <t>["Heat the oven to 350°F and oil a 6-cup muffin tin.", "Chop the spinach and pepper and divide among the cups.", "Pour in the beaten eggs and add the feta.", "Bake 18 to 20 minutes."]</t>
        </is>
      </c>
    </row>
    <row r="1013" ht="96" customHeight="1">
      <c r="A1013" s="2" t="inlineStr">
        <is>
          <t>DB-1012</t>
        </is>
      </c>
      <c r="B1013" s="3" t="inlineStr">
        <is>
          <t>Southwest Tofu Scramble</t>
        </is>
      </c>
      <c r="C1013" s="4" t="inlineStr">
        <is>
          <t>Breakfast</t>
        </is>
      </c>
      <c r="D1013" s="4" t="inlineStr">
        <is>
          <t>Tex-Mex</t>
        </is>
      </c>
      <c r="E1013" s="2" t="n">
        <v>2</v>
      </c>
      <c r="F1013" s="2" t="n">
        <v>10</v>
      </c>
      <c r="G1013" s="2" t="n">
        <v>10</v>
      </c>
      <c r="H1013" s="2" t="n">
        <v>20</v>
      </c>
      <c r="I1013" s="4" t="inlineStr">
        <is>
          <t>southwest-tofu-scramble.jpg</t>
        </is>
      </c>
      <c r="J1013" s="3" t="inlineStr">
        <is>
          <t>Southwest Tofu Scramble, healthy food photography, plated, natural light</t>
        </is>
      </c>
      <c r="K1013" s="4" t="inlineStr"/>
      <c r="L1013" s="3" t="inlineStr">
        <is>
          <t>Tofu, extra-firm — 300 g (10.6 oz)
Black beans, cooked — 100 g (3.5 oz)
Bell pepper — 100 g (3.5 oz)
Yellow onion — 50 g (1.8 oz)
Ground turmeric — 1 g (0.0 oz)
Ground cumin — 1 g (0.0 oz)
Salsa, no sugar added — 60 g (2.1 oz)
Extra-virgin olive oil — 10 g (0.4 oz)</t>
        </is>
      </c>
      <c r="M1013" s="4" t="inlineStr">
        <is>
          <t>[{"ingredient_id": "tofu", "name": "Tofu, extra-firm", "grams": 300.0, "note": ""}, {"ingredient_id": "black_beans", "name": "Black beans, cooked", "grams": 100.0, "note": ""}, {"ingredient_id": "bell_pepper", "name": "Bell pepper", "grams": 100.0, "note": ""}, {"ingredient_id": "onion", "name": "Yellow onion", "grams": 50.0, "note": ""}, {"ingredient_id": "turmeric", "name": "Ground turmeric", "grams": 1.0, "note": ""}, {"ingredient_id": "cumin", "name": "Ground cumin", "grams": 1.0, "note": ""}, {"ingredient_id": "salsa", "name": "Salsa, no sugar added", "grams": 60.0, "note": ""}, {"ingredient_id": "olive_oil", "name": "Extra-virgin olive oil", "grams": 10.0, "note": ""}]</t>
        </is>
      </c>
      <c r="N1013" s="2" t="n">
        <v>366</v>
      </c>
      <c r="O1013" s="5" t="n">
        <v>31.3</v>
      </c>
      <c r="P1013" s="5" t="n">
        <v>19.1</v>
      </c>
      <c r="Q1013" s="5" t="n">
        <v>24.3</v>
      </c>
      <c r="R1013" s="5" t="n">
        <v>9.4</v>
      </c>
      <c r="S1013" s="5" t="n">
        <v>14.9</v>
      </c>
      <c r="T1013" s="2" t="n">
        <v>24</v>
      </c>
      <c r="U1013" s="2" t="inlineStr">
        <is>
          <t>low</t>
        </is>
      </c>
      <c r="V1013" s="5" t="n">
        <v>3.6</v>
      </c>
      <c r="W1013" s="2" t="inlineStr">
        <is>
          <t>low</t>
        </is>
      </c>
      <c r="X1013" s="3" t="inlineStr"/>
      <c r="Y1013" s="3" t="inlineStr">
        <is>
          <t>50% of this dish's available carbohydrate comes from ingredients with a published, measured GI; the rest uses conventional placeholders (see Ingredients sheet)</t>
        </is>
      </c>
      <c r="Z1013" s="2" t="n">
        <v>50</v>
      </c>
      <c r="AA1013" s="3" t="inlineStr">
        <is>
          <t>vegan, gluten-free, dairy-free, nut-free, low-carb, high-protein, high-fiber</t>
        </is>
      </c>
      <c r="AB1013" s="3" t="inlineStr">
        <is>
          <t>1. Crumble the tofu and sauté with the onion and pepper in oil.
2. Stir in turmeric and cumin.
3. Add the beans and heat through.
4. Serve with salsa.</t>
        </is>
      </c>
      <c r="AC1013" s="4" t="inlineStr">
        <is>
          <t>["Crumble the tofu and sauté with the onion and pepper in oil.", "Stir in turmeric and cumin.", "Add the beans and heat through.", "Serve with salsa."]</t>
        </is>
      </c>
    </row>
    <row r="1014" ht="96" customHeight="1">
      <c r="A1014" s="2" t="inlineStr">
        <is>
          <t>DB-1013</t>
        </is>
      </c>
      <c r="B1014" s="3" t="inlineStr">
        <is>
          <t>Steel-Cut Oatmeal with Walnuts and Cinnamon Apples</t>
        </is>
      </c>
      <c r="C1014" s="4" t="inlineStr">
        <is>
          <t>Breakfast</t>
        </is>
      </c>
      <c r="D1014" s="4" t="inlineStr">
        <is>
          <t>American</t>
        </is>
      </c>
      <c r="E1014" s="2" t="n">
        <v>3</v>
      </c>
      <c r="F1014" s="2" t="n">
        <v>5</v>
      </c>
      <c r="G1014" s="2" t="n">
        <v>25</v>
      </c>
      <c r="H1014" s="2" t="n">
        <v>30</v>
      </c>
      <c r="I1014" s="4" t="inlineStr">
        <is>
          <t>steel-cut-oatmeal-with-walnuts-and-cinnamon-apples.jpg</t>
        </is>
      </c>
      <c r="J1014" s="3" t="inlineStr">
        <is>
          <t>Steel-Cut Oatmeal with Walnuts and Cinnamon Apples, healthy food photography, plated, natural light</t>
        </is>
      </c>
      <c r="K1014" s="4" t="inlineStr"/>
      <c r="L1014" s="3" t="inlineStr">
        <is>
          <t>Steel-cut oats, dry — 90 g (3.2 oz)
Water / ice — 600 g (21.2 oz)
Apple — 180 g (6.3 oz)
Ground cinnamon — 3 g (0.1 oz)
Walnuts — 30 g (1.1 oz)
Salt — 1 g (0.0 oz)</t>
        </is>
      </c>
      <c r="M1014" s="4" t="inlineStr">
        <is>
          <t>[{"ingredient_id": "steel_cut_oats", "name": "Steel-cut oats, dry", "grams": 90.0, "note": ""}, {"ingredient_id": "water", "name": "Water / ice", "grams": 600.0, "note": ""}, {"ingredient_id": "apple", "name": "Apple", "grams": 180.0, "note": ""}, {"ingredient_id": "cinnamon", "name": "Ground cinnamon", "grams": 3.0, "note": ""}, {"ingredient_id": "walnuts", "name": "Walnuts", "grams": 30.0, "note": ""}, {"ingredient_id": "salt", "name": "Salt", "grams": 1.0, "note": ""}]</t>
        </is>
      </c>
      <c r="N1014" s="2" t="n">
        <v>212</v>
      </c>
      <c r="O1014" s="5" t="n">
        <v>5.6</v>
      </c>
      <c r="P1014" s="5" t="n">
        <v>8.6</v>
      </c>
      <c r="Q1014" s="5" t="n">
        <v>30.7</v>
      </c>
      <c r="R1014" s="5" t="n">
        <v>5.6</v>
      </c>
      <c r="S1014" s="5" t="n">
        <v>25.1</v>
      </c>
      <c r="T1014" s="2" t="n">
        <v>46</v>
      </c>
      <c r="U1014" s="2" t="inlineStr">
        <is>
          <t>low</t>
        </is>
      </c>
      <c r="V1014" s="5" t="n">
        <v>11.5</v>
      </c>
      <c r="W1014" s="2" t="inlineStr">
        <is>
          <t>medium</t>
        </is>
      </c>
      <c r="X1014" s="3" t="inlineStr"/>
      <c r="Y1014" s="3" t="inlineStr">
        <is>
          <t>96% of this dish's available carbohydrate comes from ingredients with a published, measured GI; the rest uses conventional placeholders (see Ingredients sheet)</t>
        </is>
      </c>
      <c r="Z1014" s="2" t="n">
        <v>96</v>
      </c>
      <c r="AA1014" s="3" t="inlineStr">
        <is>
          <t>vegan, dairy-free</t>
        </is>
      </c>
      <c r="AB1014" s="3" t="inlineStr">
        <is>
          <t>1. Simmer the oats in water with salt for 20 minutes.
2. Cook the diced apple with cinnamon in a splash of water until tender.
3. Spoon the oats into bowls and top with apples and walnuts.</t>
        </is>
      </c>
      <c r="AC1014" s="4" t="inlineStr">
        <is>
          <t>["Simmer the oats in water with salt for 20 minutes.", "Cook the diced apple with cinnamon in a splash of water until tender.", "Spoon the oats into bowls and top with apples and walnuts."]</t>
        </is>
      </c>
    </row>
    <row r="1015" ht="96" customHeight="1">
      <c r="A1015" s="2" t="inlineStr">
        <is>
          <t>DB-1014</t>
        </is>
      </c>
      <c r="B1015" s="3" t="inlineStr">
        <is>
          <t>Smoked Salmon and Cream Cheese Cucumber Bites</t>
        </is>
      </c>
      <c r="C1015" s="4" t="inlineStr">
        <is>
          <t>Breakfast</t>
        </is>
      </c>
      <c r="D1015" s="4" t="inlineStr">
        <is>
          <t>American</t>
        </is>
      </c>
      <c r="E1015" s="2" t="n">
        <v>2</v>
      </c>
      <c r="F1015" s="2" t="n">
        <v>10</v>
      </c>
      <c r="G1015" s="2" t="n">
        <v>0</v>
      </c>
      <c r="H1015" s="2" t="n">
        <v>10</v>
      </c>
      <c r="I1015" s="4" t="inlineStr">
        <is>
          <t>smoked-salmon-and-cream-cheese-cucumber-bites.jpg</t>
        </is>
      </c>
      <c r="J1015" s="3" t="inlineStr">
        <is>
          <t>Smoked Salmon and Cream Cheese Cucumber Bites, healthy food photography, plated, natural light</t>
        </is>
      </c>
      <c r="K1015" s="4" t="inlineStr"/>
      <c r="L1015" s="3" t="inlineStr">
        <is>
          <t>Cucumber — 200 g (7.1 oz)
Cream cheese — 60 g (2.1 oz)
Smoked salmon — 80 g (2.8 oz)
Fresh dill — 3 g (0.1 oz)
Capers — 10 g (0.4 oz)
Black pepper — 1 g (0.0 oz)</t>
        </is>
      </c>
      <c r="M1015" s="4" t="inlineStr">
        <is>
          <t>[{"ingredient_id": "cucumber", "name": "Cucumber", "grams": 200.0, "note": ""}, {"ingredient_id": "cream_cheese", "name": "Cream cheese", "grams": 60.0, "note": ""}, {"ingredient_id": "smoked_salmon", "name": "Smoked salmon", "grams": 80.0, "note": ""}, {"ingredient_id": "dill", "name": "Fresh dill", "grams": 3.0, "note": ""}, {"ingredient_id": "capers", "name": "Capers", "grams": 10.0, "note": ""}, {"ingredient_id": "black_pepper", "name": "Black pepper", "grams": 1.0, "note": ""}]</t>
        </is>
      </c>
      <c r="N1015" s="2" t="n">
        <v>167</v>
      </c>
      <c r="O1015" s="5" t="n">
        <v>9.9</v>
      </c>
      <c r="P1015" s="5" t="n">
        <v>12.1</v>
      </c>
      <c r="Q1015" s="5" t="n">
        <v>5.5</v>
      </c>
      <c r="R1015" s="5" t="n">
        <v>0.8</v>
      </c>
      <c r="S1015" s="5" t="n">
        <v>4.7</v>
      </c>
      <c r="T1015" s="2" t="n">
        <v>11</v>
      </c>
      <c r="U1015" s="2" t="inlineStr">
        <is>
          <t>low</t>
        </is>
      </c>
      <c r="V1015" s="5" t="n">
        <v>0.5</v>
      </c>
      <c r="W1015" s="2" t="inlineStr">
        <is>
          <t>low</t>
        </is>
      </c>
      <c r="X1015" s="3" t="inlineStr">
        <is>
          <t>Negligible carbohydrate (&lt;5 g net/serving): GI has little practical meaning, glycemic load is what matters.</t>
        </is>
      </c>
      <c r="Y1015" s="3" t="inlineStr">
        <is>
          <t>0% of this dish's available carbohydrate comes from ingredients with a published, measured GI; the rest uses conventional placeholders (see Ingredients sheet)</t>
        </is>
      </c>
      <c r="Z1015" s="2" t="n">
        <v>0</v>
      </c>
      <c r="AA1015" s="3" t="inlineStr">
        <is>
          <t>pescatarian, gluten-free, nut-free, low-carb, no-cook</t>
        </is>
      </c>
      <c r="AB1015" s="3" t="inlineStr">
        <is>
          <t>1. Slice the cucumber into thick rounds.
2. Spread each with cream cheese.
3. Top with salmon, capers and dill.</t>
        </is>
      </c>
      <c r="AC1015" s="4" t="inlineStr">
        <is>
          <t>["Slice the cucumber into thick rounds.", "Spread each with cream cheese.", "Top with salmon, capers and dill."]</t>
        </is>
      </c>
    </row>
    <row r="1016" ht="96" customHeight="1">
      <c r="A1016" s="2" t="inlineStr">
        <is>
          <t>DB-1015</t>
        </is>
      </c>
      <c r="B1016" s="3" t="inlineStr">
        <is>
          <t>Turkey Bacon and Egg Cups</t>
        </is>
      </c>
      <c r="C1016" s="4" t="inlineStr">
        <is>
          <t>Breakfast</t>
        </is>
      </c>
      <c r="D1016" s="4" t="inlineStr">
        <is>
          <t>American</t>
        </is>
      </c>
      <c r="E1016" s="2" t="n">
        <v>3</v>
      </c>
      <c r="F1016" s="2" t="n">
        <v>10</v>
      </c>
      <c r="G1016" s="2" t="n">
        <v>18</v>
      </c>
      <c r="H1016" s="2" t="n">
        <v>28</v>
      </c>
      <c r="I1016" s="4" t="inlineStr">
        <is>
          <t>turkey-bacon-and-egg-cups.jpg</t>
        </is>
      </c>
      <c r="J1016" s="3" t="inlineStr">
        <is>
          <t>Turkey Bacon and Egg Cups, healthy food photography, plated, natural light</t>
        </is>
      </c>
      <c r="K1016" s="4" t="inlineStr"/>
      <c r="L1016" s="3" t="inlineStr">
        <is>
          <t>Turkey bacon — 90 g (3.2 oz)
Egg, large (50 g each) — 150 g (5.3 oz)
Cheddar cheese — 30 g (1.1 oz)
Fresh chives — 3 g (0.1 oz)
Black pepper — 1 g (0.0 oz)</t>
        </is>
      </c>
      <c r="M1016" s="4" t="inlineStr">
        <is>
          <t>[{"ingredient_id": "turkey_bacon", "name": "Turkey bacon", "grams": 90.0, "note": ""}, {"ingredient_id": "egg", "name": "Egg, large (50 g each)", "grams": 150.0, "note": ""}, {"ingredient_id": "cheddar", "name": "Cheddar cheese", "grams": 30.0, "note": ""}, {"ingredient_id": "chives", "name": "Fresh chives", "grams": 3.0, "note": ""}, {"ingredient_id": "black_pepper", "name": "Black pepper", "grams": 1.0, "note": ""}]</t>
        </is>
      </c>
      <c r="N1016" s="2" t="n">
        <v>178</v>
      </c>
      <c r="O1016" s="5" t="n">
        <v>14.1</v>
      </c>
      <c r="P1016" s="5" t="n">
        <v>12.6</v>
      </c>
      <c r="Q1016" s="5" t="n">
        <v>1.3</v>
      </c>
      <c r="R1016" s="5" t="n">
        <v>0.1</v>
      </c>
      <c r="S1016" s="5" t="n">
        <v>1.2</v>
      </c>
      <c r="T1016" s="2" t="n">
        <v>2</v>
      </c>
      <c r="U1016" s="2" t="inlineStr">
        <is>
          <t>low</t>
        </is>
      </c>
      <c r="V1016" s="5" t="n">
        <v>0</v>
      </c>
      <c r="W1016" s="2" t="inlineStr">
        <is>
          <t>low</t>
        </is>
      </c>
      <c r="X1016" s="3" t="inlineStr">
        <is>
          <t>Negligible carbohydrate (&lt;5 g net/serving): GI has little practical meaning, glycemic load is what matters.</t>
        </is>
      </c>
      <c r="Y1016" s="3" t="inlineStr">
        <is>
          <t>0% of this dish's available carbohydrate comes from ingredients with a published, measured GI; the rest uses conventional placeholders (see Ingredients sheet)</t>
        </is>
      </c>
      <c r="Z1016" s="2" t="n">
        <v>0</v>
      </c>
      <c r="AA1016" s="3" t="inlineStr">
        <is>
          <t>gluten-free, nut-free, low-carb</t>
        </is>
      </c>
      <c r="AB1016" s="3" t="inlineStr">
        <is>
          <t>1. Heat the oven to 375°F.
2. Line three muffin cups with turkey bacon.
3. Crack an egg into each and scatter with cheddar.
4. Bake 15 to 18 minutes and finish with chives.</t>
        </is>
      </c>
      <c r="AC1016" s="4" t="inlineStr">
        <is>
          <t>["Heat the oven to 375°F.", "Line three muffin cups with turkey bacon.", "Crack an egg into each and scatter with cheddar.", "Bake 15 to 18 minutes and finish with chives."]</t>
        </is>
      </c>
    </row>
    <row r="1017" ht="96" customHeight="1">
      <c r="A1017" s="2" t="inlineStr">
        <is>
          <t>DB-1016</t>
        </is>
      </c>
      <c r="B1017" s="3" t="inlineStr">
        <is>
          <t>Chia Pudding with Raspberries</t>
        </is>
      </c>
      <c r="C1017" s="4" t="inlineStr">
        <is>
          <t>Breakfast</t>
        </is>
      </c>
      <c r="D1017" s="4" t="inlineStr">
        <is>
          <t>American</t>
        </is>
      </c>
      <c r="E1017" s="2" t="n">
        <v>2</v>
      </c>
      <c r="F1017" s="2" t="n">
        <v>5</v>
      </c>
      <c r="G1017" s="2" t="n">
        <v>0</v>
      </c>
      <c r="H1017" s="2" t="n">
        <v>5</v>
      </c>
      <c r="I1017" s="4" t="inlineStr">
        <is>
          <t>chia-pudding-with-raspberries.jpg</t>
        </is>
      </c>
      <c r="J1017" s="3" t="inlineStr">
        <is>
          <t>Chia Pudding with Raspberries, healthy food photography, plated, natural light</t>
        </is>
      </c>
      <c r="K1017" s="4" t="inlineStr"/>
      <c r="L1017" s="3" t="inlineStr">
        <is>
          <t>Chia seeds — 40 g (1.4 oz)
Almond milk, unsweetened — 300 g (10.6 oz)
Raspberries — 120 g (4.2 oz)
Vanilla extract — 3 g (0.1 oz)
Monk fruit/erythritol sweetener — 2 g (0.1 oz)</t>
        </is>
      </c>
      <c r="M1017" s="4" t="inlineStr">
        <is>
          <t>[{"ingredient_id": "chia_seeds", "name": "Chia seeds", "grams": 40.0, "note": ""}, {"ingredient_id": "almond_milk", "name": "Almond milk, unsweetened", "grams": 300.0, "note": ""}, {"ingredient_id": "raspberries", "name": "Raspberries", "grams": 120.0, "note": ""}, {"ingredient_id": "vanilla_extract", "name": "Vanilla extract", "grams": 3.0, "note": ""}, {"ingredient_id": "monk_fruit_sweetener", "name": "Monk fruit/erythritol sweetener", "grams": 2.0, "note": ""}]</t>
        </is>
      </c>
      <c r="N1017" s="2" t="n">
        <v>155</v>
      </c>
      <c r="O1017" s="5" t="n">
        <v>5</v>
      </c>
      <c r="P1017" s="5" t="n">
        <v>8.4</v>
      </c>
      <c r="Q1017" s="5" t="n">
        <v>16.7</v>
      </c>
      <c r="R1017" s="5" t="n">
        <v>10.7</v>
      </c>
      <c r="S1017" s="5" t="n">
        <v>6</v>
      </c>
      <c r="T1017" s="2" t="n">
        <v>25</v>
      </c>
      <c r="U1017" s="2" t="inlineStr">
        <is>
          <t>low</t>
        </is>
      </c>
      <c r="V1017" s="5" t="n">
        <v>1.5</v>
      </c>
      <c r="W1017" s="2" t="inlineStr">
        <is>
          <t>low</t>
        </is>
      </c>
      <c r="X1017" s="3" t="inlineStr"/>
      <c r="Y1017" s="3" t="inlineStr">
        <is>
          <t>0% of this dish's available carbohydrate comes from ingredients with a published, measured GI; the rest uses conventional placeholders (see Ingredients sheet)</t>
        </is>
      </c>
      <c r="Z1017" s="2" t="n">
        <v>0</v>
      </c>
      <c r="AA1017" s="3" t="inlineStr">
        <is>
          <t>vegan, gluten-free, dairy-free, low-carb, high-fiber, no-cook, meal-prep</t>
        </is>
      </c>
      <c r="AB1017" s="3" t="inlineStr">
        <is>
          <t>1. Stir the chia, almond milk, vanilla and sweetener.
2. Refrigerate at least 4 hours, stirring once.
3. Top with raspberries.</t>
        </is>
      </c>
      <c r="AC1017" s="4" t="inlineStr">
        <is>
          <t>["Stir the chia, almond milk, vanilla and sweetener.", "Refrigerate at least 4 hours, stirring once.", "Top with raspberries."]</t>
        </is>
      </c>
    </row>
    <row r="1018" ht="96" customHeight="1">
      <c r="A1018" s="2" t="inlineStr">
        <is>
          <t>DB-1017</t>
        </is>
      </c>
      <c r="B1018" s="3" t="inlineStr">
        <is>
          <t>Peanut Butter Banana Oat Bowl</t>
        </is>
      </c>
      <c r="C1018" s="4" t="inlineStr">
        <is>
          <t>Breakfast</t>
        </is>
      </c>
      <c r="D1018" s="4" t="inlineStr">
        <is>
          <t>American</t>
        </is>
      </c>
      <c r="E1018" s="2" t="n">
        <v>2</v>
      </c>
      <c r="F1018" s="2" t="n">
        <v>5</v>
      </c>
      <c r="G1018" s="2" t="n">
        <v>5</v>
      </c>
      <c r="H1018" s="2" t="n">
        <v>10</v>
      </c>
      <c r="I1018" s="4" t="inlineStr">
        <is>
          <t>peanut-butter-banana-oat-bowl.jpg</t>
        </is>
      </c>
      <c r="J1018" s="3" t="inlineStr">
        <is>
          <t>Peanut Butter Banana Oat Bowl, healthy food photography, plated, natural light</t>
        </is>
      </c>
      <c r="K1018" s="4" t="inlineStr"/>
      <c r="L1018" s="3" t="inlineStr">
        <is>
          <t>Rolled oats, dry — 50 g (1.8 oz)
Milk, 2% — 300 g (10.6 oz)
Banana (small amount) — 70 g (2.5 oz)
Peanut butter, natural — 30 g (1.1 oz)
Ground cinnamon — 1 g (0.0 oz)</t>
        </is>
      </c>
      <c r="M1018" s="4" t="inlineStr">
        <is>
          <t>[{"ingredient_id": "rolled_oats", "name": "Rolled oats, dry", "grams": 50.0, "note": ""}, {"ingredient_id": "milk", "name": "Milk, 2%", "grams": 300.0, "note": ""}, {"ingredient_id": "banana", "name": "Banana (small amount)", "grams": 70.0, "note": ""}, {"ingredient_id": "peanut_butter", "name": "Peanut butter, natural", "grams": 30.0, "note": ""}, {"ingredient_id": "cinnamon", "name": "Ground cinnamon", "grams": 1.0, "note": ""}]</t>
        </is>
      </c>
      <c r="N1018" s="2" t="n">
        <v>290</v>
      </c>
      <c r="O1018" s="5" t="n">
        <v>12.4</v>
      </c>
      <c r="P1018" s="5" t="n">
        <v>12.2</v>
      </c>
      <c r="Q1018" s="5" t="n">
        <v>35.7</v>
      </c>
      <c r="R1018" s="5" t="n">
        <v>4.6</v>
      </c>
      <c r="S1018" s="5" t="n">
        <v>31.1</v>
      </c>
      <c r="T1018" s="2" t="n">
        <v>46</v>
      </c>
      <c r="U1018" s="2" t="inlineStr">
        <is>
          <t>low</t>
        </is>
      </c>
      <c r="V1018" s="5" t="n">
        <v>14.3</v>
      </c>
      <c r="W1018" s="2" t="inlineStr">
        <is>
          <t>medium</t>
        </is>
      </c>
      <c r="X1018" s="3" t="inlineStr"/>
      <c r="Y1018" s="3" t="inlineStr">
        <is>
          <t>93% of this dish's available carbohydrate comes from ingredients with a published, measured GI; the rest uses conventional placeholders (see Ingredients sheet)</t>
        </is>
      </c>
      <c r="Z1018" s="2" t="n">
        <v>93</v>
      </c>
      <c r="AA1018" s="3" t="inlineStr">
        <is>
          <t>vegetarian</t>
        </is>
      </c>
      <c r="AB1018" s="3" t="inlineStr">
        <is>
          <t>1. Simmer the oats in the milk for 5 minutes.
2. Stir in half the banana, mashed.
3. Top with sliced banana and a spoon of peanut butter each.</t>
        </is>
      </c>
      <c r="AC1018" s="4" t="inlineStr">
        <is>
          <t>["Simmer the oats in the milk for 5 minutes.", "Stir in half the banana, mashed.", "Top with sliced banana and a spoon of peanut butter each."]</t>
        </is>
      </c>
    </row>
    <row r="1019" ht="96" customHeight="1">
      <c r="A1019" s="2" t="inlineStr">
        <is>
          <t>DB-1018</t>
        </is>
      </c>
      <c r="B1019" s="3" t="inlineStr">
        <is>
          <t>Chicken Caesar Wrap</t>
        </is>
      </c>
      <c r="C1019" s="4" t="inlineStr">
        <is>
          <t>Sandwiches &amp; Wraps</t>
        </is>
      </c>
      <c r="D1019" s="4" t="inlineStr">
        <is>
          <t>American</t>
        </is>
      </c>
      <c r="E1019" s="2" t="n">
        <v>2</v>
      </c>
      <c r="F1019" s="2" t="n">
        <v>10</v>
      </c>
      <c r="G1019" s="2" t="n">
        <v>0</v>
      </c>
      <c r="H1019" s="2" t="n">
        <v>10</v>
      </c>
      <c r="I1019" s="4" t="inlineStr">
        <is>
          <t>chicken-caesar-wrap.jpg</t>
        </is>
      </c>
      <c r="J1019" s="3" t="inlineStr">
        <is>
          <t>Chicken Caesar Wrap, healthy food photography, plated, natural light</t>
        </is>
      </c>
      <c r="K1019" s="4" t="inlineStr"/>
      <c r="L1019" s="3" t="inlineStr">
        <is>
          <t>Low-carb high-fiber tortilla — 100 g (3.5 oz)
Rotisserie chicken, skin removed — 160 g (5.6 oz)
Romaine lettuce — 80 g (2.8 oz)
Parmesan, grated — 20 g (0.7 oz)
Greek yogurt, plain 2% — 40 g (1.4 oz)
Lemon juice — 10 g (0.4 oz)
Garlic — 3 g (0.1 oz)
Dijon mustard — 5 g (0.2 oz)</t>
        </is>
      </c>
      <c r="M1019" s="4" t="inlineStr">
        <is>
          <t>[{"ingredient_id": "low_carb_tortilla", "name": "Low-carb high-fiber tortilla", "grams": 100.0, "note": ""}, {"ingredient_id": "rotisserie_chicken", "name": "Rotisserie chicken, skin removed", "grams": 160.0, "note": ""}, {"ingredient_id": "romaine", "name": "Romaine lettuce", "grams": 80.0, "note": ""}, {"ingredient_id": "parmesan", "name": "Parmesan, grated", "grams": 20.0, "note": ""}, {"ingredient_id": "greek_yogurt", "name": "Greek yogurt, plain 2%", "grams": 40.0, "note": ""}, {"ingredient_id": "lemon_juice", "name": "Lemon juice", "grams": 10.0, "note": ""}, {"ingredient_id": "garlic", "name": "Garlic", "grams": 3.0, "note": ""}, {"ingredient_id": "dijon", "name": "Dijon mustard", "grams": 5.0, "note": ""}]</t>
        </is>
      </c>
      <c r="N1019" s="2" t="n">
        <v>322</v>
      </c>
      <c r="O1019" s="5" t="n">
        <v>30.9</v>
      </c>
      <c r="P1019" s="5" t="n">
        <v>13.1</v>
      </c>
      <c r="Q1019" s="5" t="n">
        <v>23.5</v>
      </c>
      <c r="R1019" s="5" t="n">
        <v>13.5</v>
      </c>
      <c r="S1019" s="5" t="n">
        <v>10</v>
      </c>
      <c r="T1019" s="2" t="n">
        <v>26</v>
      </c>
      <c r="U1019" s="2" t="inlineStr">
        <is>
          <t>low</t>
        </is>
      </c>
      <c r="V1019" s="5" t="n">
        <v>2.6</v>
      </c>
      <c r="W1019" s="2" t="inlineStr">
        <is>
          <t>low</t>
        </is>
      </c>
      <c r="X1019" s="3" t="inlineStr"/>
      <c r="Y1019" s="3" t="inlineStr">
        <is>
          <t>8% of this dish's available carbohydrate comes from ingredients with a published, measured GI; the rest uses conventional placeholders (see Ingredients sheet)</t>
        </is>
      </c>
      <c r="Z1019" s="2" t="n">
        <v>8</v>
      </c>
      <c r="AA1019" s="3" t="inlineStr">
        <is>
          <t>nut-free, low-carb, high-protein, high-fiber, no-cook</t>
        </is>
      </c>
      <c r="AB1019" s="3" t="inlineStr">
        <is>
          <t>1. Whisk the yogurt, lemon, garlic and mustard into a quick dressing.
2. Toss the shredded chicken and romaine with the dressing.
3. Spoon onto the tortillas, add parmesan and roll.</t>
        </is>
      </c>
      <c r="AC1019" s="4" t="inlineStr">
        <is>
          <t>["Whisk the yogurt, lemon, garlic and mustard into a quick dressing.", "Toss the shredded chicken and romaine with the dressing.", "Spoon onto the tortillas, add parmesan and roll."]</t>
        </is>
      </c>
    </row>
    <row r="1020" ht="96" customHeight="1">
      <c r="A1020" s="2" t="inlineStr">
        <is>
          <t>DB-1019</t>
        </is>
      </c>
      <c r="B1020" s="3" t="inlineStr">
        <is>
          <t>Tuna Salad Melt on Rye</t>
        </is>
      </c>
      <c r="C1020" s="4" t="inlineStr">
        <is>
          <t>Sandwiches &amp; Wraps</t>
        </is>
      </c>
      <c r="D1020" s="4" t="inlineStr">
        <is>
          <t>American</t>
        </is>
      </c>
      <c r="E1020" s="2" t="n">
        <v>2</v>
      </c>
      <c r="F1020" s="2" t="n">
        <v>10</v>
      </c>
      <c r="G1020" s="2" t="n">
        <v>5</v>
      </c>
      <c r="H1020" s="2" t="n">
        <v>15</v>
      </c>
      <c r="I1020" s="4" t="inlineStr">
        <is>
          <t>tuna-salad-melt-on-rye.jpg</t>
        </is>
      </c>
      <c r="J1020" s="3" t="inlineStr">
        <is>
          <t>Tuna Salad Melt on Rye, healthy food photography, plated, natural light</t>
        </is>
      </c>
      <c r="K1020" s="4" t="inlineStr"/>
      <c r="L1020" s="3" t="inlineStr">
        <is>
          <t>Tuna, canned in water — 240 g (8.5 oz)
Pumpernickel / whole rye bread — 80 g (2.8 oz)
Celery — 40 g (1.4 oz)
Greek yogurt, plain 2% — 50 g (1.8 oz)
Dijon mustard — 5 g (0.2 oz)
Cheddar cheese — 40 g (1.4 oz)
Dill pickles — 30 g (1.1 oz)</t>
        </is>
      </c>
      <c r="M1020" s="4" t="inlineStr">
        <is>
          <t>[{"ingredient_id": "tuna_canned", "name": "Tuna, canned in water", "grams": 240.0, "note": ""}, {"ingredient_id": "rye_bread", "name": "Pumpernickel / whole rye bread", "grams": 80.0, "note": ""}, {"ingredient_id": "celery", "name": "Celery", "grams": 40.0, "note": ""}, {"ingredient_id": "greek_yogurt", "name": "Greek yogurt, plain 2%", "grams": 50.0, "note": ""}, {"ingredient_id": "dijon", "name": "Dijon mustard", "grams": 5.0, "note": ""}, {"ingredient_id": "cheddar", "name": "Cheddar cheese", "grams": 40.0, "note": ""}, {"ingredient_id": "dill_pickle", "name": "Dill pickles", "grams": 30.0, "note": ""}]</t>
        </is>
      </c>
      <c r="N1020" s="2" t="n">
        <v>345</v>
      </c>
      <c r="O1020" s="5" t="n">
        <v>42.1</v>
      </c>
      <c r="P1020" s="5" t="n">
        <v>9.699999999999999</v>
      </c>
      <c r="Q1020" s="5" t="n">
        <v>21.1</v>
      </c>
      <c r="R1020" s="5" t="n">
        <v>3.2</v>
      </c>
      <c r="S1020" s="5" t="n">
        <v>18</v>
      </c>
      <c r="T1020" s="2" t="n">
        <v>46</v>
      </c>
      <c r="U1020" s="2" t="inlineStr">
        <is>
          <t>low</t>
        </is>
      </c>
      <c r="V1020" s="5" t="n">
        <v>8.300000000000001</v>
      </c>
      <c r="W1020" s="2" t="inlineStr">
        <is>
          <t>low</t>
        </is>
      </c>
      <c r="X1020" s="3" t="inlineStr"/>
      <c r="Y1020" s="3" t="inlineStr">
        <is>
          <t>96% of this dish's available carbohydrate comes from ingredients with a published, measured GI; the rest uses conventional placeholders (see Ingredients sheet)</t>
        </is>
      </c>
      <c r="Z1020" s="2" t="n">
        <v>96</v>
      </c>
      <c r="AA1020" s="3" t="inlineStr">
        <is>
          <t>pescatarian, nut-free, high-protein</t>
        </is>
      </c>
      <c r="AB1020" s="3" t="inlineStr">
        <is>
          <t>1. Mix the tuna, celery, chopped pickle, yogurt and mustard.
2. Pile onto the bread and top with cheddar.
3. Broil 3 minutes until the cheese melts.</t>
        </is>
      </c>
      <c r="AC1020" s="4" t="inlineStr">
        <is>
          <t>["Mix the tuna, celery, chopped pickle, yogurt and mustard.", "Pile onto the bread and top with cheddar.", "Broil 3 minutes until the cheese melts."]</t>
        </is>
      </c>
    </row>
    <row r="1021" ht="96" customHeight="1">
      <c r="A1021" s="2" t="inlineStr">
        <is>
          <t>DB-1020</t>
        </is>
      </c>
      <c r="B1021" s="3" t="inlineStr">
        <is>
          <t>Grilled Chicken Avocado Sandwich</t>
        </is>
      </c>
      <c r="C1021" s="4" t="inlineStr">
        <is>
          <t>Sandwiches &amp; Wraps</t>
        </is>
      </c>
      <c r="D1021" s="4" t="inlineStr">
        <is>
          <t>American</t>
        </is>
      </c>
      <c r="E1021" s="2" t="n">
        <v>2</v>
      </c>
      <c r="F1021" s="2" t="n">
        <v>10</v>
      </c>
      <c r="G1021" s="2" t="n">
        <v>10</v>
      </c>
      <c r="H1021" s="2" t="n">
        <v>20</v>
      </c>
      <c r="I1021" s="4" t="inlineStr">
        <is>
          <t>grilled-chicken-avocado-sandwich.jpg</t>
        </is>
      </c>
      <c r="J1021" s="3" t="inlineStr">
        <is>
          <t>Grilled Chicken Avocado Sandwich, healthy food photography, plated, natural light</t>
        </is>
      </c>
      <c r="K1021" s="4" t="inlineStr"/>
      <c r="L1021" s="3" t="inlineStr">
        <is>
          <t>Chicken breast, skinless — 240 g (8.5 oz)
Whole wheat bread (100% whole wheat) — 90 g (3.2 oz)
Avocado — 100 g (3.5 oz)
Tomato — 100 g (3.5 oz)
Arugula — 20 g (0.7 oz)
Dijon mustard — 5 g (0.2 oz)
Extra-virgin olive oil — 5 g (0.2 oz)</t>
        </is>
      </c>
      <c r="M1021" s="4" t="inlineStr">
        <is>
          <t>[{"ingredient_id": "chicken_breast", "name": "Chicken breast, skinless", "grams": 240.0, "note": ""}, {"ingredient_id": "whole_grain_bread", "name": "Whole wheat bread (100% whole wheat)", "grams": 90.0, "note": ""}, {"ingredient_id": "avocado", "name": "Avocado", "grams": 100.0, "note": ""}, {"ingredient_id": "tomato", "name": "Tomato", "grams": 100.0, "note": ""}, {"ingredient_id": "arugula", "name": "Arugula", "grams": 20.0, "note": ""}, {"ingredient_id": "dijon", "name": "Dijon mustard", "grams": 5.0, "note": ""}, {"ingredient_id": "olive_oil", "name": "Extra-virgin olive oil", "grams": 5.0, "note": ""}]</t>
        </is>
      </c>
      <c r="N1021" s="2" t="n">
        <v>372</v>
      </c>
      <c r="O1021" s="5" t="n">
        <v>34.2</v>
      </c>
      <c r="P1021" s="5" t="n">
        <v>14.9</v>
      </c>
      <c r="Q1021" s="5" t="n">
        <v>26</v>
      </c>
      <c r="R1021" s="5" t="n">
        <v>7.1</v>
      </c>
      <c r="S1021" s="5" t="n">
        <v>18.9</v>
      </c>
      <c r="T1021" s="2" t="n">
        <v>64</v>
      </c>
      <c r="U1021" s="2" t="inlineStr">
        <is>
          <t>medium</t>
        </is>
      </c>
      <c r="V1021" s="5" t="n">
        <v>12.1</v>
      </c>
      <c r="W1021" s="2" t="inlineStr">
        <is>
          <t>medium</t>
        </is>
      </c>
      <c r="X1021" s="3" t="inlineStr">
        <is>
          <t>Medium-GI dish: keep to the stated portion and pair with the protein/fat in the recipe; GL per serving is the better guide.</t>
        </is>
      </c>
      <c r="Y1021" s="3" t="inlineStr">
        <is>
          <t>87% of this dish's available carbohydrate comes from ingredients with a published, measured GI; the rest uses conventional placeholders (see Ingredients sheet)</t>
        </is>
      </c>
      <c r="Z1021" s="2" t="n">
        <v>87</v>
      </c>
      <c r="AA1021" s="3" t="inlineStr">
        <is>
          <t>dairy-free, nut-free, high-protein, high-fiber</t>
        </is>
      </c>
      <c r="AB1021" s="3" t="inlineStr">
        <is>
          <t>1. Pound the chicken thin, brush with oil and grill 4 minutes a side.
2. Toast the bread and spread with mashed avocado and mustard.
3. Layer chicken, tomato and arugula.</t>
        </is>
      </c>
      <c r="AC1021" s="4" t="inlineStr">
        <is>
          <t>["Pound the chicken thin, brush with oil and grill 4 minutes a side.", "Toast the bread and spread with mashed avocado and mustard.", "Layer chicken, tomato and arugula."]</t>
        </is>
      </c>
    </row>
    <row r="1022" ht="96" customHeight="1">
      <c r="A1022" s="2" t="inlineStr">
        <is>
          <t>DB-1021</t>
        </is>
      </c>
      <c r="B1022" s="3" t="inlineStr">
        <is>
          <t>Turkey Burger Lettuce Wrap</t>
        </is>
      </c>
      <c r="C1022" s="4" t="inlineStr">
        <is>
          <t>Sandwiches &amp; Wraps</t>
        </is>
      </c>
      <c r="D1022" s="4" t="inlineStr">
        <is>
          <t>American</t>
        </is>
      </c>
      <c r="E1022" s="2" t="n">
        <v>3</v>
      </c>
      <c r="F1022" s="2" t="n">
        <v>10</v>
      </c>
      <c r="G1022" s="2" t="n">
        <v>12</v>
      </c>
      <c r="H1022" s="2" t="n">
        <v>22</v>
      </c>
      <c r="I1022" s="4" t="inlineStr">
        <is>
          <t>turkey-burger-lettuce-wrap.jpg</t>
        </is>
      </c>
      <c r="J1022" s="3" t="inlineStr">
        <is>
          <t>Turkey Burger Lettuce Wrap, healthy food photography, plated, natural light</t>
        </is>
      </c>
      <c r="K1022" s="4" t="inlineStr"/>
      <c r="L1022" s="3" t="inlineStr">
        <is>
          <t>Ground turkey 93% lean — 450 g (15.9 oz)
Butter lettuce — 120 g (4.2 oz)
Tomato — 120 g (4.2 oz)
Red onion — 40 g (1.4 oz)
Dill pickles — 40 g (1.4 oz)
Yellow mustard — 10 g (0.4 oz)
Egg, large (50 g each) — 50 g (1.8 oz)
Smoked paprika — 2 g (0.1 oz)
Salt — 2 g (0.1 oz)</t>
        </is>
      </c>
      <c r="M1022" s="4" t="inlineStr">
        <is>
          <t>[{"ingredient_id": "ground_turkey", "name": "Ground turkey 93% lean", "grams": 450.0, "note": ""}, {"ingredient_id": "butter_lettuce", "name": "Butter lettuce", "grams": 120.0, "note": ""}, {"ingredient_id": "tomato", "name": "Tomato", "grams": 120.0, "note": ""}, {"ingredient_id": "red_onion", "name": "Red onion", "grams": 40.0, "note": ""}, {"ingredient_id": "dill_pickle", "name": "Dill pickles", "grams": 40.0, "note": ""}, {"ingredient_id": "yellow_mustard", "name": "Yellow mustard", "grams": 10.0, "note": ""}, {"ingredient_id": "egg", "name": "Egg, large (50 g each)", "grams": 50.0, "note": ""}, {"ingredient_id": "smoked_paprika", "name": "Smoked paprika", "grams": 2.0, "note": ""}, {"ingredient_id": "salt", "name": "Salt", "grams": 2.0, "note": ""}]</t>
        </is>
      </c>
      <c r="N1022" s="2" t="n">
        <v>272</v>
      </c>
      <c r="O1022" s="5" t="n">
        <v>31.5</v>
      </c>
      <c r="P1022" s="5" t="n">
        <v>14</v>
      </c>
      <c r="Q1022" s="5" t="n">
        <v>4.6</v>
      </c>
      <c r="R1022" s="5" t="n">
        <v>1.6</v>
      </c>
      <c r="S1022" s="5" t="n">
        <v>3</v>
      </c>
      <c r="T1022" s="2" t="n">
        <v>14</v>
      </c>
      <c r="U1022" s="2" t="inlineStr">
        <is>
          <t>low</t>
        </is>
      </c>
      <c r="V1022" s="5" t="n">
        <v>0.4</v>
      </c>
      <c r="W1022" s="2" t="inlineStr">
        <is>
          <t>low</t>
        </is>
      </c>
      <c r="X1022" s="3" t="inlineStr">
        <is>
          <t>Negligible carbohydrate (&lt;5 g net/serving): GI has little practical meaning, glycemic load is what matters.</t>
        </is>
      </c>
      <c r="Y1022" s="3" t="inlineStr">
        <is>
          <t>0% of this dish's available carbohydrate comes from ingredients with a published, measured GI; the rest uses conventional placeholders (see Ingredients sheet)</t>
        </is>
      </c>
      <c r="Z1022" s="2" t="n">
        <v>0</v>
      </c>
      <c r="AA1022" s="3" t="inlineStr">
        <is>
          <t>gluten-free, dairy-free, nut-free, low-carb, high-protein</t>
        </is>
      </c>
      <c r="AB1022" s="3" t="inlineStr">
        <is>
          <t>1. Mix the turkey, egg, paprika and salt and shape three patties.
2. Grill or pan-sear 5 to 6 minutes a side.
3. Wrap each patty in lettuce with tomato, onion, pickle and mustard.</t>
        </is>
      </c>
      <c r="AC1022" s="4" t="inlineStr">
        <is>
          <t>["Mix the turkey, egg, paprika and salt and shape three patties.", "Grill or pan-sear 5 to 6 minutes a side.", "Wrap each patty in lettuce with tomato, onion, pickle and mustard."]</t>
        </is>
      </c>
    </row>
    <row r="1023" ht="96" customHeight="1">
      <c r="A1023" s="2" t="inlineStr">
        <is>
          <t>DB-1022</t>
        </is>
      </c>
      <c r="B1023" s="3" t="inlineStr">
        <is>
          <t>Philly Cheesesteak Stuffed Peppers</t>
        </is>
      </c>
      <c r="C1023" s="4" t="inlineStr">
        <is>
          <t>Sandwiches &amp; Wraps</t>
        </is>
      </c>
      <c r="D1023" s="4" t="inlineStr">
        <is>
          <t>American</t>
        </is>
      </c>
      <c r="E1023" s="2" t="n">
        <v>4</v>
      </c>
      <c r="F1023" s="2" t="n">
        <v>15</v>
      </c>
      <c r="G1023" s="2" t="n">
        <v>25</v>
      </c>
      <c r="H1023" s="2" t="n">
        <v>40</v>
      </c>
      <c r="I1023" s="4" t="inlineStr">
        <is>
          <t>philly-cheesesteak-stuffed-peppers.jpg</t>
        </is>
      </c>
      <c r="J1023" s="3" t="inlineStr">
        <is>
          <t>Philly Cheesesteak Stuffed Peppers, healthy food photography, plated, natural light</t>
        </is>
      </c>
      <c r="K1023" s="4" t="inlineStr"/>
      <c r="L1023" s="3" t="inlineStr">
        <is>
          <t>Bell pepper — 500 g (17.6 oz)
Flank steak — 400 g (14.1 oz)
Yellow onion — 120 g (4.2 oz)
Mushrooms (cremini/white) — 120 g (4.2 oz)
Swiss cheese — 80 g (2.8 oz)
Extra-virgin olive oil — 15 g (0.5 oz)
Black pepper — 1 g (0.0 oz)
Salt — 2 g (0.1 oz)</t>
        </is>
      </c>
      <c r="M1023" s="4" t="inlineStr">
        <is>
          <t>[{"ingredient_id": "bell_pepper", "name": "Bell pepper", "grams": 500.0, "note": ""}, {"ingredient_id": "flank_steak", "name": "Flank steak", "grams": 400.0, "note": ""}, {"ingredient_id": "onion", "name": "Yellow onion", "grams": 120.0, "note": ""}, {"ingredient_id": "mushrooms", "name": "Mushrooms (cremini/white)", "grams": 120.0, "note": ""}, {"ingredient_id": "swiss_cheese", "name": "Swiss cheese", "grams": 80.0, "note": ""}, {"ingredient_id": "olive_oil", "name": "Extra-virgin olive oil", "grams": 15.0, "note": ""}, {"ingredient_id": "black_pepper", "name": "Black pepper", "grams": 1.0, "note": ""}, {"ingredient_id": "salt", "name": "Salt", "grams": 2.0, "note": ""}]</t>
        </is>
      </c>
      <c r="N1023" s="2" t="n">
        <v>317</v>
      </c>
      <c r="O1023" s="5" t="n">
        <v>28.9</v>
      </c>
      <c r="P1023" s="5" t="n">
        <v>16.9</v>
      </c>
      <c r="Q1023" s="5" t="n">
        <v>11.7</v>
      </c>
      <c r="R1023" s="5" t="n">
        <v>3.5</v>
      </c>
      <c r="S1023" s="5" t="n">
        <v>8.199999999999999</v>
      </c>
      <c r="T1023" s="2" t="n">
        <v>14</v>
      </c>
      <c r="U1023" s="2" t="inlineStr">
        <is>
          <t>low</t>
        </is>
      </c>
      <c r="V1023" s="5" t="n">
        <v>1.2</v>
      </c>
      <c r="W1023" s="2" t="inlineStr">
        <is>
          <t>low</t>
        </is>
      </c>
      <c r="X1023" s="3" t="inlineStr"/>
      <c r="Y1023" s="3" t="inlineStr">
        <is>
          <t>0% of this dish's available carbohydrate comes from ingredients with a published, measured GI; the rest uses conventional placeholders (see Ingredients sheet)</t>
        </is>
      </c>
      <c r="Z1023" s="2" t="n">
        <v>0</v>
      </c>
      <c r="AA1023" s="3" t="inlineStr">
        <is>
          <t>gluten-free, nut-free, low-carb, high-protein</t>
        </is>
      </c>
      <c r="AB1023" s="3" t="inlineStr">
        <is>
          <t>1. Halve the peppers and roast them cut-side up for 10 minutes at 400°F.
2. Slice the steak thin and sear with the onion and mushrooms in oil.
3. Fill the peppers, top with Swiss and bake 8 minutes.</t>
        </is>
      </c>
      <c r="AC1023" s="4" t="inlineStr">
        <is>
          <t>["Halve the peppers and roast them cut-side up for 10 minutes at 400°F.", "Slice the steak thin and sear with the onion and mushrooms in oil.", "Fill the peppers, top with Swiss and bake 8 minutes."]</t>
        </is>
      </c>
    </row>
    <row r="1024" ht="96" customHeight="1">
      <c r="A1024" s="2" t="inlineStr">
        <is>
          <t>DB-1023</t>
        </is>
      </c>
      <c r="B1024" s="3" t="inlineStr">
        <is>
          <t>Egg Salad on Ezekiel Toast</t>
        </is>
      </c>
      <c r="C1024" s="4" t="inlineStr">
        <is>
          <t>Sandwiches &amp; Wraps</t>
        </is>
      </c>
      <c r="D1024" s="4" t="inlineStr">
        <is>
          <t>American</t>
        </is>
      </c>
      <c r="E1024" s="2" t="n">
        <v>2</v>
      </c>
      <c r="F1024" s="2" t="n">
        <v>15</v>
      </c>
      <c r="G1024" s="2" t="n">
        <v>10</v>
      </c>
      <c r="H1024" s="2" t="n">
        <v>25</v>
      </c>
      <c r="I1024" s="4" t="inlineStr">
        <is>
          <t>egg-salad-on-ezekiel-toast.jpg</t>
        </is>
      </c>
      <c r="J1024" s="3" t="inlineStr">
        <is>
          <t>Egg Salad on Ezekiel Toast, healthy food photography, plated, natural light</t>
        </is>
      </c>
      <c r="K1024" s="4" t="inlineStr"/>
      <c r="L1024" s="3" t="inlineStr">
        <is>
          <t>Egg, large (50 g each) — 250 g (8.8 oz)
Sprouted grain bread (Ezekiel-style) — 70 g (2.5 oz)
Greek yogurt, plain 2% — 40 g (1.4 oz)
Dijon mustard — 5 g (0.2 oz)
Celery — 30 g (1.1 oz)
Fresh chives — 3 g (0.1 oz)
Paprika — 1 g (0.0 oz)</t>
        </is>
      </c>
      <c r="M1024" s="4" t="inlineStr">
        <is>
          <t>[{"ingredient_id": "egg", "name": "Egg, large (50 g each)", "grams": 250.0, "note": ""}, {"ingredient_id": "ezekiel_bread", "name": "Sprouted grain bread (Ezekiel-style)", "grams": 70.0, "note": ""}, {"ingredient_id": "greek_yogurt", "name": "Greek yogurt, plain 2%", "grams": 40.0, "note": ""}, {"ingredient_id": "dijon", "name": "Dijon mustard", "grams": 5.0, "note": ""}, {"ingredient_id": "celery", "name": "Celery", "grams": 30.0, "note": ""}, {"ingredient_id": "chives", "name": "Fresh chives", "grams": 3.0, "note": ""}, {"ingredient_id": "paprika", "name": "Paprika", "grams": 1.0, "note": ""}]</t>
        </is>
      </c>
      <c r="N1024" s="2" t="n">
        <v>282</v>
      </c>
      <c r="O1024" s="5" t="n">
        <v>22.3</v>
      </c>
      <c r="P1024" s="5" t="n">
        <v>13</v>
      </c>
      <c r="Q1024" s="5" t="n">
        <v>18</v>
      </c>
      <c r="R1024" s="5" t="n">
        <v>3.7</v>
      </c>
      <c r="S1024" s="5" t="n">
        <v>14.3</v>
      </c>
      <c r="T1024" s="2" t="n">
        <v>54</v>
      </c>
      <c r="U1024" s="2" t="inlineStr">
        <is>
          <t>low</t>
        </is>
      </c>
      <c r="V1024" s="5" t="n">
        <v>7.7</v>
      </c>
      <c r="W1024" s="2" t="inlineStr">
        <is>
          <t>low</t>
        </is>
      </c>
      <c r="X1024" s="3" t="inlineStr"/>
      <c r="Y1024" s="3" t="inlineStr">
        <is>
          <t>91% of this dish's available carbohydrate comes from ingredients with a published, measured GI; the rest uses conventional placeholders (see Ingredients sheet)</t>
        </is>
      </c>
      <c r="Z1024" s="2" t="n">
        <v>91</v>
      </c>
      <c r="AA1024" s="3" t="inlineStr">
        <is>
          <t>vegetarian, gluten-free, nut-free, low-carb</t>
        </is>
      </c>
      <c r="AB1024" s="3" t="inlineStr">
        <is>
          <t>1. Hard-boil the eggs for 10 minutes, cool and chop.
2. Fold in the yogurt, mustard, celery and chives.
3. Pile onto the toast and dust with paprika.</t>
        </is>
      </c>
      <c r="AC1024" s="4" t="inlineStr">
        <is>
          <t>["Hard-boil the eggs for 10 minutes, cool and chop.", "Fold in the yogurt, mustard, celery and chives.", "Pile onto the toast and dust with paprika."]</t>
        </is>
      </c>
    </row>
    <row r="1025" ht="96" customHeight="1">
      <c r="A1025" s="2" t="inlineStr">
        <is>
          <t>DB-1024</t>
        </is>
      </c>
      <c r="B1025" s="3" t="inlineStr">
        <is>
          <t>Pulled Chicken BBQ Sandwich</t>
        </is>
      </c>
      <c r="C1025" s="4" t="inlineStr">
        <is>
          <t>Sandwiches &amp; Wraps</t>
        </is>
      </c>
      <c r="D1025" s="4" t="inlineStr">
        <is>
          <t>American</t>
        </is>
      </c>
      <c r="E1025" s="2" t="n">
        <v>4</v>
      </c>
      <c r="F1025" s="2" t="n">
        <v>15</v>
      </c>
      <c r="G1025" s="2" t="n">
        <v>25</v>
      </c>
      <c r="H1025" s="2" t="n">
        <v>40</v>
      </c>
      <c r="I1025" s="4" t="inlineStr">
        <is>
          <t>pulled-chicken-bbq-sandwich.jpg</t>
        </is>
      </c>
      <c r="J1025" s="3" t="inlineStr">
        <is>
          <t>Pulled Chicken BBQ Sandwich, healthy food photography, plated, natural light</t>
        </is>
      </c>
      <c r="K1025" s="4" t="inlineStr"/>
      <c r="L1025" s="3" t="inlineStr">
        <is>
          <t>Chicken breast, skinless — 560 g (19.8 oz)
Tomato paste — 60 g (2.1 oz)
Apple cider vinegar — 30 g (1.1 oz)
Smoked paprika — 4 g (0.1 oz)
Garlic powder — 3 g (0.1 oz)
Monk fruit/erythritol sweetener — 5 g (0.2 oz)
Whole wheat English muffin — 228 g (8.0 oz)
Coleslaw mix (cabbage &amp; carrot) — 120 g (4.2 oz)</t>
        </is>
      </c>
      <c r="M1025" s="4" t="inlineStr">
        <is>
          <t>[{"ingredient_id": "chicken_breast", "name": "Chicken breast, skinless", "grams": 560.0, "note": ""}, {"ingredient_id": "tomato_paste", "name": "Tomato paste", "grams": 60.0, "note": ""}, {"ingredient_id": "apple_cider_vinegar", "name": "Apple cider vinegar", "grams": 30.0, "note": ""}, {"ingredient_id": "smoked_paprika", "name": "Smoked paprika", "grams": 4.0, "note": ""}, {"ingredient_id": "garlic_powder", "name": "Garlic powder", "grams": 3.0, "note": ""}, {"ingredient_id": "monk_fruit_sweetener", "name": "Monk fruit/erythritol sweetener", "grams": 5.0, "note": ""}, {"ingredient_id": "whole_wheat_english_muffin", "name": "Whole wheat English muffin", "grams": 228.0, "note": ""}, {"ingredient_id": "coleslaw_mix", "name": "Coleslaw mix (cabbage &amp; carrot)", "grams": 120.0, "note": ""}]</t>
        </is>
      </c>
      <c r="N1025" s="2" t="n">
        <v>321</v>
      </c>
      <c r="O1025" s="5" t="n">
        <v>37.9</v>
      </c>
      <c r="P1025" s="5" t="n">
        <v>5</v>
      </c>
      <c r="Q1025" s="5" t="n">
        <v>31.5</v>
      </c>
      <c r="R1025" s="5" t="n">
        <v>5.7</v>
      </c>
      <c r="S1025" s="5" t="n">
        <v>25.7</v>
      </c>
      <c r="T1025" s="2" t="n">
        <v>42</v>
      </c>
      <c r="U1025" s="2" t="inlineStr">
        <is>
          <t>low</t>
        </is>
      </c>
      <c r="V1025" s="5" t="n">
        <v>10.8</v>
      </c>
      <c r="W1025" s="2" t="inlineStr">
        <is>
          <t>medium</t>
        </is>
      </c>
      <c r="X1025" s="3" t="inlineStr"/>
      <c r="Y1025" s="3" t="inlineStr">
        <is>
          <t>84% of this dish's available carbohydrate comes from ingredients with a published, measured GI; the rest uses conventional placeholders (see Ingredients sheet)</t>
        </is>
      </c>
      <c r="Z1025" s="2" t="n">
        <v>84</v>
      </c>
      <c r="AA1025" s="3" t="inlineStr">
        <is>
          <t>dairy-free, nut-free, high-protein</t>
        </is>
      </c>
      <c r="AB1025" s="3" t="inlineStr">
        <is>
          <t>1. Simmer the chicken in broth-free water until cooked, then shred.
2. Whisk the tomato paste, vinegar, paprika, garlic and sweetener into a sauce.
3. Toss the chicken in the sauce and warm through.
4. Pile onto toasted muffins with coleslaw mix.</t>
        </is>
      </c>
      <c r="AC1025" s="4" t="inlineStr">
        <is>
          <t>["Simmer the chicken in broth-free water until cooked, then shred.", "Whisk the tomato paste, vinegar, paprika, garlic and sweetener into a sauce.", "Toss the chicken in the sauce and warm through.", "Pile onto toasted muffins with coleslaw mix."]</t>
        </is>
      </c>
    </row>
    <row r="1026" ht="96" customHeight="1">
      <c r="A1026" s="2" t="inlineStr">
        <is>
          <t>DB-1025</t>
        </is>
      </c>
      <c r="B1026" s="3" t="inlineStr">
        <is>
          <t>Reuben Roll-Ups</t>
        </is>
      </c>
      <c r="C1026" s="4" t="inlineStr">
        <is>
          <t>Sandwiches &amp; Wraps</t>
        </is>
      </c>
      <c r="D1026" s="4" t="inlineStr">
        <is>
          <t>American</t>
        </is>
      </c>
      <c r="E1026" s="2" t="n">
        <v>2</v>
      </c>
      <c r="F1026" s="2" t="n">
        <v>10</v>
      </c>
      <c r="G1026" s="2" t="n">
        <v>5</v>
      </c>
      <c r="H1026" s="2" t="n">
        <v>15</v>
      </c>
      <c r="I1026" s="4" t="inlineStr">
        <is>
          <t>reuben-roll-ups.jpg</t>
        </is>
      </c>
      <c r="J1026" s="3" t="inlineStr">
        <is>
          <t>Reuben Roll-Ups, healthy food photography, plated, natural light</t>
        </is>
      </c>
      <c r="K1026" s="4" t="inlineStr"/>
      <c r="L1026" s="3" t="inlineStr">
        <is>
          <t>Deli turkey breast, low sodium — 180 g (6.3 oz)
Swiss cheese — 60 g (2.1 oz)
Sauerkraut — 90 g (3.2 oz)
Dijon mustard — 10 g (0.4 oz)
Dill pickles — 40 g (1.4 oz)</t>
        </is>
      </c>
      <c r="M1026" s="4" t="inlineStr">
        <is>
          <t>[{"ingredient_id": "deli_turkey", "name": "Deli turkey breast, low sodium", "grams": 180.0, "note": ""}, {"ingredient_id": "swiss_cheese", "name": "Swiss cheese", "grams": 60.0, "note": ""}, {"ingredient_id": "sauerkraut", "name": "Sauerkraut", "grams": 90.0, "note": ""}, {"ingredient_id": "dijon", "name": "Dijon mustard", "grams": 10.0, "note": ""}, {"ingredient_id": "dill_pickle", "name": "Dill pickles", "grams": 40.0, "note": ""}]</t>
        </is>
      </c>
      <c r="N1026" s="2" t="n">
        <v>222</v>
      </c>
      <c r="O1026" s="5" t="n">
        <v>24.1</v>
      </c>
      <c r="P1026" s="5" t="n">
        <v>10</v>
      </c>
      <c r="Q1026" s="5" t="n">
        <v>6.7</v>
      </c>
      <c r="R1026" s="5" t="n">
        <v>1.7</v>
      </c>
      <c r="S1026" s="5" t="n">
        <v>5</v>
      </c>
      <c r="T1026" s="2" t="n">
        <v>3</v>
      </c>
      <c r="U1026" s="2" t="inlineStr">
        <is>
          <t>low</t>
        </is>
      </c>
      <c r="V1026" s="5" t="n">
        <v>0.2</v>
      </c>
      <c r="W1026" s="2" t="inlineStr">
        <is>
          <t>low</t>
        </is>
      </c>
      <c r="X1026" s="3" t="inlineStr"/>
      <c r="Y1026" s="3" t="inlineStr">
        <is>
          <t>0% of this dish's available carbohydrate comes from ingredients with a published, measured GI; the rest uses conventional placeholders (see Ingredients sheet)</t>
        </is>
      </c>
      <c r="Z1026" s="2" t="n">
        <v>0</v>
      </c>
      <c r="AA1026" s="3" t="inlineStr">
        <is>
          <t>gluten-free, nut-free, low-carb</t>
        </is>
      </c>
      <c r="AB1026" s="3" t="inlineStr">
        <is>
          <t>1. Lay out the turkey slices and spread with mustard.
2. Add Swiss, sauerkraut and a pickle spear.
3. Roll tight and sear seam-side down for 2 minutes.</t>
        </is>
      </c>
      <c r="AC1026" s="4" t="inlineStr">
        <is>
          <t>["Lay out the turkey slices and spread with mustard.", "Add Swiss, sauerkraut and a pickle spear.", "Roll tight and sear seam-side down for 2 minutes."]</t>
        </is>
      </c>
    </row>
    <row r="1027" ht="96" customHeight="1">
      <c r="A1027" s="2" t="inlineStr">
        <is>
          <t>DB-1026</t>
        </is>
      </c>
      <c r="B1027" s="3" t="inlineStr">
        <is>
          <t>Hummus and Veggie Pita Pocket</t>
        </is>
      </c>
      <c r="C1027" s="4" t="inlineStr">
        <is>
          <t>Sandwiches &amp; Wraps</t>
        </is>
      </c>
      <c r="D1027" s="4" t="inlineStr">
        <is>
          <t>American</t>
        </is>
      </c>
      <c r="E1027" s="2" t="n">
        <v>2</v>
      </c>
      <c r="F1027" s="2" t="n">
        <v>10</v>
      </c>
      <c r="G1027" s="2" t="n">
        <v>0</v>
      </c>
      <c r="H1027" s="2" t="n">
        <v>10</v>
      </c>
      <c r="I1027" s="4" t="inlineStr">
        <is>
          <t>hummus-and-veggie-pita-pocket.jpg</t>
        </is>
      </c>
      <c r="J1027" s="3" t="inlineStr">
        <is>
          <t>Hummus and Veggie Pita Pocket, healthy food photography, plated, natural light</t>
        </is>
      </c>
      <c r="K1027" s="4" t="inlineStr"/>
      <c r="L1027" s="3" t="inlineStr">
        <is>
          <t>Whole wheat pita — 120 g (4.2 oz)
Hummus — 100 g (3.5 oz)
Cucumber — 100 g (3.5 oz)
Tomato — 80 g (2.8 oz)
Mixed salad greens — 40 g (1.4 oz)
Red onion — 20 g (0.7 oz)
Feta cheese — 30 g (1.1 oz)</t>
        </is>
      </c>
      <c r="M1027" s="4" t="inlineStr">
        <is>
          <t>[{"ingredient_id": "whole_wheat_pita", "name": "Whole wheat pita", "grams": 120.0, "note": ""}, {"ingredient_id": "hummus", "name": "Hummus", "grams": 100.0, "note": ""}, {"ingredient_id": "cucumber", "name": "Cucumber", "grams": 100.0, "note": ""}, {"ingredient_id": "tomato", "name": "Tomato", "grams": 80.0, "note": ""}, {"ingredient_id": "mixed_greens", "name": "Mixed salad greens", "grams": 40.0, "note": ""}, {"ingredient_id": "red_onion", "name": "Red onion", "grams": 20.0, "note": ""}, {"ingredient_id": "feta", "name": "Feta cheese", "grams": 30.0, "note": ""}]</t>
        </is>
      </c>
      <c r="N1027" s="2" t="n">
        <v>305</v>
      </c>
      <c r="O1027" s="5" t="n">
        <v>13.3</v>
      </c>
      <c r="P1027" s="5" t="n">
        <v>9.699999999999999</v>
      </c>
      <c r="Q1027" s="5" t="n">
        <v>45.6</v>
      </c>
      <c r="R1027" s="5" t="n">
        <v>8.699999999999999</v>
      </c>
      <c r="S1027" s="5" t="n">
        <v>36.9</v>
      </c>
      <c r="T1027" s="2" t="n">
        <v>47</v>
      </c>
      <c r="U1027" s="2" t="inlineStr">
        <is>
          <t>low</t>
        </is>
      </c>
      <c r="V1027" s="5" t="n">
        <v>17.3</v>
      </c>
      <c r="W1027" s="2" t="inlineStr">
        <is>
          <t>medium</t>
        </is>
      </c>
      <c r="X1027" s="3" t="inlineStr"/>
      <c r="Y1027" s="3" t="inlineStr">
        <is>
          <t>88% of this dish's available carbohydrate comes from ingredients with a published, measured GI; the rest uses conventional placeholders (see Ingredients sheet)</t>
        </is>
      </c>
      <c r="Z1027" s="2" t="n">
        <v>88</v>
      </c>
      <c r="AA1027" s="3" t="inlineStr">
        <is>
          <t>vegetarian, nut-free, high-fiber, no-cook</t>
        </is>
      </c>
      <c r="AB1027" s="3" t="inlineStr">
        <is>
          <t>1. Halve the pitas and open the pockets.
2. Spread with hummus.
3. Stuff with cucumber, tomato, greens, onion and feta.</t>
        </is>
      </c>
      <c r="AC1027" s="4" t="inlineStr">
        <is>
          <t>["Halve the pitas and open the pockets.", "Spread with hummus.", "Stuff with cucumber, tomato, greens, onion and feta."]</t>
        </is>
      </c>
    </row>
    <row r="1028" ht="96" customHeight="1">
      <c r="A1028" s="2" t="inlineStr">
        <is>
          <t>DB-1027</t>
        </is>
      </c>
      <c r="B1028" s="3" t="inlineStr">
        <is>
          <t>California Turkey Wrap</t>
        </is>
      </c>
      <c r="C1028" s="4" t="inlineStr">
        <is>
          <t>Sandwiches &amp; Wraps</t>
        </is>
      </c>
      <c r="D1028" s="4" t="inlineStr">
        <is>
          <t>American</t>
        </is>
      </c>
      <c r="E1028" s="2" t="n">
        <v>2</v>
      </c>
      <c r="F1028" s="2" t="n">
        <v>10</v>
      </c>
      <c r="G1028" s="2" t="n">
        <v>0</v>
      </c>
      <c r="H1028" s="2" t="n">
        <v>10</v>
      </c>
      <c r="I1028" s="4" t="inlineStr">
        <is>
          <t>california-turkey-wrap.jpg</t>
        </is>
      </c>
      <c r="J1028" s="3" t="inlineStr">
        <is>
          <t>California Turkey Wrap, healthy food photography, plated, natural light</t>
        </is>
      </c>
      <c r="K1028" s="4" t="inlineStr"/>
      <c r="L1028" s="3" t="inlineStr">
        <is>
          <t>Low-carb high-fiber tortilla — 100 g (3.5 oz)
Deli turkey breast, low sodium — 120 g (4.2 oz)
Avocado — 100 g (3.5 oz)
Spinach — 40 g (1.4 oz)
Tomato — 80 g (2.8 oz)
Sunflower seeds — 10 g (0.4 oz)
Dijon mustard — 5 g (0.2 oz)</t>
        </is>
      </c>
      <c r="M1028" s="4" t="inlineStr">
        <is>
          <t>[{"ingredient_id": "low_carb_tortilla", "name": "Low-carb high-fiber tortilla", "grams": 100.0, "note": ""}, {"ingredient_id": "deli_turkey", "name": "Deli turkey breast, low sodium", "grams": 120.0, "note": ""}, {"ingredient_id": "avocado", "name": "Avocado", "grams": 100.0, "note": ""}, {"ingredient_id": "spinach", "name": "Spinach", "grams": 40.0, "note": ""}, {"ingredient_id": "tomato", "name": "Tomato", "grams": 80.0, "note": ""}, {"ingredient_id": "sunflower_seeds", "name": "Sunflower seeds", "grams": 10.0, "note": ""}, {"ingredient_id": "dijon", "name": "Dijon mustard", "grams": 5.0, "note": ""}]</t>
        </is>
      </c>
      <c r="N1028" s="2" t="n">
        <v>310</v>
      </c>
      <c r="O1028" s="5" t="n">
        <v>19.3</v>
      </c>
      <c r="P1028" s="5" t="n">
        <v>15.2</v>
      </c>
      <c r="Q1028" s="5" t="n">
        <v>30.1</v>
      </c>
      <c r="R1028" s="5" t="n">
        <v>17.3</v>
      </c>
      <c r="S1028" s="5" t="n">
        <v>12.8</v>
      </c>
      <c r="T1028" s="2" t="n">
        <v>21</v>
      </c>
      <c r="U1028" s="2" t="inlineStr">
        <is>
          <t>low</t>
        </is>
      </c>
      <c r="V1028" s="5" t="n">
        <v>2.7</v>
      </c>
      <c r="W1028" s="2" t="inlineStr">
        <is>
          <t>low</t>
        </is>
      </c>
      <c r="X1028" s="3" t="inlineStr"/>
      <c r="Y1028" s="3" t="inlineStr">
        <is>
          <t>0% of this dish's available carbohydrate comes from ingredients with a published, measured GI; the rest uses conventional placeholders (see Ingredients sheet)</t>
        </is>
      </c>
      <c r="Z1028" s="2" t="n">
        <v>0</v>
      </c>
      <c r="AA1028" s="3" t="inlineStr">
        <is>
          <t>dairy-free, nut-free, low-carb, high-fiber, no-cook</t>
        </is>
      </c>
      <c r="AB1028" s="3" t="inlineStr">
        <is>
          <t>1. Spread the tortillas with mashed avocado and mustard.
2. Layer turkey, spinach and tomato.
3. Sprinkle with seeds, roll and halve.</t>
        </is>
      </c>
      <c r="AC1028" s="4" t="inlineStr">
        <is>
          <t>["Spread the tortillas with mashed avocado and mustard.", "Layer turkey, spinach and tomato.", "Sprinkle with seeds, roll and halve."]</t>
        </is>
      </c>
    </row>
    <row r="1029" ht="96" customHeight="1">
      <c r="A1029" s="2" t="inlineStr">
        <is>
          <t>DB-1028</t>
        </is>
      </c>
      <c r="B1029" s="3" t="inlineStr">
        <is>
          <t>Sloppy Joe Stuffed Sweet Potato</t>
        </is>
      </c>
      <c r="C1029" s="4" t="inlineStr">
        <is>
          <t>Sandwiches &amp; Wraps</t>
        </is>
      </c>
      <c r="D1029" s="4" t="inlineStr">
        <is>
          <t>American</t>
        </is>
      </c>
      <c r="E1029" s="2" t="n">
        <v>4</v>
      </c>
      <c r="F1029" s="2" t="n">
        <v>15</v>
      </c>
      <c r="G1029" s="2" t="n">
        <v>35</v>
      </c>
      <c r="H1029" s="2" t="n">
        <v>50</v>
      </c>
      <c r="I1029" s="4" t="inlineStr">
        <is>
          <t>sloppy-joe-stuffed-sweet-potato.jpg</t>
        </is>
      </c>
      <c r="J1029" s="3" t="inlineStr">
        <is>
          <t>Sloppy Joe Stuffed Sweet Potato, healthy food photography, plated, natural light</t>
        </is>
      </c>
      <c r="K1029" s="4" t="inlineStr"/>
      <c r="L1029" s="3" t="inlineStr">
        <is>
          <t>Sweet potato, boiled/simmered — 600 g (21.2 oz)
Ground turkey 93% lean — 400 g (14.1 oz)
Tomato sauce, canned, no sugar added — 200 g (7.1 oz)
Yellow onion — 100 g (3.5 oz)
Bell pepper — 100 g (3.5 oz)
Yellow mustard — 10 g (0.4 oz)
Apple cider vinegar — 15 g (0.5 oz)
Chili powder — 3 g (0.1 oz)</t>
        </is>
      </c>
      <c r="M1029" s="4" t="inlineStr">
        <is>
          <t>[{"ingredient_id": "sweet_potato", "name": "Sweet potato, boiled/simmered", "grams": 600.0,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"yellow_mustard", "name": "Yellow mustard", "grams": 10.0, "note": ""}, {"ingredient_id": "apple_cider_vinegar", "name": "Apple cider vinegar", "grams": 15.0, "note": ""}, {"ingredient_id": "chili_powder", "name": "Chili powder", "grams": 3.0, "note": ""}]</t>
        </is>
      </c>
      <c r="N1029" s="2" t="n">
        <v>313</v>
      </c>
      <c r="O1029" s="5" t="n">
        <v>22.5</v>
      </c>
      <c r="P1029" s="5" t="n">
        <v>8.5</v>
      </c>
      <c r="Q1029" s="5" t="n">
        <v>37</v>
      </c>
      <c r="R1029" s="5" t="n">
        <v>6.5</v>
      </c>
      <c r="S1029" s="5" t="n">
        <v>30.5</v>
      </c>
      <c r="T1029" s="2" t="n">
        <v>42</v>
      </c>
      <c r="U1029" s="2" t="inlineStr">
        <is>
          <t>low</t>
        </is>
      </c>
      <c r="V1029" s="5" t="n">
        <v>12.8</v>
      </c>
      <c r="W1029" s="2" t="inlineStr">
        <is>
          <t>medium</t>
        </is>
      </c>
      <c r="X1029" s="3" t="inlineStr"/>
      <c r="Y1029" s="3" t="inlineStr">
        <is>
          <t>84% of this dish's available carbohydrate comes from ingredients with a published, measured GI; the rest uses conventional placeholders (see Ingredients sheet)</t>
        </is>
      </c>
      <c r="Z1029" s="2" t="n">
        <v>84</v>
      </c>
      <c r="AA1029" s="3" t="inlineStr">
        <is>
          <t>gluten-free, dairy-free, nut-free</t>
        </is>
      </c>
      <c r="AB1029" s="3" t="inlineStr">
        <is>
          <t>1. Bake the sweet potatoes at 400°F until tender, about 35 minutes.
2. Brown the turkey with onion and pepper.
3. Add tomato sauce, mustard, vinegar and chili powder and simmer 10 minutes.
4. Split the potatoes and spoon the filling over.</t>
        </is>
      </c>
      <c r="AC1029" s="4" t="inlineStr">
        <is>
          <t>["Bake the sweet potatoes at 400°F until tender, about 35 minutes.", "Brown the turkey with onion and pepper.", "Add tomato sauce, mustard, vinegar and chili powder and simmer 10 minutes.", "Split the potatoes and spoon the filling over."]</t>
        </is>
      </c>
    </row>
    <row r="1030" ht="96" customHeight="1">
      <c r="A1030" s="2" t="inlineStr">
        <is>
          <t>DB-1029</t>
        </is>
      </c>
      <c r="B1030" s="3" t="inlineStr">
        <is>
          <t>Lemon Herb Roast Chicken with Green Beans</t>
        </is>
      </c>
      <c r="C1030" s="4" t="inlineStr">
        <is>
          <t>Poultry</t>
        </is>
      </c>
      <c r="D1030" s="4" t="inlineStr">
        <is>
          <t>American</t>
        </is>
      </c>
      <c r="E1030" s="2" t="n">
        <v>4</v>
      </c>
      <c r="F1030" s="2" t="n">
        <v>15</v>
      </c>
      <c r="G1030" s="2" t="n">
        <v>45</v>
      </c>
      <c r="H1030" s="2" t="n">
        <v>60</v>
      </c>
      <c r="I1030" s="4" t="inlineStr">
        <is>
          <t>lemon-herb-roast-chicken-with-green-beans.jpg</t>
        </is>
      </c>
      <c r="J1030" s="3" t="inlineStr">
        <is>
          <t>Lemon Herb Roast Chicken with Green Beans, healthy food photography, plated, natural light</t>
        </is>
      </c>
      <c r="K1030" s="4" t="inlineStr"/>
      <c r="L1030" s="3" t="inlineStr">
        <is>
          <t>Chicken thigh, skinless boneless — 700 g (24.7 oz)
Green beans — 300 g (10.6 oz)
Lemon (with juice &amp; zest) — 60 g (2.1 oz)
Garlic — 10 g (0.4 oz)
Fresh thyme — 3 g (0.1 oz)
Extra-virgin olive oil — 20 g (0.7 oz)
Salt — 3 g (0.1 oz)
Black pepper — 1 g (0.0 oz)</t>
        </is>
      </c>
      <c r="M1030" s="4" t="inlineStr">
        <is>
          <t>[{"ingredient_id": "chicken_thigh", "name": "Chicken thigh, skinless boneless", "grams": 700.0, "note": ""}, {"ingredient_id": "green_beans", "name": "Green beans", "grams": 300.0, "note": ""}, {"ingredient_id": "lemon", "name": "Lemon (with juice &amp; zest)", "grams": 60.0, "note": ""}, {"ingredient_id": "garlic", "name": "Garlic", "grams": 10.0, "note": ""}, {"ingredient_id": "thyme", "name": "Fresh thyme", "grams": 3.0, "note": ""}, {"ingredient_id": "olive_oil", "name": "Extra-virgin olive oil", "grams": 20.0, "note": ""}, {"ingredient_id": "salt", "name": "Salt", "grams": 3.0, "note": ""}, {"ingredient_id": "black_pepper", "name": "Black pepper", "grams": 1.0, "note": ""}]</t>
        </is>
      </c>
      <c r="N1030" s="2" t="n">
        <v>289</v>
      </c>
      <c r="O1030" s="5" t="n">
        <v>36.2</v>
      </c>
      <c r="P1030" s="5" t="n">
        <v>12.4</v>
      </c>
      <c r="Q1030" s="5" t="n">
        <v>7.8</v>
      </c>
      <c r="R1030" s="5" t="n">
        <v>2.7</v>
      </c>
      <c r="S1030" s="5" t="n">
        <v>5.1</v>
      </c>
      <c r="T1030" s="2" t="n">
        <v>18</v>
      </c>
      <c r="U1030" s="2" t="inlineStr">
        <is>
          <t>low</t>
        </is>
      </c>
      <c r="V1030" s="5" t="n">
        <v>0.9</v>
      </c>
      <c r="W1030" s="2" t="inlineStr">
        <is>
          <t>low</t>
        </is>
      </c>
      <c r="X1030" s="3" t="inlineStr"/>
      <c r="Y1030" s="3" t="inlineStr">
        <is>
          <t>0% of this dish's available carbohydrate comes from ingredients with a published, measured GI; the rest uses conventional placeholders (see Ingredients sheet)</t>
        </is>
      </c>
      <c r="Z1030" s="2" t="n">
        <v>0</v>
      </c>
      <c r="AA1030" s="3" t="inlineStr">
        <is>
          <t>gluten-free, dairy-free, nut-free, low-carb, high-protein, one-pan</t>
        </is>
      </c>
      <c r="AB1030" s="3" t="inlineStr">
        <is>
          <t>1. Heat the oven to 425°F.
2. Toss the chicken with oil, lemon, garlic, thyme, salt and pepper.
3. Roast on a tray with the green beans for 40 to 45 minutes.</t>
        </is>
      </c>
      <c r="AC1030" s="4" t="inlineStr">
        <is>
          <t>["Heat the oven to 425°F.", "Toss the chicken with oil, lemon, garlic, thyme, salt and pepper.", "Roast on a tray with the green beans for 40 to 45 minutes."]</t>
        </is>
      </c>
    </row>
    <row r="1031" ht="96" customHeight="1">
      <c r="A1031" s="2" t="inlineStr">
        <is>
          <t>DB-1030</t>
        </is>
      </c>
      <c r="B1031" s="3" t="inlineStr">
        <is>
          <t>Slow Cooker Chicken Chili</t>
        </is>
      </c>
      <c r="C1031" s="4" t="inlineStr">
        <is>
          <t>Soup &amp; Stew</t>
        </is>
      </c>
      <c r="D1031" s="4" t="inlineStr">
        <is>
          <t>American</t>
        </is>
      </c>
      <c r="E1031" s="2" t="n">
        <v>6</v>
      </c>
      <c r="F1031" s="2" t="n">
        <v>15</v>
      </c>
      <c r="G1031" s="2" t="n">
        <v>240</v>
      </c>
      <c r="H1031" s="2" t="n">
        <v>255</v>
      </c>
      <c r="I1031" s="4" t="inlineStr">
        <is>
          <t>slow-cooker-chicken-chili.jpg</t>
        </is>
      </c>
      <c r="J1031" s="3" t="inlineStr">
        <is>
          <t>Slow Cooker Chicken Chili, healthy food photography, plated, natural light</t>
        </is>
      </c>
      <c r="K1031" s="4" t="inlineStr"/>
      <c r="L1031" s="3" t="inlineStr">
        <is>
          <t>Chicken breast, skinless — 600 g (21.2 oz)
Cannellini beans, cooked — 300 g (10.6 oz)
Diced green chiles, canned — 120 g (4.2 oz)
Yellow onion — 120 g (4.2 oz)
Chicken broth, low sodium — 500 g (17.6 oz)
Ground cumin — 3 g (0.1 oz)
Dried oregano — 2 g (0.1 oz)
Garlic — 10 g (0.4 oz)
Lime juice — 15 g (0.5 oz)</t>
        </is>
      </c>
      <c r="M1031" s="4" t="inlineStr">
        <is>
          <t>[{"ingredient_id": "chicken_breast", "name": "Chicken breast, skinless", "grams": 600.0, "note": ""}, {"ingredient_id": "white_beans", "name": "Cannellini beans, cooked", "grams": 300.0, "note": ""}, {"ingredient_id": "green_chiles", "name": "Diced green chiles, canned", "grams": 120.0, "note": ""}, {"ingredient_id": "onion", "name": "Yellow onion", "grams": 120.0, "note": ""}, {"ingredient_id": "chicken_broth", "name": "Chicken broth, low sodium", "grams": 500.0, "note": ""}, {"ingredient_id": "cumin", "name": "Ground cumin", "grams": 3.0, "note": ""}, {"ingredient_id": "oregano", "name": "Dried oregano", "grams": 2.0, "note": ""}, {"ingredient_id": "garlic", "name": "Garlic", "grams": 10.0, "note": ""}, {"ingredient_id": "lime_juice", "name": "Lime juice", "grams": 15.0, "note": ""}]</t>
        </is>
      </c>
      <c r="N1031" s="2" t="n">
        <v>213</v>
      </c>
      <c r="O1031" s="5" t="n">
        <v>28.8</v>
      </c>
      <c r="P1031" s="5" t="n">
        <v>3.1</v>
      </c>
      <c r="Q1031" s="5" t="n">
        <v>16.9</v>
      </c>
      <c r="R1031" s="5" t="n">
        <v>4</v>
      </c>
      <c r="S1031" s="5" t="n">
        <v>12.9</v>
      </c>
      <c r="T1031" s="2" t="n">
        <v>27</v>
      </c>
      <c r="U1031" s="2" t="inlineStr">
        <is>
          <t>low</t>
        </is>
      </c>
      <c r="V1031" s="5" t="n">
        <v>3.5</v>
      </c>
      <c r="W1031" s="2" t="inlineStr">
        <is>
          <t>low</t>
        </is>
      </c>
      <c r="X1031" s="3" t="inlineStr"/>
      <c r="Y1031" s="3" t="inlineStr">
        <is>
          <t>73% of this dish's available carbohydrate comes from ingredients with a published, measured GI; the rest uses conventional placeholders (see Ingredients sheet)</t>
        </is>
      </c>
      <c r="Z1031" s="2" t="n">
        <v>73</v>
      </c>
      <c r="AA1031" s="3" t="inlineStr">
        <is>
          <t>gluten-free, dairy-free, nut-free, low-carb, high-protein, slow-cooker</t>
        </is>
      </c>
      <c r="AB1031" s="3" t="inlineStr">
        <is>
          <t>1. Put the chicken, beans, chiles, onion, garlic, spices and broth in the slow cooker.
2. Cook on low for 4 hours.
3. Shred the chicken, stir back in and finish with lime juice.</t>
        </is>
      </c>
      <c r="AC1031" s="4" t="inlineStr">
        <is>
          <t>["Put the chicken, beans, chiles, onion, garlic, spices and broth in the slow cooker.", "Cook on low for 4 hours.", "Shred the chicken, stir back in and finish with lime juice."]</t>
        </is>
      </c>
    </row>
    <row r="1032" ht="96" customHeight="1">
      <c r="A1032" s="2" t="inlineStr">
        <is>
          <t>DB-1031</t>
        </is>
      </c>
      <c r="B1032" s="3" t="inlineStr">
        <is>
          <t>Chicken Pot Pie Soup</t>
        </is>
      </c>
      <c r="C1032" s="4" t="inlineStr">
        <is>
          <t>Soup &amp; Stew</t>
        </is>
      </c>
      <c r="D1032" s="4" t="inlineStr">
        <is>
          <t>American</t>
        </is>
      </c>
      <c r="E1032" s="2" t="n">
        <v>5</v>
      </c>
      <c r="F1032" s="2" t="n">
        <v>15</v>
      </c>
      <c r="G1032" s="2" t="n">
        <v>30</v>
      </c>
      <c r="H1032" s="2" t="n">
        <v>45</v>
      </c>
      <c r="I1032" s="4" t="inlineStr">
        <is>
          <t>chicken-pot-pie-soup.jpg</t>
        </is>
      </c>
      <c r="J1032" s="3" t="inlineStr">
        <is>
          <t>Chicken Pot Pie Soup, healthy food photography, plated, natural light</t>
        </is>
      </c>
      <c r="K1032" s="4" t="inlineStr"/>
      <c r="L1032" s="3" t="inlineStr">
        <is>
          <t>Chicken breast, skinless — 500 g (17.6 oz)
Chicken broth, low sodium — 800 g (28.2 oz)
Carrot — 120 g (4.2 oz)
Celery — 80 g (2.8 oz)
Green peas — 100 g (3.5 oz)
Yellow onion — 100 g (3.5 oz)
Heavy cream — 60 g (2.1 oz)
Fresh thyme — 2 g (0.1 oz)
Extra-virgin olive oil — 10 g (0.4 oz)
Cauliflower — 150 g (5.3 oz)</t>
        </is>
      </c>
      <c r="M1032" s="4" t="inlineStr">
        <is>
          <t>[{"ingredient_id": "chicken_breast", "name": "Chicken breast, skinless", "grams": 500.0, "note": ""}, {"ingredient_id": "chicken_broth", "name": "Chicken broth, low sodium", "grams": 800.0, "note": ""}, {"ingredient_id": "carrot", "name": "Carrot", "grams": 120.0, "note": ""}, {"ingredient_id": "celery", "name": "Celery", "grams": 80.0, "note": ""}, {"ingredient_id": "green_peas", "name": "Green peas", "grams": 100.0, "note": ""}, {"ingredient_id": "onion", "name": "Yellow onion", "grams": 100.0, "note": ""}, {"ingredient_id": "heavy_cream", "name": "Heavy cream", "grams": 60.0, "note": ""}, {"ingredient_id": "thyme", "name": "Fresh thyme", "grams": 2.0, "note": ""}, {"ingredient_id": "olive_oil", "name": "Extra-virgin olive oil", "grams": 10.0, "note": ""}, {"ingredient_id": "cauliflower", "name": "Cauliflower", "grams": 150.0, "note": ""}]</t>
        </is>
      </c>
      <c r="N1032" s="2" t="n">
        <v>234</v>
      </c>
      <c r="O1032" s="5" t="n">
        <v>26.6</v>
      </c>
      <c r="P1032" s="5" t="n">
        <v>9.5</v>
      </c>
      <c r="Q1032" s="5" t="n">
        <v>10.2</v>
      </c>
      <c r="R1032" s="5" t="n">
        <v>3.1</v>
      </c>
      <c r="S1032" s="5" t="n">
        <v>7.1</v>
      </c>
      <c r="T1032" s="2" t="n">
        <v>23</v>
      </c>
      <c r="U1032" s="2" t="inlineStr">
        <is>
          <t>low</t>
        </is>
      </c>
      <c r="V1032" s="5" t="n">
        <v>1.6</v>
      </c>
      <c r="W1032" s="2" t="inlineStr">
        <is>
          <t>low</t>
        </is>
      </c>
      <c r="X1032" s="3" t="inlineStr"/>
      <c r="Y1032" s="3" t="inlineStr">
        <is>
          <t>46% of this dish's available carbohydrate comes from ingredients with a published, measured GI; the rest uses conventional placeholders (see Ingredients sheet)</t>
        </is>
      </c>
      <c r="Z1032" s="2" t="n">
        <v>46</v>
      </c>
      <c r="AA1032" s="3" t="inlineStr">
        <is>
          <t>gluten-free, nut-free, low-carb, high-protein</t>
        </is>
      </c>
      <c r="AB1032" s="3" t="inlineStr">
        <is>
          <t>1. Sauté the onion, carrot and celery in oil.
2. Add the broth, cauliflower and chicken and simmer 20 minutes.
3. Shred the chicken, add peas, cream and thyme and heat through.</t>
        </is>
      </c>
      <c r="AC1032" s="4" t="inlineStr">
        <is>
          <t>["Sauté the onion, carrot and celery in oil.", "Add the broth, cauliflower and chicken and simmer 20 minutes.", "Shred the chicken, add peas, cream and thyme and heat through."]</t>
        </is>
      </c>
    </row>
    <row r="1033" ht="96" customHeight="1">
      <c r="A1033" s="2" t="inlineStr">
        <is>
          <t>DB-1032</t>
        </is>
      </c>
      <c r="B1033" s="3" t="inlineStr">
        <is>
          <t>Chicken Fajita Skillet</t>
        </is>
      </c>
      <c r="C1033" s="4" t="inlineStr">
        <is>
          <t>Poultry</t>
        </is>
      </c>
      <c r="D1033" s="4" t="inlineStr">
        <is>
          <t>Tex-Mex</t>
        </is>
      </c>
      <c r="E1033" s="2" t="n">
        <v>4</v>
      </c>
      <c r="F1033" s="2" t="n">
        <v>15</v>
      </c>
      <c r="G1033" s="2" t="n">
        <v>15</v>
      </c>
      <c r="H1033" s="2" t="n">
        <v>30</v>
      </c>
      <c r="I1033" s="4" t="inlineStr">
        <is>
          <t>chicken-fajita-skillet.jpg</t>
        </is>
      </c>
      <c r="J1033" s="3" t="inlineStr">
        <is>
          <t>Chicken Fajita Skillet, healthy food photography, plated, natural light</t>
        </is>
      </c>
      <c r="K1033" s="4" t="inlineStr"/>
      <c r="L1033" s="3" t="inlineStr">
        <is>
          <t>Chicken breast, skinless — 600 g (21.2 oz)
Bell pepper — 300 g (10.6 oz)
Yellow onion — 150 g (5.3 oz)
Taco seasoning, low sodium — 12 g (0.4 oz)
Lime juice — 20 g (0.7 oz)
Extra-virgin olive oil — 20 g (0.7 oz)
Corn tortilla — 120 g (4.2 oz)
Avocado — 100 g (3.5 oz)</t>
        </is>
      </c>
      <c r="M1033" s="4" t="inlineStr">
        <is>
          <t>[{"ingredient_id": "chicken_breast", "name": "Chicken breast, skinless", "grams": 600.0, "note": ""}, {"ingredient_id": "bell_pepper", "name": "Bell pepper", "grams": 300.0, "note": ""}, {"ingredient_id": "onion", "name": "Yellow onion", "grams": 150.0, "note": ""}, {"ingredient_id": "taco_seasoning", "name": "Taco seasoning, low sodium", "grams": 12.0, "note": ""}, {"ingredient_id": "lime_juice", "name": "Lime juice", "grams": 20.0, "note": ""}, {"ingredient_id": "olive_oil", "name": "Extra-virgin olive oil", "grams": 20.0, "note": ""}, {"ingredient_id": "corn_tortilla", "name": "Corn tortilla", "grams": 120.0, "note": ""}, {"ingredient_id": "avocado", "name": "Avocado", "grams": 100.0, "note": ""}]</t>
        </is>
      </c>
      <c r="N1033" s="2" t="n">
        <v>378</v>
      </c>
      <c r="O1033" s="5" t="n">
        <v>37.4</v>
      </c>
      <c r="P1033" s="5" t="n">
        <v>14</v>
      </c>
      <c r="Q1033" s="5" t="n">
        <v>25.7</v>
      </c>
      <c r="R1033" s="5" t="n">
        <v>6.5</v>
      </c>
      <c r="S1033" s="5" t="n">
        <v>19.1</v>
      </c>
      <c r="T1033" s="2" t="n">
        <v>38</v>
      </c>
      <c r="U1033" s="2" t="inlineStr">
        <is>
          <t>low</t>
        </is>
      </c>
      <c r="V1033" s="5" t="n">
        <v>7.3</v>
      </c>
      <c r="W1033" s="2" t="inlineStr">
        <is>
          <t>low</t>
        </is>
      </c>
      <c r="X1033" s="3" t="inlineStr"/>
      <c r="Y1033" s="3" t="inlineStr">
        <is>
          <t>61% of this dish's available carbohydrate comes from ingredients with a published, measured GI; the rest uses conventional placeholders (see Ingredients sheet)</t>
        </is>
      </c>
      <c r="Z1033" s="2" t="n">
        <v>61</v>
      </c>
      <c r="AA1033" s="3" t="inlineStr">
        <is>
          <t>gluten-free, dairy-free, nut-free, high-protein, one-pan</t>
        </is>
      </c>
      <c r="AB1033" s="3" t="inlineStr">
        <is>
          <t>1. Slice the chicken, peppers and onion into strips.
2. Toss the chicken in taco seasoning and sear in oil for 6 minutes.
3. Add the vegetables and cook until charred at the edges.
4. Finish with lime and serve with warm tortillas and avocado.</t>
        </is>
      </c>
      <c r="AC1033" s="4" t="inlineStr">
        <is>
          <t>["Slice the chicken, peppers and onion into strips.", "Toss the chicken in taco seasoning and sear in oil for 6 minutes.", "Add the vegetables and cook until charred at the edges.", "Finish with lime and serve with warm tortillas and avocado."]</t>
        </is>
      </c>
    </row>
    <row r="1034" ht="96" customHeight="1">
      <c r="A1034" s="2" t="inlineStr">
        <is>
          <t>DB-1033</t>
        </is>
      </c>
      <c r="B1034" s="3" t="inlineStr">
        <is>
          <t>Turkey Meatloaf with Tomato Glaze</t>
        </is>
      </c>
      <c r="C1034" s="4" t="inlineStr">
        <is>
          <t>Poultry</t>
        </is>
      </c>
      <c r="D1034" s="4" t="inlineStr">
        <is>
          <t>American</t>
        </is>
      </c>
      <c r="E1034" s="2" t="n">
        <v>6</v>
      </c>
      <c r="F1034" s="2" t="n">
        <v>15</v>
      </c>
      <c r="G1034" s="2" t="n">
        <v>50</v>
      </c>
      <c r="H1034" s="2" t="n">
        <v>65</v>
      </c>
      <c r="I1034" s="4" t="inlineStr">
        <is>
          <t>turkey-meatloaf-with-tomato-glaze.jpg</t>
        </is>
      </c>
      <c r="J1034" s="3" t="inlineStr">
        <is>
          <t>Turkey Meatloaf with Tomato Glaze, healthy food photography, plated, natural light</t>
        </is>
      </c>
      <c r="K1034" s="4" t="inlineStr"/>
      <c r="L1034" s="3" t="inlineStr">
        <is>
          <t>Ground turkey 93% lean — 700 g (24.7 oz)
Egg, large (50 g each) — 100 g (3.5 oz)
Oat bran, dry — 40 g (1.4 oz)
Yellow onion — 100 g (3.5 oz)
Tomato paste — 50 g (1.8 oz)
Apple cider vinegar — 15 g (0.5 oz)
Garlic — 6 g (0.2 oz)
Salt — 3 g (0.1 oz)
Black pepper — 1 g (0.0 oz)</t>
        </is>
      </c>
      <c r="M1034" s="4" t="inlineStr">
        <is>
          <t>[{"ingredient_id": "ground_turkey", "name": "Ground turkey 93% lean", "grams": 700.0, "note": ""}, {"ingredient_id": "egg", "name": "Egg, large (50 g each)", "grams": 100.0, "note": ""}, {"ingredient_id": "oat_bran", "name": "Oat bran, dry", "grams": 40.0, "note": ""}, {"ingredient_id": "onion", "name": "Yellow onion", "grams": 100.0, "note": ""}, {"ingredient_id": "tomato_paste", "name": "Tomato paste", "grams": 50.0, "note": ""}, {"ingredient_id": "apple_cider_vinegar", "name": "Apple cider vinegar", "grams": 15.0, "note": ""}, {"ingredient_id": "garlic", "name": "Garlic", "grams": 6.0, "note": ""}, {"ingredient_id": "salt", "name": "Salt", "grams": 3.0, "note": ""}, {"ingredient_id": "black_pepper", "name": "Black pepper", "grams": 1.0, "note": ""}]</t>
        </is>
      </c>
      <c r="N1034" s="2" t="n">
        <v>231</v>
      </c>
      <c r="O1034" s="5" t="n">
        <v>25.7</v>
      </c>
      <c r="P1034" s="5" t="n">
        <v>11.5</v>
      </c>
      <c r="Q1034" s="5" t="n">
        <v>8.1</v>
      </c>
      <c r="R1034" s="5" t="n">
        <v>1.7</v>
      </c>
      <c r="S1034" s="5" t="n">
        <v>6.4</v>
      </c>
      <c r="T1034" s="2" t="n">
        <v>40</v>
      </c>
      <c r="U1034" s="2" t="inlineStr">
        <is>
          <t>low</t>
        </is>
      </c>
      <c r="V1034" s="5" t="n">
        <v>2.6</v>
      </c>
      <c r="W1034" s="2" t="inlineStr">
        <is>
          <t>low</t>
        </is>
      </c>
      <c r="X1034" s="3" t="inlineStr"/>
      <c r="Y1034" s="3" t="inlineStr">
        <is>
          <t>53% of this dish's available carbohydrate comes from ingredients with a published, measured GI; the rest uses conventional placeholders (see Ingredients sheet)</t>
        </is>
      </c>
      <c r="Z1034" s="2" t="n">
        <v>53</v>
      </c>
      <c r="AA1034" s="3" t="inlineStr">
        <is>
          <t>dairy-free, nut-free, low-carb, high-protein, meal-prep</t>
        </is>
      </c>
      <c r="AB1034" s="3" t="inlineStr">
        <is>
          <t>1. Heat the oven to 375°F.
2. Mix the turkey, egg, oat bran, onion, garlic, salt and pepper.
3. Press into a loaf pan.
4. Stir the tomato paste with vinegar and spread over the top.
5. Bake 50 minutes.</t>
        </is>
      </c>
      <c r="AC1034" s="4" t="inlineStr">
        <is>
          <t>["Heat the oven to 375°F.", "Mix the turkey, egg, oat bran, onion, garlic, salt and pepper.", "Press into a loaf pan.", "Stir the tomato paste with vinegar and spread over the top.", "Bake 50 minutes."]</t>
        </is>
      </c>
    </row>
    <row r="1035" ht="96" customHeight="1">
      <c r="A1035" s="2" t="inlineStr">
        <is>
          <t>DB-1034</t>
        </is>
      </c>
      <c r="B1035" s="3" t="inlineStr">
        <is>
          <t>Chicken and Broccoli Stir-Fry</t>
        </is>
      </c>
      <c r="C1035" s="4" t="inlineStr">
        <is>
          <t>Poultry</t>
        </is>
      </c>
      <c r="D1035" s="4" t="inlineStr">
        <is>
          <t>American</t>
        </is>
      </c>
      <c r="E1035" s="2" t="n">
        <v>4</v>
      </c>
      <c r="F1035" s="2" t="n">
        <v>15</v>
      </c>
      <c r="G1035" s="2" t="n">
        <v>12</v>
      </c>
      <c r="H1035" s="2" t="n">
        <v>27</v>
      </c>
      <c r="I1035" s="4" t="inlineStr">
        <is>
          <t>chicken-and-broccoli-stir-fry.jpg</t>
        </is>
      </c>
      <c r="J1035" s="3" t="inlineStr">
        <is>
          <t>Chicken and Broccoli Stir-Fry, healthy food photography, plated, natural light</t>
        </is>
      </c>
      <c r="K1035" s="4" t="inlineStr"/>
      <c r="L1035" s="3" t="inlineStr">
        <is>
          <t>Chicken breast, skinless — 500 g (17.6 oz)
Broccoli — 400 g (14.1 oz)
Garlic — 8 g (0.3 oz)
Fresh ginger — 8 g (0.3 oz)
Soy sauce, low sodium — 30 g (1.1 oz)
Toasted sesame oil — 10 g (0.4 oz)
Extra-virgin olive oil — 10 g (0.4 oz)
Red pepper flakes — 1 g (0.0 oz)
Brown rice, cooked — 120 g (4.2 oz)</t>
        </is>
      </c>
      <c r="M1035" s="4" t="inlineStr">
        <is>
          <t>[{"ingredient_id": "chicken_breast", "name": "Chicken breast, skinless", "grams": 500.0, "note": ""}, {"ingredient_id": "broccoli", "name": "Broccoli", "grams": 400.0,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 {"ingredient_id": "red_pepper_flakes", "name": "Red pepper flakes", "grams": 1.0, "note": ""}, {"ingredient_id": "brown_rice", "name": "Brown rice, cooked", "grams": 120.0, "note": ""}]</t>
        </is>
      </c>
      <c r="N1035" s="2" t="n">
        <v>271</v>
      </c>
      <c r="O1035" s="5" t="n">
        <v>32.4</v>
      </c>
      <c r="P1035" s="5" t="n">
        <v>9</v>
      </c>
      <c r="Q1035" s="5" t="n">
        <v>15.3</v>
      </c>
      <c r="R1035" s="5" t="n">
        <v>3.3</v>
      </c>
      <c r="S1035" s="5" t="n">
        <v>12</v>
      </c>
      <c r="T1035" s="2" t="n">
        <v>45</v>
      </c>
      <c r="U1035" s="2" t="inlineStr">
        <is>
          <t>low</t>
        </is>
      </c>
      <c r="V1035" s="5" t="n">
        <v>5.4</v>
      </c>
      <c r="W1035" s="2" t="inlineStr">
        <is>
          <t>low</t>
        </is>
      </c>
      <c r="X1035" s="3" t="inlineStr"/>
      <c r="Y1035" s="3" t="inlineStr">
        <is>
          <t>56% of this dish's available carbohydrate comes from ingredients with a published, measured GI; the rest uses conventional placeholders (see Ingredients sheet)</t>
        </is>
      </c>
      <c r="Z1035" s="2" t="n">
        <v>56</v>
      </c>
      <c r="AA1035" s="3" t="inlineStr">
        <is>
          <t>dairy-free, nut-free, low-carb, high-protein</t>
        </is>
      </c>
      <c r="AB1035" s="3" t="inlineStr">
        <is>
          <t>1. Cook the rice according to the package.
2. Sear the sliced chicken in oil, then set aside.
3. Stir-fry the broccoli, garlic and ginger 4 minutes.
4. Return the chicken with soy sauce and sesame oil and serve over rice.</t>
        </is>
      </c>
      <c r="AC1035" s="4" t="inlineStr">
        <is>
          <t>["Cook the rice according to the package.", "Sear the sliced chicken in oil, then set aside.", "Stir-fry the broccoli, garlic and ginger 4 minutes.", "Return the chicken with soy sauce and sesame oil and serve over rice."]</t>
        </is>
      </c>
    </row>
    <row r="1036" ht="96" customHeight="1">
      <c r="A1036" s="2" t="inlineStr">
        <is>
          <t>DB-1035</t>
        </is>
      </c>
      <c r="B1036" s="3" t="inlineStr">
        <is>
          <t>Buffalo Chicken Stuffed Sweet Potatoes</t>
        </is>
      </c>
      <c r="C1036" s="4" t="inlineStr">
        <is>
          <t>Poultry</t>
        </is>
      </c>
      <c r="D1036" s="4" t="inlineStr">
        <is>
          <t>American</t>
        </is>
      </c>
      <c r="E1036" s="2" t="n">
        <v>4</v>
      </c>
      <c r="F1036" s="2" t="n">
        <v>15</v>
      </c>
      <c r="G1036" s="2" t="n">
        <v>45</v>
      </c>
      <c r="H1036" s="2" t="n">
        <v>60</v>
      </c>
      <c r="I1036" s="4" t="inlineStr">
        <is>
          <t>buffalo-chicken-stuffed-sweet-potatoes.jpg</t>
        </is>
      </c>
      <c r="J1036" s="3" t="inlineStr">
        <is>
          <t>Buffalo Chicken Stuffed Sweet Potatoes, healthy food photography, plated, natural light</t>
        </is>
      </c>
      <c r="K1036" s="4" t="inlineStr"/>
      <c r="L1036" s="3" t="inlineStr">
        <is>
          <t>Sweet potato, boiled/simmered — 560 g (19.8 oz)
Rotisserie chicken, skin removed — 360 g (12.7 oz)
Hot sauce (Tabasco/Frank's) — 50 g (1.8 oz)
Greek yogurt, plain 2% — 100 g (3.5 oz)
Celery — 60 g (2.1 oz)
Green onions (scallions) — 20 g (0.7 oz)
Blue cheese, crumbled — 30 g (1.1 oz)</t>
        </is>
      </c>
      <c r="M1036" s="4" t="inlineStr">
        <is>
          <t>[{"ingredient_id": "sweet_potato", "name": "Sweet potato, boiled/simmered", "grams": 560.0, "note": ""}, {"ingredient_id": "rotisserie_chicken", "name": "Rotisserie chicken, skin removed", "grams": 360.0, "note": ""}, {"ingredient_id": "hot_sauce", "name": "Hot sauce (Tabasco/Frank's)", "grams": 50.0, "note": ""}, {"ingredient_id": "greek_yogurt", "name": "Greek yogurt, plain 2%", "grams": 100.0, "note": ""}, {"ingredient_id": "celery", "name": "Celery", "grams": 60.0, "note": ""}, {"ingredient_id": "green_onion", "name": "Green onions (scallions)", "grams": 20.0, "note": ""}, {"ingredient_id": "blue_cheese", "name": "Blue cheese, crumbled", "grams": 30.0, "note": ""}]</t>
        </is>
      </c>
      <c r="N1036" s="2" t="n">
        <v>315</v>
      </c>
      <c r="O1036" s="5" t="n">
        <v>27.3</v>
      </c>
      <c r="P1036" s="5" t="n">
        <v>9.199999999999999</v>
      </c>
      <c r="Q1036" s="5" t="n">
        <v>30.2</v>
      </c>
      <c r="R1036" s="5" t="n">
        <v>4.6</v>
      </c>
      <c r="S1036" s="5" t="n">
        <v>25.6</v>
      </c>
      <c r="T1036" s="2" t="n">
        <v>44</v>
      </c>
      <c r="U1036" s="2" t="inlineStr">
        <is>
          <t>low</t>
        </is>
      </c>
      <c r="V1036" s="5" t="n">
        <v>11.3</v>
      </c>
      <c r="W1036" s="2" t="inlineStr">
        <is>
          <t>medium</t>
        </is>
      </c>
      <c r="X1036" s="3" t="inlineStr"/>
      <c r="Y1036" s="3" t="inlineStr">
        <is>
          <t>97% of this dish's available carbohydrate comes from ingredients with a published, measured GI; the rest uses conventional placeholders (see Ingredients sheet)</t>
        </is>
      </c>
      <c r="Z1036" s="2" t="n">
        <v>97</v>
      </c>
      <c r="AA1036" s="3" t="inlineStr">
        <is>
          <t>gluten-free, nut-free, high-protein</t>
        </is>
      </c>
      <c r="AB1036" s="3" t="inlineStr">
        <is>
          <t>1. Bake the sweet potatoes until tender, about 45 minutes.
2. Shred the chicken and toss with hot sauce and yogurt.
3. Split the potatoes and fill with the chicken.
4. Top with celery, green onion and blue cheese.</t>
        </is>
      </c>
      <c r="AC1036" s="4" t="inlineStr">
        <is>
          <t>["Bake the sweet potatoes until tender, about 45 minutes.", "Shred the chicken and toss with hot sauce and yogurt.", "Split the potatoes and fill with the chicken.", "Top with celery, green onion and blue cheese."]</t>
        </is>
      </c>
    </row>
    <row r="1037" ht="96" customHeight="1">
      <c r="A1037" s="2" t="inlineStr">
        <is>
          <t>DB-1036</t>
        </is>
      </c>
      <c r="B1037" s="3" t="inlineStr">
        <is>
          <t>Garlic Parmesan Chicken Thighs</t>
        </is>
      </c>
      <c r="C1037" s="4" t="inlineStr">
        <is>
          <t>Poultry</t>
        </is>
      </c>
      <c r="D1037" s="4" t="inlineStr">
        <is>
          <t>American</t>
        </is>
      </c>
      <c r="E1037" s="2" t="n">
        <v>4</v>
      </c>
      <c r="F1037" s="2" t="n">
        <v>10</v>
      </c>
      <c r="G1037" s="2" t="n">
        <v>30</v>
      </c>
      <c r="H1037" s="2" t="n">
        <v>40</v>
      </c>
      <c r="I1037" s="4" t="inlineStr">
        <is>
          <t>garlic-parmesan-chicken-thighs.jpg</t>
        </is>
      </c>
      <c r="J1037" s="3" t="inlineStr">
        <is>
          <t>Garlic Parmesan Chicken Thighs, healthy food photography, plated, natural light</t>
        </is>
      </c>
      <c r="K1037" s="4" t="inlineStr"/>
      <c r="L1037" s="3" t="inlineStr">
        <is>
          <t>Chicken thigh, skinless boneless — 700 g (24.7 oz)
Parmesan, grated — 40 g (1.4 oz)
Garlic — 12 g (0.4 oz)
Extra-virgin olive oil — 15 g (0.5 oz)
Italian seasoning — 3 g (0.1 oz)
Salt — 2 g (0.1 oz)
Broccolini — 300 g (10.6 oz)</t>
        </is>
      </c>
      <c r="M1037" s="4" t="inlineStr">
        <is>
          <t>[{"ingredient_id": "chicken_thigh", "name": "Chicken thigh, skinless boneless", "grams": 700.0, "note": ""}, {"ingredient_id": "parmesan", "name": "Parmesan, grated", "grams": 40.0, "note": ""}, {"ingredient_id": "garlic", "name": "Garlic", "grams": 12.0, "note": ""}, {"ingredient_id": "olive_oil", "name": "Extra-virgin olive oil", "grams": 15.0, "note": ""}, {"ingredient_id": "italian_seasoning", "name": "Italian seasoning", "grams": 3.0, "note": ""}, {"ingredient_id": "salt", "name": "Salt", "grams": 2.0, "note": ""}, {"ingredient_id": "broccolini", "name": "Broccolini", "grams": 300.0, "note": ""}]</t>
        </is>
      </c>
      <c r="N1037" s="2" t="n">
        <v>321</v>
      </c>
      <c r="O1037" s="5" t="n">
        <v>40.8</v>
      </c>
      <c r="P1037" s="5" t="n">
        <v>14.2</v>
      </c>
      <c r="Q1037" s="5" t="n">
        <v>6.8</v>
      </c>
      <c r="R1037" s="5" t="n">
        <v>2.3</v>
      </c>
      <c r="S1037" s="5" t="n">
        <v>4.5</v>
      </c>
      <c r="T1037" s="2" t="n">
        <v>17</v>
      </c>
      <c r="U1037" s="2" t="inlineStr">
        <is>
          <t>low</t>
        </is>
      </c>
      <c r="V1037" s="5" t="n">
        <v>0.8</v>
      </c>
      <c r="W1037" s="2" t="inlineStr">
        <is>
          <t>low</t>
        </is>
      </c>
      <c r="X1037" s="3" t="inlineStr">
        <is>
          <t>Negligible carbohydrate (&lt;5 g net/serving): GI has little practical meaning, glycemic load is what matters.</t>
        </is>
      </c>
      <c r="Y1037" s="3" t="inlineStr">
        <is>
          <t>0% of this dish's available carbohydrate comes from ingredients with a published, measured GI; the rest uses conventional placeholders (see Ingredients sheet)</t>
        </is>
      </c>
      <c r="Z1037" s="2" t="n">
        <v>0</v>
      </c>
      <c r="AA1037" s="3" t="inlineStr">
        <is>
          <t>gluten-free, nut-free, low-carb, high-protein, one-pan</t>
        </is>
      </c>
      <c r="AB1037" s="3" t="inlineStr">
        <is>
          <t>1. Heat the oven to 425°F.
2. Rub the chicken with oil, garlic, seasoning and salt.
3. Roast 25 minutes with the broccolini.
4. Scatter parmesan on top for the last 5 minutes.</t>
        </is>
      </c>
      <c r="AC1037" s="4" t="inlineStr">
        <is>
          <t>["Heat the oven to 425°F.", "Rub the chicken with oil, garlic, seasoning and salt.", "Roast 25 minutes with the broccolini.", "Scatter parmesan on top for the last 5 minutes."]</t>
        </is>
      </c>
    </row>
    <row r="1038" ht="96" customHeight="1">
      <c r="A1038" s="2" t="inlineStr">
        <is>
          <t>DB-1037</t>
        </is>
      </c>
      <c r="B1038" s="3" t="inlineStr">
        <is>
          <t>Ground Turkey Taco Skillet with Beans and Corn</t>
        </is>
      </c>
      <c r="C1038" s="4" t="inlineStr">
        <is>
          <t>Poultry</t>
        </is>
      </c>
      <c r="D1038" s="4" t="inlineStr">
        <is>
          <t>Tex-Mex</t>
        </is>
      </c>
      <c r="E1038" s="2" t="n">
        <v>4</v>
      </c>
      <c r="F1038" s="2" t="n">
        <v>10</v>
      </c>
      <c r="G1038" s="2" t="n">
        <v>20</v>
      </c>
      <c r="H1038" s="2" t="n">
        <v>30</v>
      </c>
      <c r="I1038" s="4" t="inlineStr">
        <is>
          <t>ground-turkey-taco-skillet-with-beans-and-corn.jpg</t>
        </is>
      </c>
      <c r="J1038" s="3" t="inlineStr">
        <is>
          <t>Ground Turkey Taco Skillet with Beans and Corn, healthy food photography, plated, natural light</t>
        </is>
      </c>
      <c r="K1038" s="4" t="inlineStr"/>
      <c r="L1038" s="3" t="inlineStr">
        <is>
          <t>Ground turkey 93% lean — 500 g (17.6 oz)
Black beans, cooked — 200 g (7.1 oz)
Sweet corn kernels — 100 g (3.5 oz)
Diced tomatoes, canned — 200 g (7.1 oz)
Taco seasoning, low sodium — 12 g (0.4 oz)
Yellow onion — 100 g (3.5 oz)
Cheddar cheese — 50 g (1.8 oz)
Fresh cilantro — 5 g (0.2 oz)
Extra-virgin olive oil — 10 g (0.4 oz)</t>
        </is>
      </c>
      <c r="M1038" s="4" t="inlineStr">
        <is>
          <t>[{"ingredient_id": "ground_turkey", "name": "Ground turkey 93% lean", "grams": 500.0, "note": ""}, {"ingredient_id": "black_beans", "name": "Black beans, cooked", "grams": 200.0, "note": ""}, {"ingredient_id": "corn", "name": "Sweet corn kernels", "grams": 100.0, "note": ""}, {"ingredient_id": "diced_tomatoes", "name": "Diced tomatoes, canned", "grams": 200.0, "note": ""}, {"ingredient_id": "taco_seasoning", "name": "Taco seasoning, low sodium", "grams": 12.0, "note": ""}, {"ingredient_id": "onion", "name": "Yellow onion", "grams": 100.0, "note": ""}, {"ingredient_id": "cheddar", "name": "Cheddar cheese", "grams": 50.0, "note": ""}, {"ingredient_id": "cilantro", "name": "Fresh cilantro", "grams": 5.0, "note": ""}, {"ingredient_id": "olive_oil", "name": "Extra-virgin olive oil", "grams": 10.0, "note": ""}]</t>
        </is>
      </c>
      <c r="N1038" s="2" t="n">
        <v>379</v>
      </c>
      <c r="O1038" s="5" t="n">
        <v>32.7</v>
      </c>
      <c r="P1038" s="5" t="n">
        <v>17.6</v>
      </c>
      <c r="Q1038" s="5" t="n">
        <v>23.3</v>
      </c>
      <c r="R1038" s="5" t="n">
        <v>7</v>
      </c>
      <c r="S1038" s="5" t="n">
        <v>16.3</v>
      </c>
      <c r="T1038" s="2" t="n">
        <v>33</v>
      </c>
      <c r="U1038" s="2" t="inlineStr">
        <is>
          <t>low</t>
        </is>
      </c>
      <c r="V1038" s="5" t="n">
        <v>5.4</v>
      </c>
      <c r="W1038" s="2" t="inlineStr">
        <is>
          <t>low</t>
        </is>
      </c>
      <c r="X1038" s="3" t="inlineStr"/>
      <c r="Y1038" s="3" t="inlineStr">
        <is>
          <t>71% of this dish's available carbohydrate comes from ingredients with a published, measured GI; the rest uses conventional placeholders (see Ingredients sheet)</t>
        </is>
      </c>
      <c r="Z1038" s="2" t="n">
        <v>71</v>
      </c>
      <c r="AA1038" s="3" t="inlineStr">
        <is>
          <t>gluten-free, nut-free, high-protein, one-pan</t>
        </is>
      </c>
      <c r="AB1038" s="3" t="inlineStr">
        <is>
          <t>1. Brown the turkey with the onion in oil.
2. Stir in the taco seasoning, beans, corn and tomatoes.
3. Simmer 10 minutes.
4. Top with cheddar and cilantro.</t>
        </is>
      </c>
      <c r="AC1038" s="4" t="inlineStr">
        <is>
          <t>["Brown the turkey with the onion in oil.", "Stir in the taco seasoning, beans, corn and tomatoes.", "Simmer 10 minutes.", "Top with cheddar and cilantro."]</t>
        </is>
      </c>
    </row>
    <row r="1039" ht="96" customHeight="1">
      <c r="A1039" s="2" t="inlineStr">
        <is>
          <t>DB-1038</t>
        </is>
      </c>
      <c r="B1039" s="3" t="inlineStr">
        <is>
          <t>Chicken Parmesan with Zucchini Noodles</t>
        </is>
      </c>
      <c r="C1039" s="4" t="inlineStr">
        <is>
          <t>Poultry</t>
        </is>
      </c>
      <c r="D1039" s="4" t="inlineStr">
        <is>
          <t>Italian</t>
        </is>
      </c>
      <c r="E1039" s="2" t="n">
        <v>4</v>
      </c>
      <c r="F1039" s="2" t="n">
        <v>20</v>
      </c>
      <c r="G1039" s="2" t="n">
        <v>25</v>
      </c>
      <c r="H1039" s="2" t="n">
        <v>45</v>
      </c>
      <c r="I1039" s="4" t="inlineStr">
        <is>
          <t>chicken-parmesan-with-zucchini-noodles.jpg</t>
        </is>
      </c>
      <c r="J1039" s="3" t="inlineStr">
        <is>
          <t>Chicken Parmesan with Zucchini Noodles, healthy food photography, plated, natural light</t>
        </is>
      </c>
      <c r="K1039" s="4" t="inlineStr"/>
      <c r="L1039" s="3" t="inlineStr">
        <is>
          <t>Chicken breast, skinless — 560 g (19.8 oz)
Almond flour — 50 g (1.8 oz)
Parmesan, grated — 30 g (1.1 oz)
Egg, large (50 g each) — 50 g (1.8 oz)
Marinara sauce, no sugar added — 250 g (8.8 oz)
Mozzarella, part-skim — 100 g (3.5 oz)
Zucchini noodles (zoodles) — 400 g (14.1 oz)
Extra-virgin olive oil — 15 g (0.5 oz)</t>
        </is>
      </c>
      <c r="M1039" s="4" t="inlineStr">
        <is>
          <t>[{"ingredient_id": "chicken_breast", "name": "Chicken breast, skinless", "grams": 560.0, "note": ""}, {"ingredient_id": "almond_flour", "name": "Almond flour", "grams": 50.0, "note": ""}, {"ingredient_id": "parmesan", "name": "Parmesan, grated", "grams": 30.0, "note": ""}, {"ingredient_id": "egg", "name": "Egg, large (50 g each)", "grams": 50.0, "note": ""}, {"ingredient_id": "marinara", "name": "Marinara sauce, no sugar added", "grams": 250.0, "note": ""}, {"ingredient_id": "mozzarella", "name": "Mozzarella, part-skim", "grams": 100.0, "note": ""}, {"ingredient_id": "zucchini_noodles", "name": "Zucchini noodles (zoodles)", "grams": 400.0, "note": ""}, {"ingredient_id": "olive_oil", "name": "Extra-virgin olive oil", "grams": 15.0, "note": ""}]</t>
        </is>
      </c>
      <c r="N1039" s="2" t="n">
        <v>434</v>
      </c>
      <c r="O1039" s="5" t="n">
        <v>46.7</v>
      </c>
      <c r="P1039" s="5" t="n">
        <v>22.9</v>
      </c>
      <c r="Q1039" s="5" t="n">
        <v>10</v>
      </c>
      <c r="R1039" s="5" t="n">
        <v>3.4</v>
      </c>
      <c r="S1039" s="5" t="n">
        <v>6.5</v>
      </c>
      <c r="T1039" s="2" t="n">
        <v>19</v>
      </c>
      <c r="U1039" s="2" t="inlineStr">
        <is>
          <t>low</t>
        </is>
      </c>
      <c r="V1039" s="5" t="n">
        <v>1.2</v>
      </c>
      <c r="W1039" s="2" t="inlineStr">
        <is>
          <t>low</t>
        </is>
      </c>
      <c r="X1039" s="3" t="inlineStr"/>
      <c r="Y1039" s="3" t="inlineStr">
        <is>
          <t>33% of this dish's available carbohydrate comes from ingredients with a published, measured GI; the rest uses conventional placeholders (see Ingredients sheet)</t>
        </is>
      </c>
      <c r="Z1039" s="2" t="n">
        <v>33</v>
      </c>
      <c r="AA1039" s="3" t="inlineStr">
        <is>
          <t>gluten-free, low-carb, high-protein</t>
        </is>
      </c>
      <c r="AB1039" s="3" t="inlineStr">
        <is>
          <t>1. Coat the pounded chicken in egg, then almond flour mixed with parmesan.
2. Sear in oil 3 minutes a side.
3. Top with marinara and mozzarella and bake at 400°F for 12 minutes.
4. Warm the zucchini noodles briefly and serve alongside.</t>
        </is>
      </c>
      <c r="AC1039" s="4" t="inlineStr">
        <is>
          <t>["Coat the pounded chicken in egg, then almond flour mixed with parmesan.", "Sear in oil 3 minutes a side.", "Top with marinara and mozzarella and bake at 400°F for 12 minutes.", "Warm the zucchini noodles briefly and serve alongside."]</t>
        </is>
      </c>
    </row>
    <row r="1040" ht="96" customHeight="1">
      <c r="A1040" s="2" t="inlineStr">
        <is>
          <t>DB-1039</t>
        </is>
      </c>
      <c r="B1040" s="3" t="inlineStr">
        <is>
          <t>One-Pan Chicken Sausage and Peppers</t>
        </is>
      </c>
      <c r="C1040" s="4" t="inlineStr">
        <is>
          <t>Poultry</t>
        </is>
      </c>
      <c r="D1040" s="4" t="inlineStr">
        <is>
          <t>American</t>
        </is>
      </c>
      <c r="E1040" s="2" t="n">
        <v>4</v>
      </c>
      <c r="F1040" s="2" t="n">
        <v>10</v>
      </c>
      <c r="G1040" s="2" t="n">
        <v>25</v>
      </c>
      <c r="H1040" s="2" t="n">
        <v>35</v>
      </c>
      <c r="I1040" s="4" t="inlineStr">
        <is>
          <t>one-pan-chicken-sausage-and-peppers.jpg</t>
        </is>
      </c>
      <c r="J1040" s="3" t="inlineStr">
        <is>
          <t>One-Pan Chicken Sausage and Peppers, healthy food photography, plated, natural light</t>
        </is>
      </c>
      <c r="K1040" s="4" t="inlineStr"/>
      <c r="L1040" s="3" t="inlineStr">
        <is>
          <t>Chicken sausage — 450 g (15.9 oz)
Bell pepper — 400 g (14.1 oz)
Yellow onion — 150 g (5.3 oz)
Extra-virgin olive oil — 15 g (0.5 oz)
Italian seasoning — 3 g (0.1 oz)
Garlic — 8 g (0.3 oz)
Balsamic vinegar — 10 g (0.4 oz)</t>
        </is>
      </c>
      <c r="M1040" s="4" t="inlineStr">
        <is>
          <t>[{"ingredient_id": "chicken_sausage", "name": "Chicken sausage", "grams": 450.0, "note": ""}, {"ingredient_id": "bell_pepper", "name": "Bell pepper", "grams": 400.0, "note": ""}, {"ingredient_id": "onion", "name": "Yellow onion", "grams": 150.0, "note": ""}, {"ingredient_id": "olive_oil", "name": "Extra-virgin olive oil", "grams": 15.0, "note": ""}, {"ingredient_id": "italian_seasoning", "name": "Italian seasoning", "grams": 3.0, "note": ""}, {"ingredient_id": "garlic", "name": "Garlic", "grams": 8.0, "note": ""}, {"ingredient_id": "balsamic_vinegar", "name": "Balsamic vinegar", "grams": 10.0, "note": ""}]</t>
        </is>
      </c>
      <c r="N1040" s="2" t="n">
        <v>278</v>
      </c>
      <c r="O1040" s="5" t="n">
        <v>18.5</v>
      </c>
      <c r="P1040" s="5" t="n">
        <v>16.5</v>
      </c>
      <c r="Q1040" s="5" t="n">
        <v>13.3</v>
      </c>
      <c r="R1040" s="5" t="n">
        <v>3.1</v>
      </c>
      <c r="S1040" s="5" t="n">
        <v>10.2</v>
      </c>
      <c r="T1040" s="2" t="n">
        <v>13</v>
      </c>
      <c r="U1040" s="2" t="inlineStr">
        <is>
          <t>low</t>
        </is>
      </c>
      <c r="V1040" s="5" t="n">
        <v>1.3</v>
      </c>
      <c r="W1040" s="2" t="inlineStr">
        <is>
          <t>low</t>
        </is>
      </c>
      <c r="X1040" s="3" t="inlineStr"/>
      <c r="Y1040" s="3" t="inlineStr">
        <is>
          <t>0% of this dish's available carbohydrate comes from ingredients with a published, measured GI; the rest uses conventional placeholders (see Ingredients sheet)</t>
        </is>
      </c>
      <c r="Z1040" s="2" t="n">
        <v>0</v>
      </c>
      <c r="AA1040" s="3" t="inlineStr">
        <is>
          <t>gluten-free, dairy-free, nut-free, low-carb, one-pan</t>
        </is>
      </c>
      <c r="AB1040" s="3" t="inlineStr">
        <is>
          <t>1. Heat the oven to 425°F.
2. Toss everything on a tray.
3. Roast 25 minutes, stirring once.
4. Splash with balsamic to finish.</t>
        </is>
      </c>
      <c r="AC1040" s="4" t="inlineStr">
        <is>
          <t>["Heat the oven to 425°F.", "Toss everything on a tray.", "Roast 25 minutes, stirring once.", "Splash with balsamic to finish."]</t>
        </is>
      </c>
    </row>
    <row r="1041" ht="96" customHeight="1">
      <c r="A1041" s="2" t="inlineStr">
        <is>
          <t>DB-1040</t>
        </is>
      </c>
      <c r="B1041" s="3" t="inlineStr">
        <is>
          <t>Honey Mustard Chicken (No Added Sugar)</t>
        </is>
      </c>
      <c r="C1041" s="4" t="inlineStr">
        <is>
          <t>Poultry</t>
        </is>
      </c>
      <c r="D1041" s="4" t="inlineStr">
        <is>
          <t>American</t>
        </is>
      </c>
      <c r="E1041" s="2" t="n">
        <v>4</v>
      </c>
      <c r="F1041" s="2" t="n">
        <v>10</v>
      </c>
      <c r="G1041" s="2" t="n">
        <v>25</v>
      </c>
      <c r="H1041" s="2" t="n">
        <v>35</v>
      </c>
      <c r="I1041" s="4" t="inlineStr">
        <is>
          <t>honey-mustard-chicken-no-added-sugar.jpg</t>
        </is>
      </c>
      <c r="J1041" s="3" t="inlineStr">
        <is>
          <t>Honey Mustard Chicken (No Added Sugar), healthy food photography, plated, natural light</t>
        </is>
      </c>
      <c r="K1041" s="4" t="inlineStr"/>
      <c r="L1041" s="3" t="inlineStr">
        <is>
          <t>Chicken breast, skinless — 600 g (21.2 oz)
Dijon mustard — 40 g (1.4 oz)
Greek yogurt, plain 2% — 60 g (2.1 oz)
Apple cider vinegar — 10 g (0.4 oz)
Garlic powder — 3 g (0.1 oz)
Paprika — 2 g (0.1 oz)
Asparagus — 300 g (10.6 oz)
Extra-virgin olive oil — 15 g (0.5 oz)</t>
        </is>
      </c>
      <c r="M1041" s="4" t="inlineStr">
        <is>
          <t>[{"ingredient_id": "chicken_breast", "name": "Chicken breast, skinless", "grams": 600.0, "note": ""}, {"ingredient_id": "dijon", "name": "Dijon mustard", "grams": 40.0, "note": ""}, {"ingredient_id": "greek_yogurt", "name": "Greek yogurt, plain 2%", "grams": 60.0, "note": ""}, {"ingredient_id": "apple_cider_vinegar", "name": "Apple cider vinegar", "grams": 10.0, "note": ""}, {"ingredient_id": "garlic_powder", "name": "Garlic powder", "grams": 3.0, "note": ""}, {"ingredient_id": "paprika", "name": "Paprika", "grams": 2.0, "note": ""}, {"ingredient_id": "asparagus", "name": "Asparagus", "grams": 300.0, "note": ""}, {"ingredient_id": "olive_oil", "name": "Extra-virgin olive oil", "grams": 15.0, "note": ""}]</t>
        </is>
      </c>
      <c r="N1041" s="2" t="n">
        <v>250</v>
      </c>
      <c r="O1041" s="5" t="n">
        <v>37.5</v>
      </c>
      <c r="P1041" s="5" t="n">
        <v>8.4</v>
      </c>
      <c r="Q1041" s="5" t="n">
        <v>4.9</v>
      </c>
      <c r="R1041" s="5" t="n">
        <v>2.1</v>
      </c>
      <c r="S1041" s="5" t="n">
        <v>2.7</v>
      </c>
      <c r="T1041" s="2" t="n">
        <v>14</v>
      </c>
      <c r="U1041" s="2" t="inlineStr">
        <is>
          <t>low</t>
        </is>
      </c>
      <c r="V1041" s="5" t="n">
        <v>0.4</v>
      </c>
      <c r="W1041" s="2" t="inlineStr">
        <is>
          <t>low</t>
        </is>
      </c>
      <c r="X1041" s="3" t="inlineStr">
        <is>
          <t>Negligible carbohydrate (&lt;5 g net/serving): GI has little practical meaning, glycemic load is what matters.</t>
        </is>
      </c>
      <c r="Y1041" s="3" t="inlineStr">
        <is>
          <t>22% of this dish's available carbohydrate comes from ingredients with a published, measured GI; the rest uses conventional placeholders (see Ingredients sheet)</t>
        </is>
      </c>
      <c r="Z1041" s="2" t="n">
        <v>22</v>
      </c>
      <c r="AA1041" s="3" t="inlineStr">
        <is>
          <t>gluten-free, nut-free, low-carb, high-protein</t>
        </is>
      </c>
      <c r="AB1041" s="3" t="inlineStr">
        <is>
          <t>1. Stir the mustard, yogurt, vinegar and spices.
2. Coat the chicken and roast at 400°F for 22 minutes.
3. Roast the asparagus in the oil alongside for the last 10 minutes.</t>
        </is>
      </c>
      <c r="AC1041" s="4" t="inlineStr">
        <is>
          <t>["Stir the mustard, yogurt, vinegar and spices.", "Coat the chicken and roast at 400°F for 22 minutes.", "Roast the asparagus in the oil alongside for the last 10 minutes."]</t>
        </is>
      </c>
    </row>
    <row r="1042" ht="96" customHeight="1">
      <c r="A1042" s="2" t="inlineStr">
        <is>
          <t>DB-1041</t>
        </is>
      </c>
      <c r="B1042" s="3" t="inlineStr">
        <is>
          <t>Classic Pot Roast with Root Vegetables</t>
        </is>
      </c>
      <c r="C1042" s="4" t="inlineStr">
        <is>
          <t>Beef, Pork &amp; Lamb</t>
        </is>
      </c>
      <c r="D1042" s="4" t="inlineStr">
        <is>
          <t>American</t>
        </is>
      </c>
      <c r="E1042" s="2" t="n">
        <v>6</v>
      </c>
      <c r="F1042" s="2" t="n">
        <v>20</v>
      </c>
      <c r="G1042" s="2" t="n">
        <v>180</v>
      </c>
      <c r="H1042" s="2" t="n">
        <v>200</v>
      </c>
      <c r="I1042" s="4" t="inlineStr">
        <is>
          <t>classic-pot-roast-with-root-vegetables.jpg</t>
        </is>
      </c>
      <c r="J1042" s="3" t="inlineStr">
        <is>
          <t>Classic Pot Roast with Root Vegetables, healthy food photography, plated, natural light</t>
        </is>
      </c>
      <c r="K1042" s="4" t="inlineStr"/>
      <c r="L1042" s="3" t="inlineStr">
        <is>
          <t>Beef chuck roast, trimmed — 900 g (31.7 oz)
Carrot — 250 g (8.8 oz)
Turnip (GI of swede/rutabaga, closest tested) — 250 g (8.8 oz)
Yellow onion — 150 g (5.3 oz)
Celery — 80 g (2.8 oz)
Beef broth, low sodium — 500 g (17.6 oz)
Tomato paste — 30 g (1.1 oz)
Fresh thyme — 3 g (0.1 oz)
Bay leaves — 1 g (0.0 oz)
Extra-virgin olive oil — 15 g (0.5 oz)</t>
        </is>
      </c>
      <c r="M1042" s="4" t="inlineStr">
        <is>
          <t>[{"ingredient_id": "beef_chuck", "name": "Beef chuck roast, trimmed", "grams": 900.0, "note": ""}, {"ingredient_id": "carrot", "name": "Carrot", "grams": 250.0, "note": ""}, {"ingredient_id": "turnip", "name": "Turnip (GI of swede/rutabaga, closest tested)", "grams": 250.0, "note": ""}, {"ingredient_id": "onion", "name": "Yellow onion", "grams": 150.0, "note": ""}, {"ingredient_id": "celery", "name": "Celery", "grams": 80.0, "note": ""}, {"ingredient_id": "beef_broth", "name": "Beef broth, low sodium", "grams": 500.0, "note": ""}, {"ingredient_id": "tomato_paste", "name": "Tomato paste", "grams": 30.0, "note": ""}, {"ingredient_id": "thyme", "name": "Fresh thyme", "grams": 3.0, "note": ""}, {"ingredient_id": "bay_leaf", "name": "Bay leaves", "grams": 1.0, "note": ""}, {"ingredient_id": "olive_oil", "name": "Extra-virgin olive oil", "grams": 15.0, "note": ""}]</t>
        </is>
      </c>
      <c r="N1042" s="2" t="n">
        <v>344</v>
      </c>
      <c r="O1042" s="5" t="n">
        <v>32.5</v>
      </c>
      <c r="P1042" s="5" t="n">
        <v>19.4</v>
      </c>
      <c r="Q1042" s="5" t="n">
        <v>10.9</v>
      </c>
      <c r="R1042" s="5" t="n">
        <v>2.9</v>
      </c>
      <c r="S1042" s="5" t="n">
        <v>8.1</v>
      </c>
      <c r="T1042" s="2" t="n">
        <v>38</v>
      </c>
      <c r="U1042" s="2" t="inlineStr">
        <is>
          <t>low</t>
        </is>
      </c>
      <c r="V1042" s="5" t="n">
        <v>3.1</v>
      </c>
      <c r="W1042" s="2" t="inlineStr">
        <is>
          <t>low</t>
        </is>
      </c>
      <c r="X1042" s="3" t="inlineStr"/>
      <c r="Y1042" s="3" t="inlineStr">
        <is>
          <t>59% of this dish's available carbohydrate comes from ingredients with a published, measured GI; the rest uses conventional placeholders (see Ingredients sheet)</t>
        </is>
      </c>
      <c r="Z1042" s="2" t="n">
        <v>59</v>
      </c>
      <c r="AA1042" s="3" t="inlineStr">
        <is>
          <t>gluten-free, dairy-free, nut-free, low-carb, high-protein</t>
        </is>
      </c>
      <c r="AB1042" s="3" t="inlineStr">
        <is>
          <t>1. Sear the beef in oil in a heavy pot.
2. Add the onion, tomato paste, broth, thyme and bay leaf.
3. Cover and braise at 300°F for 2 hours.
4. Add the carrot, turnip and celery and cook 1 hour more until tender.</t>
        </is>
      </c>
      <c r="AC1042" s="4" t="inlineStr">
        <is>
          <t>["Sear the beef in oil in a heavy pot.", "Add the onion, tomato paste, broth, thyme and bay leaf.", "Cover and braise at 300°F for 2 hours.", "Add the carrot, turnip and celery and cook 1 hour more until tender."]</t>
        </is>
      </c>
    </row>
    <row r="1043" ht="96" customHeight="1">
      <c r="A1043" s="2" t="inlineStr">
        <is>
          <t>DB-1042</t>
        </is>
      </c>
      <c r="B1043" s="3" t="inlineStr">
        <is>
          <t>Bison Burger with Roasted Vegetables</t>
        </is>
      </c>
      <c r="C1043" s="4" t="inlineStr">
        <is>
          <t>Beef, Pork &amp; Lamb</t>
        </is>
      </c>
      <c r="D1043" s="4" t="inlineStr">
        <is>
          <t>American</t>
        </is>
      </c>
      <c r="E1043" s="2" t="n">
        <v>4</v>
      </c>
      <c r="F1043" s="2" t="n">
        <v>15</v>
      </c>
      <c r="G1043" s="2" t="n">
        <v>20</v>
      </c>
      <c r="H1043" s="2" t="n">
        <v>35</v>
      </c>
      <c r="I1043" s="4" t="inlineStr">
        <is>
          <t>bison-burger-with-roasted-vegetables.jpg</t>
        </is>
      </c>
      <c r="J1043" s="3" t="inlineStr">
        <is>
          <t>Bison Burger with Roasted Vegetables, healthy food photography, plated, natural light</t>
        </is>
      </c>
      <c r="K1043" s="4" t="inlineStr"/>
      <c r="L1043" s="3" t="inlineStr">
        <is>
          <t>Ground bison — 500 g (17.6 oz)
Yellow onion — 50 g (1.8 oz)
Yellow mustard — 10 g (0.4 oz)
Salt — 3 g (0.1 oz)
Zucchini — 250 g (8.8 oz)
Bell pepper — 200 g (7.1 oz)
Extra-virgin olive oil — 20 g (0.7 oz)
Tomato — 120 g (4.2 oz)
Romaine lettuce — 60 g (2.1 oz)</t>
        </is>
      </c>
      <c r="M1043" s="4" t="inlineStr">
        <is>
          <t>[{"ingredient_id": "bison", "name": "Ground bison", "grams": 500.0, "note": ""}, {"ingredient_id": "onion", "name": "Yellow onion", "grams": 50.0, "note": ""}, {"ingredient_id": "yellow_mustard", "name": "Yellow mustard", "grams": 10.0, "note": ""}, {"ingredient_id": "salt", "name": "Salt", "grams": 3.0, "note": ""}, {"ingredient_id": "zucchini", "name": "Zucchini", "grams": 250.0, "note": ""}, {"ingredient_id": "bell_pepper", "name": "Bell pepper", "grams": 200.0, "note": ""}, {"ingredient_id": "olive_oil", "name": "Extra-virgin olive oil", "grams": 20.0, "note": ""}, {"ingredient_id": "tomato", "name": "Tomato", "grams": 120.0, "note": ""}, {"ingredient_id": "romaine", "name": "Romaine lettuce", "grams": 60.0, "note": ""}]</t>
        </is>
      </c>
      <c r="N1043" s="2" t="n">
        <v>266</v>
      </c>
      <c r="O1043" s="5" t="n">
        <v>26.9</v>
      </c>
      <c r="P1043" s="5" t="n">
        <v>14.3</v>
      </c>
      <c r="Q1043" s="5" t="n">
        <v>7.9</v>
      </c>
      <c r="R1043" s="5" t="n">
        <v>2.6</v>
      </c>
      <c r="S1043" s="5" t="n">
        <v>5.3</v>
      </c>
      <c r="T1043" s="2" t="n">
        <v>15</v>
      </c>
      <c r="U1043" s="2" t="inlineStr">
        <is>
          <t>low</t>
        </is>
      </c>
      <c r="V1043" s="5" t="n">
        <v>0.8</v>
      </c>
      <c r="W1043" s="2" t="inlineStr">
        <is>
          <t>low</t>
        </is>
      </c>
      <c r="X1043" s="3" t="inlineStr"/>
      <c r="Y1043" s="3" t="inlineStr">
        <is>
          <t>0% of this dish's available carbohydrate comes from ingredients with a published, measured GI; the rest uses conventional placeholders (see Ingredients sheet)</t>
        </is>
      </c>
      <c r="Z1043" s="2" t="n">
        <v>0</v>
      </c>
      <c r="AA1043" s="3" t="inlineStr">
        <is>
          <t>gluten-free, dairy-free, nut-free, low-carb, high-protein</t>
        </is>
      </c>
      <c r="AB1043" s="3" t="inlineStr">
        <is>
          <t>1. Mix the bison with onion, mustard and salt and shape four patties.
2. Roast the zucchini and pepper in oil at 425°F for 20 minutes.
3. Grill the patties 4 minutes a side.
4. Serve on romaine with tomato and the roasted vegetables.</t>
        </is>
      </c>
      <c r="AC1043" s="4" t="inlineStr">
        <is>
          <t>["Mix the bison with onion, mustard and salt and shape four patties.", "Roast the zucchini and pepper in oil at 425°F for 20 minutes.", "Grill the patties 4 minutes a side.", "Serve on romaine with tomato and the roasted vegetables."]</t>
        </is>
      </c>
    </row>
    <row r="1044" ht="96" customHeight="1">
      <c r="A1044" s="2" t="inlineStr">
        <is>
          <t>DB-1043</t>
        </is>
      </c>
      <c r="B1044" s="3" t="inlineStr">
        <is>
          <t>Beef and Broccoli</t>
        </is>
      </c>
      <c r="C1044" s="4" t="inlineStr">
        <is>
          <t>Beef, Pork &amp; Lamb</t>
        </is>
      </c>
      <c r="D1044" s="4" t="inlineStr">
        <is>
          <t>American</t>
        </is>
      </c>
      <c r="E1044" s="2" t="n">
        <v>4</v>
      </c>
      <c r="F1044" s="2" t="n">
        <v>15</v>
      </c>
      <c r="G1044" s="2" t="n">
        <v>12</v>
      </c>
      <c r="H1044" s="2" t="n">
        <v>27</v>
      </c>
      <c r="I1044" s="4" t="inlineStr">
        <is>
          <t>beef-and-broccoli.jpg</t>
        </is>
      </c>
      <c r="J1044" s="3" t="inlineStr">
        <is>
          <t>Beef and Broccoli, healthy food photography, plated, natural light</t>
        </is>
      </c>
      <c r="K1044" s="4" t="inlineStr"/>
      <c r="L1044" s="3" t="inlineStr">
        <is>
          <t>Flank steak — 500 g (17.6 oz)
Broccoli — 400 g (14.1 oz)
Garlic — 8 g (0.3 oz)
Fresh ginger — 8 g (0.3 oz)
Coconut aminos — 40 g (1.4 oz)
Toasted sesame oil — 10 g (0.4 oz)
Extra-virgin olive oil — 10 g (0.4 oz)
Cauliflower rice — 300 g (10.6 oz)</t>
        </is>
      </c>
      <c r="M1044" s="4" t="inlineStr">
        <is>
          <t>[{"ingredient_id": "flank_steak", "name": "Flank steak", "grams": 500.0, "note": ""}, {"ingredient_id": "broccoli", "name": "Broccoli", "grams": 400.0, "note": ""}, {"ingredient_id": "garlic", "name": "Garlic", "grams": 8.0, "note": ""}, {"ingredient_id": "ginger", "name": "Fresh ginger", "grams": 8.0, "note": ""}, {"ingredient_id": "coconut_aminos", "name": "Coconut aminos", "grams": 40.0, "note": ""}, {"ingredient_id": "sesame_oil", "name": "Toasted sesame oil", "grams": 10.0, "note": ""}, {"ingredient_id": "olive_oil", "name": "Extra-virgin olive oil", "grams": 10.0, "note": ""}, {"ingredient_id": "cauliflower_rice", "name": "Cauliflower rice", "grams": 300.0, "note": ""}]</t>
        </is>
      </c>
      <c r="N1044" s="2" t="n">
        <v>298</v>
      </c>
      <c r="O1044" s="5" t="n">
        <v>30.6</v>
      </c>
      <c r="P1044" s="5" t="n">
        <v>14.4</v>
      </c>
      <c r="Q1044" s="5" t="n">
        <v>13.6</v>
      </c>
      <c r="R1044" s="5" t="n">
        <v>4.2</v>
      </c>
      <c r="S1044" s="5" t="n">
        <v>9.4</v>
      </c>
      <c r="T1044" s="2" t="n">
        <v>21</v>
      </c>
      <c r="U1044" s="2" t="inlineStr">
        <is>
          <t>low</t>
        </is>
      </c>
      <c r="V1044" s="5" t="n">
        <v>2</v>
      </c>
      <c r="W1044" s="2" t="inlineStr">
        <is>
          <t>low</t>
        </is>
      </c>
      <c r="X1044" s="3" t="inlineStr"/>
      <c r="Y1044" s="3" t="inlineStr">
        <is>
          <t>0% of this dish's available carbohydrate comes from ingredients with a published, measured GI; the rest uses conventional placeholders (see Ingredients sheet)</t>
        </is>
      </c>
      <c r="Z1044" s="2" t="n">
        <v>0</v>
      </c>
      <c r="AA1044" s="3" t="inlineStr">
        <is>
          <t>gluten-free, dairy-free, nut-free, low-carb, high-protein</t>
        </is>
      </c>
      <c r="AB1044" s="3" t="inlineStr">
        <is>
          <t>1. Slice the steak thin against the grain.
2. Sear in oil, then set aside.
3. Stir-fry the broccoli, garlic and ginger 4 minutes.
4. Add the steak and coconut aminos and serve over cauliflower rice with sesame oil.</t>
        </is>
      </c>
      <c r="AC1044" s="4" t="inlineStr">
        <is>
          <t>["Slice the steak thin against the grain.", "Sear in oil, then set aside.", "Stir-fry the broccoli, garlic and ginger 4 minutes.", "Add the steak and coconut aminos and serve over cauliflower rice with sesame oil."]</t>
        </is>
      </c>
    </row>
    <row r="1045" ht="96" customHeight="1">
      <c r="A1045" s="2" t="inlineStr">
        <is>
          <t>DB-1044</t>
        </is>
      </c>
      <c r="B1045" s="3" t="inlineStr">
        <is>
          <t>Steak Fajita Bowls</t>
        </is>
      </c>
      <c r="C1045" s="4" t="inlineStr">
        <is>
          <t>Beef, Pork &amp; Lamb</t>
        </is>
      </c>
      <c r="D1045" s="4" t="inlineStr">
        <is>
          <t>Tex-Mex</t>
        </is>
      </c>
      <c r="E1045" s="2" t="n">
        <v>4</v>
      </c>
      <c r="F1045" s="2" t="n">
        <v>15</v>
      </c>
      <c r="G1045" s="2" t="n">
        <v>15</v>
      </c>
      <c r="H1045" s="2" t="n">
        <v>30</v>
      </c>
      <c r="I1045" s="4" t="inlineStr">
        <is>
          <t>steak-fajita-bowls.jpg</t>
        </is>
      </c>
      <c r="J1045" s="3" t="inlineStr">
        <is>
          <t>Steak Fajita Bowls, healthy food photography, plated, natural light</t>
        </is>
      </c>
      <c r="K1045" s="4" t="inlineStr"/>
      <c r="L1045" s="3" t="inlineStr">
        <is>
          <t>Flank steak — 500 g (17.6 oz)
Bell pepper — 300 g (10.6 oz)
Yellow onion — 150 g (5.3 oz)
Black beans, cooked — 200 g (7.1 oz)
Cauliflower rice — 300 g (10.6 oz)
Taco seasoning, low sodium — 12 g (0.4 oz)
Lime juice — 20 g (0.7 oz)
Avocado — 100 g (3.5 oz)
Extra-virgin olive oil — 15 g (0.5 oz)</t>
        </is>
      </c>
      <c r="M1045" s="4" t="inlineStr">
        <is>
          <t>[{"ingredient_id": "flank_steak", "name": "Flank steak", "grams": 500.0, "note": ""}, {"ingredient_id": "bell_pepper", "name": "Bell pepper", "grams": 300.0, "note": ""}, {"ingredient_id": "onion", "name": "Yellow onion", "grams": 150.0, "note": ""}, {"ingredient_id": "black_beans", "name": "Black beans, cooked", "grams": 200.0, "note": ""}, {"ingredient_id": "cauliflower_rice", "name": "Cauliflower rice", "grams": 300.0, "note": ""}, {"ingredient_id": "taco_seasoning", "name": "Taco seasoning, low sodium", "grams": 12.0, "note": ""}, {"ingredient_id": "lime_juice", "name": "Lime juice", "grams": 20.0, "note": ""}, {"ingredient_id": "avocado", "name": "Avocado", "grams": 100.0, "note": ""}, {"ingredient_id": "olive_oil", "name": "Extra-virgin olive oil", "grams": 15.0, "note": ""}]</t>
        </is>
      </c>
      <c r="N1045" s="2" t="n">
        <v>394</v>
      </c>
      <c r="O1045" s="5" t="n">
        <v>34.1</v>
      </c>
      <c r="P1045" s="5" t="n">
        <v>17.2</v>
      </c>
      <c r="Q1045" s="5" t="n">
        <v>27.8</v>
      </c>
      <c r="R1045" s="5" t="n">
        <v>10.5</v>
      </c>
      <c r="S1045" s="5" t="n">
        <v>17.3</v>
      </c>
      <c r="T1045" s="2" t="n">
        <v>22</v>
      </c>
      <c r="U1045" s="2" t="inlineStr">
        <is>
          <t>low</t>
        </is>
      </c>
      <c r="V1045" s="5" t="n">
        <v>3.8</v>
      </c>
      <c r="W1045" s="2" t="inlineStr">
        <is>
          <t>low</t>
        </is>
      </c>
      <c r="X1045" s="3" t="inlineStr"/>
      <c r="Y1045" s="3" t="inlineStr">
        <is>
          <t>43% of this dish's available carbohydrate comes from ingredients with a published, measured GI; the rest uses conventional placeholders (see Ingredients sheet)</t>
        </is>
      </c>
      <c r="Z1045" s="2" t="n">
        <v>43</v>
      </c>
      <c r="AA1045" s="3" t="inlineStr">
        <is>
          <t>gluten-free, dairy-free, nut-free, high-protein, high-fiber</t>
        </is>
      </c>
      <c r="AB1045" s="3" t="inlineStr">
        <is>
          <t>1. Season and sear the steak, rest and slice.
2. Sauté the peppers and onion in oil.
3. Warm the beans and cauliflower rice.
4. Build the bowls and finish with avocado and lime.</t>
        </is>
      </c>
      <c r="AC1045" s="4" t="inlineStr">
        <is>
          <t>["Season and sear the steak, rest and slice.", "Sauté the peppers and onion in oil.", "Warm the beans and cauliflower rice.", "Build the bowls and finish with avocado and lime."]</t>
        </is>
      </c>
    </row>
    <row r="1046" ht="96" customHeight="1">
      <c r="A1046" s="2" t="inlineStr">
        <is>
          <t>DB-1045</t>
        </is>
      </c>
      <c r="B1046" s="3" t="inlineStr">
        <is>
          <t>Pork Chops with Apple and Sauteed Cabbage</t>
        </is>
      </c>
      <c r="C1046" s="4" t="inlineStr">
        <is>
          <t>Beef, Pork &amp; Lamb</t>
        </is>
      </c>
      <c r="D1046" s="4" t="inlineStr">
        <is>
          <t>American</t>
        </is>
      </c>
      <c r="E1046" s="2" t="n">
        <v>4</v>
      </c>
      <c r="F1046" s="2" t="n">
        <v>10</v>
      </c>
      <c r="G1046" s="2" t="n">
        <v>25</v>
      </c>
      <c r="H1046" s="2" t="n">
        <v>35</v>
      </c>
      <c r="I1046" s="4" t="inlineStr">
        <is>
          <t>pork-chops-with-apple-and-sauteed-cabbage.jpg</t>
        </is>
      </c>
      <c r="J1046" s="3" t="inlineStr">
        <is>
          <t>Pork Chops with Apple and Sauteed Cabbage, healthy food photography, plated, natural light</t>
        </is>
      </c>
      <c r="K1046" s="4" t="inlineStr"/>
      <c r="L1046" s="3" t="inlineStr">
        <is>
          <t>Pork loin chop, trimmed — 600 g (21.2 oz)
Apple — 200 g (7.1 oz)
Green cabbage — 400 g (14.1 oz)
Yellow onion — 80 g (2.8 oz)
Apple cider vinegar — 15 g (0.5 oz)
Dijon mustard — 10 g (0.4 oz)
Extra-virgin olive oil — 20 g (0.7 oz)
Fresh thyme — 2 g (0.1 oz)
Salt — 3 g (0.1 oz)</t>
        </is>
      </c>
      <c r="M1046" s="4" t="inlineStr">
        <is>
          <t>[{"ingredient_id": "pork_chop", "name": "Pork loin chop, trimmed", "grams": 600.0, "note": ""}, {"ingredient_id": "apple", "name": "Apple", "grams": 200.0, "note": ""}, {"ingredient_id": "cabbage", "name": "Green cabbage", "grams": 400.0, "note": ""}, {"ingredient_id": "onion", "name": "Yellow onion", "grams": 80.0, "note": ""}, {"ingredient_id": "apple_cider_vinegar", "name": "Apple cider vinegar", "grams": 15.0, "note": ""}, {"ingredient_id": "dijon", "name": "Dijon mustard", "grams": 10.0, "note": ""}, {"ingredient_id": "olive_oil", "name": "Extra-virgin olive oil", "grams": 20.0, "note": ""}, {"ingredient_id": "thyme", "name": "Fresh thyme", "grams": 2.0, "note": ""}, {"ingredient_id": "salt", "name": "Salt", "grams": 3.0, "note": ""}]</t>
        </is>
      </c>
      <c r="N1046" s="2" t="n">
        <v>331</v>
      </c>
      <c r="O1046" s="5" t="n">
        <v>34.8</v>
      </c>
      <c r="P1046" s="5" t="n">
        <v>15.1</v>
      </c>
      <c r="Q1046" s="5" t="n">
        <v>14.9</v>
      </c>
      <c r="R1046" s="5" t="n">
        <v>4.2</v>
      </c>
      <c r="S1046" s="5" t="n">
        <v>10.8</v>
      </c>
      <c r="T1046" s="2" t="n">
        <v>26</v>
      </c>
      <c r="U1046" s="2" t="inlineStr">
        <is>
          <t>low</t>
        </is>
      </c>
      <c r="V1046" s="5" t="n">
        <v>2.8</v>
      </c>
      <c r="W1046" s="2" t="inlineStr">
        <is>
          <t>low</t>
        </is>
      </c>
      <c r="X1046" s="3" t="inlineStr"/>
      <c r="Y1046" s="3" t="inlineStr">
        <is>
          <t>54% of this dish's available carbohydrate comes from ingredients with a published, measured GI; the rest uses conventional placeholders (see Ingredients sheet)</t>
        </is>
      </c>
      <c r="Z1046" s="2" t="n">
        <v>54</v>
      </c>
      <c r="AA1046" s="3" t="inlineStr">
        <is>
          <t>gluten-free, dairy-free, nut-free, low-carb, high-protein</t>
        </is>
      </c>
      <c r="AB1046" s="3" t="inlineStr">
        <is>
          <t>1. Season the chops and sear 4 minutes a side; set aside.
2. Sauté the onion, cabbage and apple in the same pan.
3. Stir in the vinegar, mustard and thyme.
4. Return the chops and finish in a 375°F oven for 8 minutes.</t>
        </is>
      </c>
      <c r="AC1046" s="4" t="inlineStr">
        <is>
          <t>["Season the chops and sear 4 minutes a side; set aside.", "Sauté the onion, cabbage and apple in the same pan.", "Stir in the vinegar, mustard and thyme.", "Return the chops and finish in a 375°F oven for 8 minutes."]</t>
        </is>
      </c>
    </row>
    <row r="1047" ht="96" customHeight="1">
      <c r="A1047" s="2" t="inlineStr">
        <is>
          <t>DB-1046</t>
        </is>
      </c>
      <c r="B1047" s="3" t="inlineStr">
        <is>
          <t>Slow Cooker Pulled Pork (Low Sugar BBQ)</t>
        </is>
      </c>
      <c r="C1047" s="4" t="inlineStr">
        <is>
          <t>Beef, Pork &amp; Lamb</t>
        </is>
      </c>
      <c r="D1047" s="4" t="inlineStr">
        <is>
          <t>American</t>
        </is>
      </c>
      <c r="E1047" s="2" t="n">
        <v>8</v>
      </c>
      <c r="F1047" s="2" t="n">
        <v>15</v>
      </c>
      <c r="G1047" s="2" t="n">
        <v>480</v>
      </c>
      <c r="H1047" s="2" t="n">
        <v>495</v>
      </c>
      <c r="I1047" s="4" t="inlineStr">
        <is>
          <t>slow-cooker-pulled-pork-low-sugar-bbq.jpg</t>
        </is>
      </c>
      <c r="J1047" s="3" t="inlineStr">
        <is>
          <t>Slow Cooker Pulled Pork (Low Sugar BBQ), healthy food photography, plated, natural light</t>
        </is>
      </c>
      <c r="K1047" s="4" t="inlineStr"/>
      <c r="L1047" s="3" t="inlineStr">
        <is>
          <t>Pork shoulder, trimmed — 1200 g (42.3 oz)
Tomato paste — 90 g (3.2 oz)
Apple cider vinegar — 60 g (2.1 oz)
Smoked paprika — 6 g (0.2 oz)
Garlic powder — 4 g (0.1 oz)
Onion powder — 3 g (0.1 oz)
Monk fruit/erythritol sweetener — 8 g (0.3 oz)
Salt — 5 g (0.2 oz)
Water / ice — 200 g (7.1 oz)</t>
        </is>
      </c>
      <c r="M1047" s="4" t="inlineStr">
        <is>
          <t>[{"ingredient_id": "pork_shoulder", "name": "Pork shoulder, trimmed", "grams": 1200.0, "note": ""}, {"ingredient_id": "tomato_paste", "name": "Tomato paste", "grams": 90.0,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8.0, "note": ""}, {"ingredient_id": "salt", "name": "Salt", "grams": 5.0, "note": ""}, {"ingredient_id": "water", "name": "Water / ice", "grams": 200.0, "note": ""}]</t>
        </is>
      </c>
      <c r="N1047" s="2" t="n">
        <v>316</v>
      </c>
      <c r="O1047" s="5" t="n">
        <v>29.2</v>
      </c>
      <c r="P1047" s="5" t="n">
        <v>21.2</v>
      </c>
      <c r="Q1047" s="5" t="n">
        <v>3.3</v>
      </c>
      <c r="R1047" s="5" t="n">
        <v>0.8</v>
      </c>
      <c r="S1047" s="5" t="n">
        <v>2.5</v>
      </c>
      <c r="T1047" s="2" t="n">
        <v>28</v>
      </c>
      <c r="U1047" s="2" t="inlineStr">
        <is>
          <t>low</t>
        </is>
      </c>
      <c r="V1047" s="5" t="n">
        <v>0.7</v>
      </c>
      <c r="W1047" s="2" t="inlineStr">
        <is>
          <t>low</t>
        </is>
      </c>
      <c r="X1047" s="3" t="inlineStr">
        <is>
          <t>Negligible carbohydrate (&lt;5 g net/serving): GI has little practical meaning, glycemic load is what matters.</t>
        </is>
      </c>
      <c r="Y1047" s="3" t="inlineStr">
        <is>
          <t>0% of this dish's available carbohydrate comes from ingredients with a published, measured GI; the rest uses conventional placeholders (see Ingredients sheet)</t>
        </is>
      </c>
      <c r="Z1047" s="2" t="n">
        <v>0</v>
      </c>
      <c r="AA1047" s="3" t="inlineStr">
        <is>
          <t>gluten-free, dairy-free, nut-free, low-carb, high-protein, slow-cooker</t>
        </is>
      </c>
      <c r="AB1047" s="3" t="inlineStr">
        <is>
          <t>1. Rub the pork with paprika, garlic, onion powder and salt.
2. Whisk the tomato paste, vinegar, sweetener and water and pour over.
3. Cook on low 8 hours.
4. Shred and toss in the juices.</t>
        </is>
      </c>
      <c r="AC1047" s="4" t="inlineStr">
        <is>
          <t>["Rub the pork with paprika, garlic, onion powder and salt.", "Whisk the tomato paste, vinegar, sweetener and water and pour over.", "Cook on low 8 hours.", "Shred and toss in the juices."]</t>
        </is>
      </c>
    </row>
    <row r="1048" ht="96" customHeight="1">
      <c r="A1048" s="2" t="inlineStr">
        <is>
          <t>DB-1047</t>
        </is>
      </c>
      <c r="B1048" s="3" t="inlineStr">
        <is>
          <t>Stuffed Cabbage Rolls</t>
        </is>
      </c>
      <c r="C1048" s="4" t="inlineStr">
        <is>
          <t>Beef, Pork &amp; Lamb</t>
        </is>
      </c>
      <c r="D1048" s="4" t="inlineStr">
        <is>
          <t>American</t>
        </is>
      </c>
      <c r="E1048" s="2" t="n">
        <v>6</v>
      </c>
      <c r="F1048" s="2" t="n">
        <v>30</v>
      </c>
      <c r="G1048" s="2" t="n">
        <v>60</v>
      </c>
      <c r="H1048" s="2" t="n">
        <v>90</v>
      </c>
      <c r="I1048" s="4" t="inlineStr">
        <is>
          <t>stuffed-cabbage-rolls.jpg</t>
        </is>
      </c>
      <c r="J1048" s="3" t="inlineStr">
        <is>
          <t>Stuffed Cabbage Rolls, healthy food photography, plated, natural light</t>
        </is>
      </c>
      <c r="K1048" s="4" t="inlineStr"/>
      <c r="L1048" s="3" t="inlineStr">
        <is>
          <t>Green cabbage — 700 g (24.7 oz)
Ground beef 90% lean — 500 g (17.6 oz)
Brown rice, cooked — 150 g (5.3 oz)
Yellow onion — 100 g (3.5 oz)
Tomato sauce, canned, no sugar added — 400 g (14.1 oz)
Garlic — 6 g (0.2 oz)
Fresh parsley — 5 g (0.2 oz)
Salt — 3 g (0.1 oz)</t>
        </is>
      </c>
      <c r="M1048" s="4" t="inlineStr">
        <is>
          <t>[{"ingredient_id": "cabbage", "name": "Green cabbage", "grams": 700.0, "note": ""}, {"ingredient_id": "ground_beef", "name": "Ground beef 90% lean", "grams": 500.0, "note": ""}, {"ingredient_id": "brown_rice", "name": "Brown rice, cooked", "grams": 150.0, "note": ""}, {"ingredient_id": "onion", "name": "Yellow onion", "grams": 100.0, "note": ""}, {"ingredient_id": "tomato_sauce", "name": "Tomato sauce, canned, no sugar added", "grams": 400.0, "note": ""}, {"ingredient_id": "garlic", "name": "Garlic", "grams": 6.0, "note": ""}, {"ingredient_id": "parsley", "name": "Fresh parsley", "grams": 5.0, "note": ""}, {"ingredient_id": "salt", "name": "Salt", "grams": 3.0, "note": ""}]</t>
        </is>
      </c>
      <c r="N1048" s="2" t="n">
        <v>228</v>
      </c>
      <c r="O1048" s="5" t="n">
        <v>19.9</v>
      </c>
      <c r="P1048" s="5" t="n">
        <v>8.800000000000001</v>
      </c>
      <c r="Q1048" s="5" t="n">
        <v>18.2</v>
      </c>
      <c r="R1048" s="5" t="n">
        <v>4.7</v>
      </c>
      <c r="S1048" s="5" t="n">
        <v>13.5</v>
      </c>
      <c r="T1048" s="2" t="n">
        <v>41</v>
      </c>
      <c r="U1048" s="2" t="inlineStr">
        <is>
          <t>low</t>
        </is>
      </c>
      <c r="V1048" s="5" t="n">
        <v>5.5</v>
      </c>
      <c r="W1048" s="2" t="inlineStr">
        <is>
          <t>low</t>
        </is>
      </c>
      <c r="X1048" s="3" t="inlineStr"/>
      <c r="Y1048" s="3" t="inlineStr">
        <is>
          <t>41% of this dish's available carbohydrate comes from ingredients with a published, measured GI; the rest uses conventional placeholders (see Ingredients sheet)</t>
        </is>
      </c>
      <c r="Z1048" s="2" t="n">
        <v>41</v>
      </c>
      <c r="AA1048" s="3" t="inlineStr">
        <is>
          <t>gluten-free, dairy-free, nut-free, low-carb</t>
        </is>
      </c>
      <c r="AB1048" s="3" t="inlineStr">
        <is>
          <t>1. Blanch the cabbage leaves until pliable.
2. Mix the beef, cooked rice, onion, garlic, parsley and salt.
3. Roll the filling in the leaves and pack into a baking dish.
4. Cover with tomato sauce and bake at 350°F for 1 hour.</t>
        </is>
      </c>
      <c r="AC1048" s="4" t="inlineStr">
        <is>
          <t>["Blanch the cabbage leaves until pliable.", "Mix the beef, cooked rice, onion, garlic, parsley and salt.", "Roll the filling in the leaves and pack into a baking dish.", "Cover with tomato sauce and bake at 350°F for 1 hour."]</t>
        </is>
      </c>
    </row>
    <row r="1049" ht="96" customHeight="1">
      <c r="A1049" s="2" t="inlineStr">
        <is>
          <t>DB-1048</t>
        </is>
      </c>
      <c r="B1049" s="3" t="inlineStr">
        <is>
          <t>Sheet Pan Steak and Asparagus</t>
        </is>
      </c>
      <c r="C1049" s="4" t="inlineStr">
        <is>
          <t>Beef, Pork &amp; Lamb</t>
        </is>
      </c>
      <c r="D1049" s="4" t="inlineStr">
        <is>
          <t>American</t>
        </is>
      </c>
      <c r="E1049" s="2" t="n">
        <v>3</v>
      </c>
      <c r="F1049" s="2" t="n">
        <v>10</v>
      </c>
      <c r="G1049" s="2" t="n">
        <v>15</v>
      </c>
      <c r="H1049" s="2" t="n">
        <v>25</v>
      </c>
      <c r="I1049" s="4" t="inlineStr">
        <is>
          <t>sheet-pan-steak-and-asparagus.jpg</t>
        </is>
      </c>
      <c r="J1049" s="3" t="inlineStr">
        <is>
          <t>Sheet Pan Steak and Asparagus, healthy food photography, plated, natural light</t>
        </is>
      </c>
      <c r="K1049" s="4" t="inlineStr"/>
      <c r="L1049" s="3" t="inlineStr">
        <is>
          <t>Beef sirloin, trimmed — 420 g (14.8 oz)
Asparagus — 300 g (10.6 oz)
Cherry tomatoes — 150 g (5.3 oz)
Extra-virgin olive oil — 20 g (0.7 oz)
Garlic — 6 g (0.2 oz)
Salt — 3 g (0.1 oz)
Black pepper — 1 g (0.0 oz)</t>
        </is>
      </c>
      <c r="M1049" s="4" t="inlineStr">
        <is>
          <t>[{"ingredient_id": "beef_sirloin", "name": "Beef sirloin, trimmed", "grams": 420.0, "note": ""}, {"ingredient_id": "asparagus", "name": "Asparagus", "grams": 300.0, "note": ""}, {"ingredient_id": "cherry_tomato", "name": "Cherry tomatoes", "grams": 150.0, "note": ""}, {"ingredient_id": "olive_oil", "name": "Extra-virgin olive oil", "grams": 20.0, "note": ""}, {"ingredient_id": "garlic", "name": "Garlic", "grams": 6.0, "note": ""}, {"ingredient_id": "salt", "name": "Salt", "grams": 3.0, "note": ""}, {"ingredient_id": "black_pepper", "name": "Black pepper", "grams": 1.0, "note": ""}]</t>
        </is>
      </c>
      <c r="N1049" s="2" t="n">
        <v>274</v>
      </c>
      <c r="O1049" s="5" t="n">
        <v>33.6</v>
      </c>
      <c r="P1049" s="5" t="n">
        <v>13.2</v>
      </c>
      <c r="Q1049" s="5" t="n">
        <v>6.7</v>
      </c>
      <c r="R1049" s="5" t="n">
        <v>2.8</v>
      </c>
      <c r="S1049" s="5" t="n">
        <v>3.9</v>
      </c>
      <c r="T1049" s="2" t="n">
        <v>17</v>
      </c>
      <c r="U1049" s="2" t="inlineStr">
        <is>
          <t>low</t>
        </is>
      </c>
      <c r="V1049" s="5" t="n">
        <v>0.7</v>
      </c>
      <c r="W1049" s="2" t="inlineStr">
        <is>
          <t>low</t>
        </is>
      </c>
      <c r="X1049" s="3" t="inlineStr">
        <is>
          <t>Negligible carbohydrate (&lt;5 g net/serving): GI has little practical meaning, glycemic load is what matters.</t>
        </is>
      </c>
      <c r="Y1049" s="3" t="inlineStr">
        <is>
          <t>0% of this dish's available carbohydrate comes from ingredients with a published, measured GI; the rest uses conventional placeholders (see Ingredients sheet)</t>
        </is>
      </c>
      <c r="Z1049" s="2" t="n">
        <v>0</v>
      </c>
      <c r="AA1049" s="3" t="inlineStr">
        <is>
          <t>gluten-free, dairy-free, nut-free, low-carb, high-protein, one-pan</t>
        </is>
      </c>
      <c r="AB1049" s="3" t="inlineStr">
        <is>
          <t>1. Heat the oven to 450°F.
2. Rub the steak with oil, garlic, salt and pepper.
3. Roast on a tray with the asparagus and tomatoes for 12 to 15 minutes.
4. Rest and slice.</t>
        </is>
      </c>
      <c r="AC1049" s="4" t="inlineStr">
        <is>
          <t>["Heat the oven to 450°F.", "Rub the steak with oil, garlic, salt and pepper.", "Roast on a tray with the asparagus and tomatoes for 12 to 15 minutes.", "Rest and slice."]</t>
        </is>
      </c>
    </row>
    <row r="1050" ht="96" customHeight="1">
      <c r="A1050" s="2" t="inlineStr">
        <is>
          <t>DB-1049</t>
        </is>
      </c>
      <c r="B1050" s="3" t="inlineStr">
        <is>
          <t>Beef Chili with Beans</t>
        </is>
      </c>
      <c r="C1050" s="4" t="inlineStr">
        <is>
          <t>Soup &amp; Stew</t>
        </is>
      </c>
      <c r="D1050" s="4" t="inlineStr">
        <is>
          <t>American</t>
        </is>
      </c>
      <c r="E1050" s="2" t="n">
        <v>6</v>
      </c>
      <c r="F1050" s="2" t="n">
        <v>15</v>
      </c>
      <c r="G1050" s="2" t="n">
        <v>50</v>
      </c>
      <c r="H1050" s="2" t="n">
        <v>65</v>
      </c>
      <c r="I1050" s="4" t="inlineStr">
        <is>
          <t>beef-chili-with-beans.jpg</t>
        </is>
      </c>
      <c r="J1050" s="3" t="inlineStr">
        <is>
          <t>Beef Chili with Beans, healthy food photography, plated, natural light</t>
        </is>
      </c>
      <c r="K1050" s="4" t="inlineStr"/>
      <c r="L1050" s="3" t="inlineStr">
        <is>
          <t>Ground beef 90% lean — 500 g (17.6 oz)
Kidney beans, cooked — 300 g (10.6 oz)
Diced tomatoes, canned — 400 g (14.1 oz)
Tomato paste — 40 g (1.4 oz)
Yellow onion — 150 g (5.3 oz)
Bell pepper — 120 g (4.2 oz)
Chili powder — 12 g (0.4 oz)
Ground cumin — 4 g (0.1 oz)
Garlic — 8 g (0.3 oz)
Beef broth, low sodium — 300 g (10.6 oz)</t>
        </is>
      </c>
      <c r="M1050" s="4" t="inlineStr">
        <is>
          <t>[{"ingredient_id": "ground_beef", "name": "Ground beef 90% lean", "grams": 500.0, "note": ""}, {"ingredient_id": "kidney_beans", "name": "Kidney beans, cooked", "grams": 300.0, "note": ""}, {"ingredient_id": "diced_tomatoes", "name": "Diced tomatoes, canned", "grams": 400.0, "note": ""}, {"ingredient_id": "tomato_paste", "name": "Tomato paste", "grams": 40.0, "note": ""}, {"ingredient_id": "onion", "name": "Yellow onion", "grams": 150.0, "note": ""}, {"ingredient_id": "bell_pepper", "name": "Bell pepper", "grams": 120.0, "note": ""}, {"ingredient_id": "chili_powder", "name": "Chili powder", "grams": 12.0, "note": ""}, {"ingredient_id": "cumin", "name": "Ground cumin", "grams": 4.0, "note": ""}, {"ingredient_id": "garlic", "name": "Garlic", "grams": 8.0, "note": ""}, {"ingredient_id": "beef_broth", "name": "Beef broth, low sodium", "grams": 300.0, "note": ""}]</t>
        </is>
      </c>
      <c r="N1050" s="2" t="n">
        <v>261</v>
      </c>
      <c r="O1050" s="5" t="n">
        <v>23.7</v>
      </c>
      <c r="P1050" s="5" t="n">
        <v>9.4</v>
      </c>
      <c r="Q1050" s="5" t="n">
        <v>21.5</v>
      </c>
      <c r="R1050" s="5" t="n">
        <v>6.1</v>
      </c>
      <c r="S1050" s="5" t="n">
        <v>15.3</v>
      </c>
      <c r="T1050" s="2" t="n">
        <v>30</v>
      </c>
      <c r="U1050" s="2" t="inlineStr">
        <is>
          <t>low</t>
        </is>
      </c>
      <c r="V1050" s="5" t="n">
        <v>4.6</v>
      </c>
      <c r="W1050" s="2" t="inlineStr">
        <is>
          <t>low</t>
        </is>
      </c>
      <c r="X1050" s="3" t="inlineStr"/>
      <c r="Y1050" s="3" t="inlineStr">
        <is>
          <t>53% of this dish's available carbohydrate comes from ingredients with a published, measured GI; the rest uses conventional placeholders (see Ingredients sheet)</t>
        </is>
      </c>
      <c r="Z1050" s="2" t="n">
        <v>53</v>
      </c>
      <c r="AA1050" s="3" t="inlineStr">
        <is>
          <t>gluten-free, dairy-free, nut-free</t>
        </is>
      </c>
      <c r="AB1050" s="3" t="inlineStr">
        <is>
          <t>1. Brown the beef with the onion and pepper.
2. Stir in the garlic, chili powder, cumin and tomato paste.
3. Add the tomatoes, beans and broth and simmer 40 minutes.</t>
        </is>
      </c>
      <c r="AC1050" s="4" t="inlineStr">
        <is>
          <t>["Brown the beef with the onion and pepper.", "Stir in the garlic, chili powder, cumin and tomato paste.", "Add the tomatoes, beans and broth and simmer 40 minutes."]</t>
        </is>
      </c>
    </row>
    <row r="1051" ht="96" customHeight="1">
      <c r="A1051" s="2" t="inlineStr">
        <is>
          <t>DB-1050</t>
        </is>
      </c>
      <c r="B1051" s="3" t="inlineStr">
        <is>
          <t>Korean-Style Beef Lettuce Wraps</t>
        </is>
      </c>
      <c r="C1051" s="4" t="inlineStr">
        <is>
          <t>Beef, Pork &amp; Lamb</t>
        </is>
      </c>
      <c r="D1051" s="4" t="inlineStr">
        <is>
          <t>Korean</t>
        </is>
      </c>
      <c r="E1051" s="2" t="n">
        <v>4</v>
      </c>
      <c r="F1051" s="2" t="n">
        <v>15</v>
      </c>
      <c r="G1051" s="2" t="n">
        <v>10</v>
      </c>
      <c r="H1051" s="2" t="n">
        <v>25</v>
      </c>
      <c r="I1051" s="4" t="inlineStr">
        <is>
          <t>korean-style-beef-lettuce-wraps.jpg</t>
        </is>
      </c>
      <c r="J1051" s="3" t="inlineStr">
        <is>
          <t>Korean-Style Beef Lettuce Wraps, healthy food photography, plated, natural light</t>
        </is>
      </c>
      <c r="K1051" s="4" t="inlineStr"/>
      <c r="L1051" s="3" t="inlineStr">
        <is>
          <t>Ground beef 90% lean — 500 g (17.6 oz)
Butter lettuce — 160 g (5.6 oz)
Gochujang (small amount) — 20 g (0.7 oz)
Coconut aminos — 30 g (1.1 oz)
Garlic — 8 g (0.3 oz)
Fresh ginger — 6 g (0.2 oz)
Green onions (scallions) — 30 g (1.1 oz)
Sesame seeds — 6 g (0.2 oz)
Cucumber — 100 g (3.5 oz)</t>
        </is>
      </c>
      <c r="M1051" s="4" t="inlineStr">
        <is>
          <t>[{"ingredient_id": "ground_beef", "name": "Ground beef 90% lean", "grams": 500.0, "note": ""}, {"ingredient_id": "butter_lettuce", "name": "Butter lettuce", "grams": 160.0, "note": ""}, {"ingredient_id": "gochujang", "name": "Gochujang (small amount)", "grams": 20.0, "note": ""}, {"ingredient_id": "coconut_aminos", "name": "Coconut aminos", "grams": 30.0, "note": ""}, {"ingredient_id": "garlic", "name": "Garlic", "grams": 8.0, "note": ""}, {"ingredient_id": "ginger", "name": "Fresh ginger", "grams": 6.0, "note": ""}, {"ingredient_id": "green_onion", "name": "Green onions (scallions)", "grams": 30.0, "note": ""}, {"ingredient_id": "sesame_seeds", "name": "Sesame seeds", "grams": 6.0, "note": ""}, {"ingredient_id": "cucumber", "name": "Cucumber", "grams": 100.0, "note": ""}]</t>
        </is>
      </c>
      <c r="N1051" s="2" t="n">
        <v>261</v>
      </c>
      <c r="O1051" s="5" t="n">
        <v>26.5</v>
      </c>
      <c r="P1051" s="5" t="n">
        <v>13.4</v>
      </c>
      <c r="Q1051" s="5" t="n">
        <v>7.5</v>
      </c>
      <c r="R1051" s="5" t="n">
        <v>1.2</v>
      </c>
      <c r="S1051" s="5" t="n">
        <v>6.3</v>
      </c>
      <c r="T1051" s="2" t="n">
        <v>32</v>
      </c>
      <c r="U1051" s="2" t="inlineStr">
        <is>
          <t>low</t>
        </is>
      </c>
      <c r="V1051" s="5" t="n">
        <v>2</v>
      </c>
      <c r="W1051" s="2" t="inlineStr">
        <is>
          <t>low</t>
        </is>
      </c>
      <c r="X1051" s="3" t="inlineStr"/>
      <c r="Y1051" s="3" t="inlineStr">
        <is>
          <t>0% of this dish's available carbohydrate comes from ingredients with a published, measured GI; the rest uses conventional placeholders (see Ingredients sheet)</t>
        </is>
      </c>
      <c r="Z1051" s="2" t="n">
        <v>0</v>
      </c>
      <c r="AA1051" s="3" t="inlineStr">
        <is>
          <t>dairy-free, nut-free, low-carb, high-protein</t>
        </is>
      </c>
      <c r="AB1051" s="3" t="inlineStr">
        <is>
          <t>1. Brown the beef with garlic and ginger.
2. Stir in gochujang and coconut aminos.
3. Spoon into lettuce leaves and top with green onion, cucumber and sesame.</t>
        </is>
      </c>
      <c r="AC1051" s="4" t="inlineStr">
        <is>
          <t>["Brown the beef with garlic and ginger.", "Stir in gochujang and coconut aminos.", "Spoon into lettuce leaves and top with green onion, cucumber and sesame."]</t>
        </is>
      </c>
    </row>
    <row r="1052" ht="96" customHeight="1">
      <c r="A1052" s="2" t="inlineStr">
        <is>
          <t>DB-1051</t>
        </is>
      </c>
      <c r="B1052" s="3" t="inlineStr">
        <is>
          <t>Sheet-Pan Dill Salmon and Broccoli</t>
        </is>
      </c>
      <c r="C1052" s="4" t="inlineStr">
        <is>
          <t>Seafood</t>
        </is>
      </c>
      <c r="D1052" s="4" t="inlineStr">
        <is>
          <t>American</t>
        </is>
      </c>
      <c r="E1052" s="2" t="n">
        <v>4</v>
      </c>
      <c r="F1052" s="2" t="n">
        <v>10</v>
      </c>
      <c r="G1052" s="2" t="n">
        <v>18</v>
      </c>
      <c r="H1052" s="2" t="n">
        <v>28</v>
      </c>
      <c r="I1052" s="4" t="inlineStr">
        <is>
          <t>sheet-pan-dill-salmon-and-broccoli.jpg</t>
        </is>
      </c>
      <c r="J1052" s="3" t="inlineStr">
        <is>
          <t>Sheet-Pan Dill Salmon and Broccoli, healthy food photography, plated, natural light</t>
        </is>
      </c>
      <c r="K1052" s="4" t="inlineStr"/>
      <c r="L1052" s="3" t="inlineStr">
        <is>
          <t>Salmon fillet — 560 g (19.8 oz)
Broccoli — 400 g (14.1 oz)
Lemon (with juice &amp; zest) — 60 g (2.1 oz)
Fresh dill — 5 g (0.2 oz)
Extra-virgin olive oil — 20 g (0.7 oz)
Garlic — 6 g (0.2 oz)
Salt — 3 g (0.1 oz)</t>
        </is>
      </c>
      <c r="M1052" s="4" t="inlineStr">
        <is>
          <t>[{"ingredient_id": "salmon", "name": "Salmon fillet", "grams": 560.0, "note": ""}, {"ingredient_id": "broccoli", "name": "Broccoli", "grams": 400.0, "note": ""}, {"ingredient_id": "lemon", "name": "Lemon (with juice &amp; zest)", "grams": 60.0, "note": ""}, {"ingredient_id": "dill", "name": "Fresh dill", "grams": 5.0, "note": ""}, {"ingredient_id": "olive_oil", "name": "Extra-virgin olive oil", "grams": 20.0, "note": ""}, {"ingredient_id": "garlic", "name": "Garlic", "grams": 6.0, "note": ""}, {"ingredient_id": "salt", "name": "Salt", "grams": 3.0, "note": ""}]</t>
        </is>
      </c>
      <c r="N1052" s="2" t="n">
        <v>377</v>
      </c>
      <c r="O1052" s="5" t="n">
        <v>31.1</v>
      </c>
      <c r="P1052" s="5" t="n">
        <v>23.7</v>
      </c>
      <c r="Q1052" s="5" t="n">
        <v>8.6</v>
      </c>
      <c r="R1052" s="5" t="n">
        <v>3.1</v>
      </c>
      <c r="S1052" s="5" t="n">
        <v>5.5</v>
      </c>
      <c r="T1052" s="2" t="n">
        <v>17</v>
      </c>
      <c r="U1052" s="2" t="inlineStr">
        <is>
          <t>low</t>
        </is>
      </c>
      <c r="V1052" s="5" t="n">
        <v>0.9</v>
      </c>
      <c r="W1052" s="2" t="inlineStr">
        <is>
          <t>low</t>
        </is>
      </c>
      <c r="X1052" s="3" t="inlineStr"/>
      <c r="Y1052" s="3" t="inlineStr">
        <is>
          <t>0% of this dish's available carbohydrate comes from ingredients with a published, measured GI; the rest uses conventional placeholders (see Ingredients sheet)</t>
        </is>
      </c>
      <c r="Z1052" s="2" t="n">
        <v>0</v>
      </c>
      <c r="AA1052" s="3" t="inlineStr">
        <is>
          <t>pescatarian, gluten-free, dairy-free, nut-free, low-carb, high-protein, one-pan</t>
        </is>
      </c>
      <c r="AB1052" s="3" t="inlineStr">
        <is>
          <t>1. Heat the oven to 400°F.
2. Place the salmon and broccoli on a tray and drizzle with oil.
3. Add garlic, lemon slices and salt.
4. Roast 15 to 18 minutes and finish with dill.</t>
        </is>
      </c>
      <c r="AC1052" s="4" t="inlineStr">
        <is>
          <t>["Heat the oven to 400°F.", "Place the salmon and broccoli on a tray and drizzle with oil.", "Add garlic, lemon slices and salt.", "Roast 15 to 18 minutes and finish with dill."]</t>
        </is>
      </c>
    </row>
    <row r="1053" ht="96" customHeight="1">
      <c r="A1053" s="2" t="inlineStr">
        <is>
          <t>DB-1052</t>
        </is>
      </c>
      <c r="B1053" s="3" t="inlineStr">
        <is>
          <t>Shrimp Scampi with Zucchini Noodles</t>
        </is>
      </c>
      <c r="C1053" s="4" t="inlineStr">
        <is>
          <t>Seafood</t>
        </is>
      </c>
      <c r="D1053" s="4" t="inlineStr">
        <is>
          <t>Italian</t>
        </is>
      </c>
      <c r="E1053" s="2" t="n">
        <v>3</v>
      </c>
      <c r="F1053" s="2" t="n">
        <v>10</v>
      </c>
      <c r="G1053" s="2" t="n">
        <v>10</v>
      </c>
      <c r="H1053" s="2" t="n">
        <v>20</v>
      </c>
      <c r="I1053" s="4" t="inlineStr">
        <is>
          <t>shrimp-scampi-with-zucchini-noodles.jpg</t>
        </is>
      </c>
      <c r="J1053" s="3" t="inlineStr">
        <is>
          <t>Shrimp Scampi with Zucchini Noodles, healthy food photography, plated, natural light</t>
        </is>
      </c>
      <c r="K1053" s="4" t="inlineStr"/>
      <c r="L1053" s="3" t="inlineStr">
        <is>
          <t>Shrimp, peeled — 450 g (15.9 oz)
Zucchini noodles (zoodles) — 450 g (15.9 oz)
Garlic — 12 g (0.4 oz)
Butter — 20 g (0.7 oz)
Extra-virgin olive oil — 10 g (0.4 oz)
Lemon juice — 20 g (0.7 oz)
Dry white wine (cooking) — 50 g (1.8 oz)
Fresh parsley — 5 g (0.2 oz)
Red pepper flakes — 1 g (0.0 oz)</t>
        </is>
      </c>
      <c r="M1053" s="4" t="inlineStr">
        <is>
          <t>[{"ingredient_id": "shrimp", "name": "Shrimp, peeled", "grams": 450.0, "note": ""}, {"ingredient_id": "zucchini_noodles", "name": "Zucchini noodles (zoodles)", "grams": 450.0, "note": ""}, {"ingredient_id": "garlic", "name": "Garlic", "grams": 12.0, "note": ""}, {"ingredient_id": "butter", "name": "Butter", "grams": 20.0, "note": ""}, {"ingredient_id": "olive_oil", "name": "Extra-virgin olive oil", "grams": 10.0, "note": ""}, {"ingredient_id": "lemon_juice", "name": "Lemon juice", "grams": 20.0, "note": ""}, {"ingredient_id": "white_wine", "name": "Dry white wine (cooking)", "grams": 50.0, "note": ""}, {"ingredient_id": "parsley", "name": "Fresh parsley", "grams": 5.0, "note": ""}, {"ingredient_id": "red_pepper_flakes", "name": "Red pepper flakes", "grams": 1.0, "note": ""}]</t>
        </is>
      </c>
      <c r="N1053" s="2" t="n">
        <v>253</v>
      </c>
      <c r="O1053" s="5" t="n">
        <v>32.2</v>
      </c>
      <c r="P1053" s="5" t="n">
        <v>10</v>
      </c>
      <c r="Q1053" s="5" t="n">
        <v>7.2</v>
      </c>
      <c r="R1053" s="5" t="n">
        <v>1.7</v>
      </c>
      <c r="S1053" s="5" t="n">
        <v>5.4</v>
      </c>
      <c r="T1053" s="2" t="n">
        <v>18</v>
      </c>
      <c r="U1053" s="2" t="inlineStr">
        <is>
          <t>low</t>
        </is>
      </c>
      <c r="V1053" s="5" t="n">
        <v>1</v>
      </c>
      <c r="W1053" s="2" t="inlineStr">
        <is>
          <t>low</t>
        </is>
      </c>
      <c r="X1053" s="3" t="inlineStr"/>
      <c r="Y1053" s="3" t="inlineStr">
        <is>
          <t>0% of this dish's available carbohydrate comes from ingredients with a published, measured GI; the rest uses conventional placeholders (see Ingredients sheet)</t>
        </is>
      </c>
      <c r="Z1053" s="2" t="n">
        <v>0</v>
      </c>
      <c r="AA1053" s="3" t="inlineStr">
        <is>
          <t>pescatarian, gluten-free, nut-free, low-carb, high-protein</t>
        </is>
      </c>
      <c r="AB1053" s="3" t="inlineStr">
        <is>
          <t>1. Sauté the garlic in butter and oil.
2. Add the shrimp and cook 2 minutes a side.
3. Add wine and lemon and reduce briefly.
4. Toss with the zucchini noodles and parsley.</t>
        </is>
      </c>
      <c r="AC1053" s="4" t="inlineStr">
        <is>
          <t>["Sauté the garlic in butter and oil.", "Add the shrimp and cook 2 minutes a side.", "Add wine and lemon and reduce briefly.", "Toss with the zucchini noodles and parsley."]</t>
        </is>
      </c>
    </row>
    <row r="1054" ht="96" customHeight="1">
      <c r="A1054" s="2" t="inlineStr">
        <is>
          <t>DB-1053</t>
        </is>
      </c>
      <c r="B1054" s="3" t="inlineStr">
        <is>
          <t>Cajun Shrimp and Cauliflower Grits Bowl</t>
        </is>
      </c>
      <c r="C1054" s="4" t="inlineStr">
        <is>
          <t>Seafood</t>
        </is>
      </c>
      <c r="D1054" s="4" t="inlineStr">
        <is>
          <t>American</t>
        </is>
      </c>
      <c r="E1054" s="2" t="n">
        <v>3</v>
      </c>
      <c r="F1054" s="2" t="n">
        <v>10</v>
      </c>
      <c r="G1054" s="2" t="n">
        <v>20</v>
      </c>
      <c r="H1054" s="2" t="n">
        <v>30</v>
      </c>
      <c r="I1054" s="4" t="inlineStr">
        <is>
          <t>cajun-shrimp-and-cauliflower-grits-bowl.jpg</t>
        </is>
      </c>
      <c r="J1054" s="3" t="inlineStr">
        <is>
          <t>Cajun Shrimp and Cauliflower Grits Bowl, healthy food photography, plated, natural light</t>
        </is>
      </c>
      <c r="K1054" s="4" t="inlineStr"/>
      <c r="L1054" s="3" t="inlineStr">
        <is>
          <t>Shrimp, peeled — 400 g (14.1 oz)
Cajun seasoning — 8 g (0.3 oz)
Cauliflower rice — 400 g (14.1 oz)
Cheddar cheese — 40 g (1.4 oz)
Bell pepper — 100 g (3.5 oz)
Green onions (scallions) — 20 g (0.7 oz)
Extra-virgin olive oil — 15 g (0.5 oz)
Milk, 2% — 60 g (2.1 oz)</t>
        </is>
      </c>
      <c r="M1054" s="4" t="inlineStr">
        <is>
          <t>[{"ingredient_id": "shrimp", "name": "Shrimp, peeled", "grams": 400.0, "note": ""}, {"ingredient_id": "cajun_seasoning", "name": "Cajun seasoning", "grams": 8.0, "note": ""}, {"ingredient_id": "cauliflower_rice", "name": "Cauliflower rice", "grams": 400.0, "note": ""}, {"ingredient_id": "cheddar", "name": "Cheddar cheese", "grams": 40.0, "note": ""}, {"ingredient_id": "bell_pepper", "name": "Bell pepper", "grams": 100.0, "note": ""}, {"ingredient_id": "green_onion", "name": "Green onions (scallions)", "grams": 20.0, "note": ""}, {"ingredient_id": "olive_oil", "name": "Extra-virgin olive oil", "grams": 15.0, "note": ""}, {"ingredient_id": "milk", "name": "Milk, 2%", "grams": 60.0, "note": ""}]</t>
        </is>
      </c>
      <c r="N1054" s="2" t="n">
        <v>275</v>
      </c>
      <c r="O1054" s="5" t="n">
        <v>33.6</v>
      </c>
      <c r="P1054" s="5" t="n">
        <v>11.2</v>
      </c>
      <c r="Q1054" s="5" t="n">
        <v>11.8</v>
      </c>
      <c r="R1054" s="5" t="n">
        <v>4.2</v>
      </c>
      <c r="S1054" s="5" t="n">
        <v>7.5</v>
      </c>
      <c r="T1054" s="2" t="n">
        <v>16</v>
      </c>
      <c r="U1054" s="2" t="inlineStr">
        <is>
          <t>low</t>
        </is>
      </c>
      <c r="V1054" s="5" t="n">
        <v>1.2</v>
      </c>
      <c r="W1054" s="2" t="inlineStr">
        <is>
          <t>low</t>
        </is>
      </c>
      <c r="X1054" s="3" t="inlineStr"/>
      <c r="Y1054" s="3" t="inlineStr">
        <is>
          <t>13% of this dish's available carbohydrate comes from ingredients with a published, measured GI; the rest uses conventional placeholders (see Ingredients sheet)</t>
        </is>
      </c>
      <c r="Z1054" s="2" t="n">
        <v>13</v>
      </c>
      <c r="AA1054" s="3" t="inlineStr">
        <is>
          <t>pescatarian, gluten-free, nut-free, low-carb, high-protein</t>
        </is>
      </c>
      <c r="AB1054" s="3" t="inlineStr">
        <is>
          <t>1. Simmer the cauliflower rice with milk until creamy, then stir in cheddar.
2. Toss the shrimp in Cajun seasoning and sear in oil.
3. Add the pepper and cook 3 minutes.
4. Spoon over the cauliflower base and top with green onion.</t>
        </is>
      </c>
      <c r="AC1054" s="4" t="inlineStr">
        <is>
          <t>["Simmer the cauliflower rice with milk until creamy, then stir in cheddar.", "Toss the shrimp in Cajun seasoning and sear in oil.", "Add the pepper and cook 3 minutes.", "Spoon over the cauliflower base and top with green onion."]</t>
        </is>
      </c>
    </row>
    <row r="1055" ht="96" customHeight="1">
      <c r="A1055" s="2" t="inlineStr">
        <is>
          <t>DB-1054</t>
        </is>
      </c>
      <c r="B1055" s="3" t="inlineStr">
        <is>
          <t>Tuna Patties with Lemon Yogurt Sauce</t>
        </is>
      </c>
      <c r="C1055" s="4" t="inlineStr">
        <is>
          <t>Seafood</t>
        </is>
      </c>
      <c r="D1055" s="4" t="inlineStr">
        <is>
          <t>American</t>
        </is>
      </c>
      <c r="E1055" s="2" t="n">
        <v>4</v>
      </c>
      <c r="F1055" s="2" t="n">
        <v>15</v>
      </c>
      <c r="G1055" s="2" t="n">
        <v>10</v>
      </c>
      <c r="H1055" s="2" t="n">
        <v>25</v>
      </c>
      <c r="I1055" s="4" t="inlineStr">
        <is>
          <t>tuna-patties-with-lemon-yogurt-sauce.jpg</t>
        </is>
      </c>
      <c r="J1055" s="3" t="inlineStr">
        <is>
          <t>Tuna Patties with Lemon Yogurt Sauce, healthy food photography, plated, natural light</t>
        </is>
      </c>
      <c r="K1055" s="4" t="inlineStr"/>
      <c r="L1055" s="3" t="inlineStr">
        <is>
          <t>Tuna, canned in water — 480 g (16.9 oz)
Egg, large (50 g each) — 100 g (3.5 oz)
Almond flour — 40 g (1.4 oz)
Celery — 40 g (1.4 oz)
Green onions (scallions) — 20 g (0.7 oz)
Dijon mustard — 10 g (0.4 oz)
Greek yogurt, plain 2% — 100 g (3.5 oz)
Lemon juice — 15 g (0.5 oz)
Extra-virgin olive oil — 15 g (0.5 oz)</t>
        </is>
      </c>
      <c r="M1055" s="4" t="inlineStr">
        <is>
          <t>[{"ingredient_id": "tuna_canned", "name": "Tuna, canned in water", "grams": 480.0, "note": ""}, {"ingredient_id": "egg", "name": "Egg, large (50 g each)", "grams": 100.0, "note": ""}, {"ingredient_id": "almond_flour", "name": "Almond flour", "grams": 40.0, "note": ""}, {"ingredient_id": "celery", "name": "Celery", "grams": 40.0, "note": ""}, {"ingredient_id": "green_onion", "name": "Green onions (scallions)", "grams": 20.0, "note": ""}, {"ingredient_id": "dijon", "name": "Dijon mustard", "grams": 10.0, "note": ""}, {"ingredient_id": "greek_yogurt", "name": "Greek yogurt, plain 2%", "grams": 100.0, "note": ""}, {"ingredient_id": "lemon_juice", "name": "Lemon juice", "grams": 15.0, "note": ""}, {"ingredient_id": "olive_oil", "name": "Extra-virgin olive oil", "grams": 15.0, "note": ""}]</t>
        </is>
      </c>
      <c r="N1055" s="2" t="n">
        <v>291</v>
      </c>
      <c r="O1055" s="5" t="n">
        <v>39.2</v>
      </c>
      <c r="P1055" s="5" t="n">
        <v>12.9</v>
      </c>
      <c r="Q1055" s="5" t="n">
        <v>4.3</v>
      </c>
      <c r="R1055" s="5" t="n">
        <v>1.6</v>
      </c>
      <c r="S1055" s="5" t="n">
        <v>2.7</v>
      </c>
      <c r="T1055" s="2" t="n">
        <v>13</v>
      </c>
      <c r="U1055" s="2" t="inlineStr">
        <is>
          <t>low</t>
        </is>
      </c>
      <c r="V1055" s="5" t="n">
        <v>0.4</v>
      </c>
      <c r="W1055" s="2" t="inlineStr">
        <is>
          <t>low</t>
        </is>
      </c>
      <c r="X1055" s="3" t="inlineStr">
        <is>
          <t>Negligible carbohydrate (&lt;5 g net/serving): GI has little practical meaning, glycemic load is what matters.</t>
        </is>
      </c>
      <c r="Y1055" s="3" t="inlineStr">
        <is>
          <t>36% of this dish's available carbohydrate comes from ingredients with a published, measured GI; the rest uses conventional placeholders (see Ingredients sheet)</t>
        </is>
      </c>
      <c r="Z1055" s="2" t="n">
        <v>36</v>
      </c>
      <c r="AA1055" s="3" t="inlineStr">
        <is>
          <t>pescatarian, gluten-free, low-carb, high-protein</t>
        </is>
      </c>
      <c r="AB1055" s="3" t="inlineStr">
        <is>
          <t>1. Mix the tuna, egg, almond flour, celery, green onion and mustard and form patties.
2. Pan-fry in oil 3 to 4 minutes a side.
3. Stir the yogurt with lemon juice and serve on the side.</t>
        </is>
      </c>
      <c r="AC1055" s="4" t="inlineStr">
        <is>
          <t>["Mix the tuna, egg, almond flour, celery, green onion and mustard and form patties.", "Pan-fry in oil 3 to 4 minutes a side.", "Stir the yogurt with lemon juice and serve on the side."]</t>
        </is>
      </c>
    </row>
    <row r="1056" ht="96" customHeight="1">
      <c r="A1056" s="2" t="inlineStr">
        <is>
          <t>DB-1055</t>
        </is>
      </c>
      <c r="B1056" s="3" t="inlineStr">
        <is>
          <t>Blackened Catfish with Collard Greens</t>
        </is>
      </c>
      <c r="C1056" s="4" t="inlineStr">
        <is>
          <t>Seafood</t>
        </is>
      </c>
      <c r="D1056" s="4" t="inlineStr">
        <is>
          <t>American</t>
        </is>
      </c>
      <c r="E1056" s="2" t="n">
        <v>4</v>
      </c>
      <c r="F1056" s="2" t="n">
        <v>10</v>
      </c>
      <c r="G1056" s="2" t="n">
        <v>20</v>
      </c>
      <c r="H1056" s="2" t="n">
        <v>30</v>
      </c>
      <c r="I1056" s="4" t="inlineStr">
        <is>
          <t>blackened-catfish-with-collard-greens.jpg</t>
        </is>
      </c>
      <c r="J1056" s="3" t="inlineStr">
        <is>
          <t>Blackened Catfish with Collard Greens, healthy food photography, plated, natural light</t>
        </is>
      </c>
      <c r="K1056" s="4" t="inlineStr"/>
      <c r="L1056" s="3" t="inlineStr">
        <is>
          <t>Catfish fillet — 560 g (19.8 oz)
Cajun seasoning — 10 g (0.4 oz)
Collard greens — 400 g (14.1 oz)
Yellow onion — 80 g (2.8 oz)
Garlic — 6 g (0.2 oz)
Apple cider vinegar — 15 g (0.5 oz)
Extra-virgin olive oil — 25 g (0.9 oz)
Turkey bacon — 40 g (1.4 oz)</t>
        </is>
      </c>
      <c r="M1056" s="4" t="inlineStr">
        <is>
          <t>[{"ingredient_id": "catfish", "name": "Catfish fillet", "grams": 560.0, "note": ""}, {"ingredient_id": "cajun_seasoning", "name": "Cajun seasoning", "grams": 10.0, "note": ""}, {"ingredient_id": "collard_greens", "name": "Collard greens", "grams": 400.0, "note": ""}, {"ingredient_id": "onion", "name": "Yellow onion", "grams": 80.0, "note": ""}, {"ingredient_id": "garlic", "name": "Garlic", "grams": 6.0, "note": ""}, {"ingredient_id": "apple_cider_vinegar", "name": "Apple cider vinegar", "grams": 15.0, "note": ""}, {"ingredient_id": "olive_oil", "name": "Extra-virgin olive oil", "grams": 25.0, "note": ""}, {"ingredient_id": "turkey_bacon", "name": "Turkey bacon", "grams": 40.0, "note": ""}]</t>
        </is>
      </c>
      <c r="N1056" s="2" t="n">
        <v>261</v>
      </c>
      <c r="O1056" s="5" t="n">
        <v>27.8</v>
      </c>
      <c r="P1056" s="5" t="n">
        <v>12.8</v>
      </c>
      <c r="Q1056" s="5" t="n">
        <v>9.4</v>
      </c>
      <c r="R1056" s="5" t="n">
        <v>5</v>
      </c>
      <c r="S1056" s="5" t="n">
        <v>4.4</v>
      </c>
      <c r="T1056" s="2" t="n">
        <v>16</v>
      </c>
      <c r="U1056" s="2" t="inlineStr">
        <is>
          <t>low</t>
        </is>
      </c>
      <c r="V1056" s="5" t="n">
        <v>0.7</v>
      </c>
      <c r="W1056" s="2" t="inlineStr">
        <is>
          <t>low</t>
        </is>
      </c>
      <c r="X1056" s="3" t="inlineStr">
        <is>
          <t>Negligible carbohydrate (&lt;5 g net/serving): GI has little practical meaning, glycemic load is what matters.</t>
        </is>
      </c>
      <c r="Y1056" s="3" t="inlineStr">
        <is>
          <t>0% of this dish's available carbohydrate comes from ingredients with a published, measured GI; the rest uses conventional placeholders (see Ingredients sheet)</t>
        </is>
      </c>
      <c r="Z1056" s="2" t="n">
        <v>0</v>
      </c>
      <c r="AA1056" s="3" t="inlineStr">
        <is>
          <t>gluten-free, dairy-free, nut-free, low-carb, high-protein</t>
        </is>
      </c>
      <c r="AB1056" s="3" t="inlineStr">
        <is>
          <t>1. Sauté the bacon, onion and garlic, then the collards with vinegar and a splash of water until tender.
2. Coat the catfish in Cajun seasoning.
3. Sear in oil 4 minutes a side.
4. Serve on the greens.</t>
        </is>
      </c>
      <c r="AC1056" s="4" t="inlineStr">
        <is>
          <t>["Sauté the bacon, onion and garlic, then the collards with vinegar and a splash of water until tender.", "Coat the catfish in Cajun seasoning.", "Sear in oil 4 minutes a side.", "Serve on the greens."]</t>
        </is>
      </c>
    </row>
    <row r="1057" ht="96" customHeight="1">
      <c r="A1057" s="2" t="inlineStr">
        <is>
          <t>DB-1056</t>
        </is>
      </c>
      <c r="B1057" s="3" t="inlineStr">
        <is>
          <t>Lemon Pepper Tilapia with Green Beans</t>
        </is>
      </c>
      <c r="C1057" s="4" t="inlineStr">
        <is>
          <t>Seafood</t>
        </is>
      </c>
      <c r="D1057" s="4" t="inlineStr">
        <is>
          <t>American</t>
        </is>
      </c>
      <c r="E1057" s="2" t="n">
        <v>4</v>
      </c>
      <c r="F1057" s="2" t="n">
        <v>5</v>
      </c>
      <c r="G1057" s="2" t="n">
        <v>15</v>
      </c>
      <c r="H1057" s="2" t="n">
        <v>20</v>
      </c>
      <c r="I1057" s="4" t="inlineStr">
        <is>
          <t>lemon-pepper-tilapia-with-green-beans.jpg</t>
        </is>
      </c>
      <c r="J1057" s="3" t="inlineStr">
        <is>
          <t>Lemon Pepper Tilapia with Green Beans, healthy food photography, plated, natural light</t>
        </is>
      </c>
      <c r="K1057" s="4" t="inlineStr"/>
      <c r="L1057" s="3" t="inlineStr">
        <is>
          <t>Tilapia fillet — 560 g (19.8 oz)
Green beans — 400 g (14.1 oz)
Lemon juice — 25 g (0.9 oz)
Black pepper — 2 g (0.1 oz)
Garlic powder — 3 g (0.1 oz)
Extra-virgin olive oil — 20 g (0.7 oz)
Salt — 3 g (0.1 oz)</t>
        </is>
      </c>
      <c r="M1057" s="4" t="inlineStr">
        <is>
          <t>[{"ingredient_id": "tilapia", "name": "Tilapia fillet", "grams": 560.0, "note": ""}, {"ingredient_id": "green_beans", "name": "Green beans", "grams": 400.0, "note": ""}, {"ingredient_id": "lemon_juice", "name": "Lemon juice", "grams": 25.0, "note": ""}, {"ingredient_id": "black_pepper", "name": "Black pepper", "grams": 2.0, "note": ""}, {"ingredient_id": "garlic_powder", "name": "Garlic powder", "grams": 3.0, "note": ""}, {"ingredient_id": "olive_oil", "name": "Extra-virgin olive oil", "grams": 20.0, "note": ""}, {"ingredient_id": "salt", "name": "Salt", "grams": 3.0, "note": ""}]</t>
        </is>
      </c>
      <c r="N1057" s="2" t="n">
        <v>215</v>
      </c>
      <c r="O1057" s="5" t="n">
        <v>30</v>
      </c>
      <c r="P1057" s="5" t="n">
        <v>7.6</v>
      </c>
      <c r="Q1057" s="5" t="n">
        <v>8.300000000000001</v>
      </c>
      <c r="R1057" s="5" t="n">
        <v>2.9</v>
      </c>
      <c r="S1057" s="5" t="n">
        <v>5.4</v>
      </c>
      <c r="T1057" s="2" t="n">
        <v>15</v>
      </c>
      <c r="U1057" s="2" t="inlineStr">
        <is>
          <t>low</t>
        </is>
      </c>
      <c r="V1057" s="5" t="n">
        <v>0.8</v>
      </c>
      <c r="W1057" s="2" t="inlineStr">
        <is>
          <t>low</t>
        </is>
      </c>
      <c r="X1057" s="3" t="inlineStr"/>
      <c r="Y1057" s="3" t="inlineStr">
        <is>
          <t>0% of this dish's available carbohydrate comes from ingredients with a published, measured GI; the rest uses conventional placeholders (see Ingredients sheet)</t>
        </is>
      </c>
      <c r="Z1057" s="2" t="n">
        <v>0</v>
      </c>
      <c r="AA1057" s="3" t="inlineStr">
        <is>
          <t>pescatarian, gluten-free, dairy-free, nut-free, low-carb, high-protein</t>
        </is>
      </c>
      <c r="AB1057" s="3" t="inlineStr">
        <is>
          <t>1. Season the tilapia with pepper, garlic powder and salt.
2. Pan-sear in half the oil, 3 minutes a side.
3. Sauté the beans in the remaining oil.
4. Finish both with lemon juice.</t>
        </is>
      </c>
      <c r="AC1057" s="4" t="inlineStr">
        <is>
          <t>["Season the tilapia with pepper, garlic powder and salt.", "Pan-sear in half the oil, 3 minutes a side.", "Sauté the beans in the remaining oil.", "Finish both with lemon juice."]</t>
        </is>
      </c>
    </row>
    <row r="1058" ht="96" customHeight="1">
      <c r="A1058" s="2" t="inlineStr">
        <is>
          <t>DB-1057</t>
        </is>
      </c>
      <c r="B1058" s="3" t="inlineStr">
        <is>
          <t>Crab Cakes with Greek Yogurt Remoulade</t>
        </is>
      </c>
      <c r="C1058" s="4" t="inlineStr">
        <is>
          <t>Seafood</t>
        </is>
      </c>
      <c r="D1058" s="4" t="inlineStr">
        <is>
          <t>American</t>
        </is>
      </c>
      <c r="E1058" s="2" t="n">
        <v>4</v>
      </c>
      <c r="F1058" s="2" t="n">
        <v>15</v>
      </c>
      <c r="G1058" s="2" t="n">
        <v>10</v>
      </c>
      <c r="H1058" s="2" t="n">
        <v>25</v>
      </c>
      <c r="I1058" s="4" t="inlineStr">
        <is>
          <t>crab-cakes-with-greek-yogurt-remoulade.jpg</t>
        </is>
      </c>
      <c r="J1058" s="3" t="inlineStr">
        <is>
          <t>Crab Cakes with Greek Yogurt Remoulade, healthy food photography, plated, natural light</t>
        </is>
      </c>
      <c r="K1058" s="4" t="inlineStr"/>
      <c r="L1058" s="3" t="inlineStr">
        <is>
          <t>Crab meat, lump — 450 g (15.9 oz)
Egg, large (50 g each) — 50 g (1.8 oz)
Almond flour — 40 g (1.4 oz)
Celery — 30 g (1.1 oz)
Old Bay seasoning — 4 g (0.1 oz)
Dijon mustard — 10 g (0.4 oz)
Lemon juice — 15 g (0.5 oz)
Greek yogurt, plain 2% — 100 g (3.5 oz)
Extra-virgin olive oil — 15 g (0.5 oz)
Dill pickles — 20 g (0.7 oz)</t>
        </is>
      </c>
      <c r="M1058" s="4" t="inlineStr">
        <is>
          <t>[{"ingredient_id": "crab", "name": "Crab meat, lump", "grams": 450.0, "note": ""}, {"ingredient_id": "egg", "name": "Egg, large (50 g each)", "grams": 50.0, "note": ""}, {"ingredient_id": "almond_flour", "name": "Almond flour", "grams": 40.0, "note": ""}, {"ingredient_id": "celery", "name": "Celery", "grams": 30.0, "note": ""}, {"ingredient_id": "old_bay", "name": "Old Bay seasoning", "grams": 4.0, "note": ""}, {"ingredient_id": "dijon", "name": "Dijon mustard", "grams": 10.0, "note": ""}, {"ingredient_id": "lemon_juice", "name": "Lemon juice", "grams": 15.0, "note": ""}, {"ingredient_id": "greek_yogurt", "name": "Greek yogurt, plain 2%", "grams": 100.0, "note": ""}, {"ingredient_id": "olive_oil", "name": "Extra-virgin olive oil", "grams": 15.0, "note": ""}, {"ingredient_id": "dill_pickle", "name": "Dill pickles", "grams": 20.0, "note": ""}]</t>
        </is>
      </c>
      <c r="N1058" s="2" t="n">
        <v>230</v>
      </c>
      <c r="O1058" s="5" t="n">
        <v>26.7</v>
      </c>
      <c r="P1058" s="5" t="n">
        <v>11.8</v>
      </c>
      <c r="Q1058" s="5" t="n">
        <v>4.5</v>
      </c>
      <c r="R1058" s="5" t="n">
        <v>1.7</v>
      </c>
      <c r="S1058" s="5" t="n">
        <v>2.8</v>
      </c>
      <c r="T1058" s="2" t="n">
        <v>14</v>
      </c>
      <c r="U1058" s="2" t="inlineStr">
        <is>
          <t>low</t>
        </is>
      </c>
      <c r="V1058" s="5" t="n">
        <v>0.4</v>
      </c>
      <c r="W1058" s="2" t="inlineStr">
        <is>
          <t>low</t>
        </is>
      </c>
      <c r="X1058" s="3" t="inlineStr">
        <is>
          <t>Negligible carbohydrate (&lt;5 g net/serving): GI has little practical meaning, glycemic load is what matters.</t>
        </is>
      </c>
      <c r="Y1058" s="3" t="inlineStr">
        <is>
          <t>36% of this dish's available carbohydrate comes from ingredients with a published, measured GI; the rest uses conventional placeholders (see Ingredients sheet)</t>
        </is>
      </c>
      <c r="Z1058" s="2" t="n">
        <v>36</v>
      </c>
      <c r="AA1058" s="3" t="inlineStr">
        <is>
          <t>pescatarian, gluten-free, low-carb, high-protein</t>
        </is>
      </c>
      <c r="AB1058" s="3" t="inlineStr">
        <is>
          <t>1. Mix the crab, egg, almond flour, celery, Old Bay and mustard gently and form cakes.
2. Chill 15 minutes.
3. Pan-fry in oil 4 minutes a side.
4. Stir the yogurt, lemon and chopped pickle for the sauce.</t>
        </is>
      </c>
      <c r="AC1058" s="4" t="inlineStr">
        <is>
          <t>["Mix the crab, egg, almond flour, celery, Old Bay and mustard gently and form cakes.", "Chill 15 minutes.", "Pan-fry in oil 4 minutes a side.", "Stir the yogurt, lemon and chopped pickle for the sauce."]</t>
        </is>
      </c>
    </row>
    <row r="1059" ht="96" customHeight="1">
      <c r="A1059" s="2" t="inlineStr">
        <is>
          <t>DB-1058</t>
        </is>
      </c>
      <c r="B1059" s="3" t="inlineStr">
        <is>
          <t>Salmon Patty Lettuce Wraps with Avocado</t>
        </is>
      </c>
      <c r="C1059" s="4" t="inlineStr">
        <is>
          <t>Seafood</t>
        </is>
      </c>
      <c r="D1059" s="4" t="inlineStr">
        <is>
          <t>American</t>
        </is>
      </c>
      <c r="E1059" s="2" t="n">
        <v>4</v>
      </c>
      <c r="F1059" s="2" t="n">
        <v>15</v>
      </c>
      <c r="G1059" s="2" t="n">
        <v>10</v>
      </c>
      <c r="H1059" s="2" t="n">
        <v>25</v>
      </c>
      <c r="I1059" s="4" t="inlineStr">
        <is>
          <t>salmon-patty-lettuce-wraps-with-avocado.jpg</t>
        </is>
      </c>
      <c r="J1059" s="3" t="inlineStr">
        <is>
          <t>Salmon Patty Lettuce Wraps with Avocado, healthy food photography, plated, natural light</t>
        </is>
      </c>
      <c r="K1059" s="4" t="inlineStr"/>
      <c r="L1059" s="3" t="inlineStr">
        <is>
          <t>Salmon fillet — 500 g (17.6 oz)
Egg, large (50 g each) — 50 g (1.8 oz)
Oat bran, dry — 30 g (1.1 oz)
Dijon mustard — 10 g (0.4 oz)
Fresh dill — 4 g (0.1 oz)
Lemon juice — 10 g (0.4 oz)
Butter lettuce — 100 g (3.5 oz)
Tomato — 120 g (4.2 oz)
Avocado — 80 g (2.8 oz)</t>
        </is>
      </c>
      <c r="M1059"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"lemon_juice", "name": "Lemon juice", "grams": 10.0, "note": ""}, {"ingredient_id": "butter_lettuce", "name": "Butter lettuce", "grams": 100.0, "note": ""}, {"ingredient_id": "tomato", "name": "Tomato", "grams": 120.0, "note": ""}, {"ingredient_id": "avocado", "name": "Avocado", "grams": 80.0, "note": ""}]</t>
        </is>
      </c>
      <c r="N1059" s="2" t="n">
        <v>340</v>
      </c>
      <c r="O1059" s="5" t="n">
        <v>29</v>
      </c>
      <c r="P1059" s="5" t="n">
        <v>21.2</v>
      </c>
      <c r="Q1059" s="5" t="n">
        <v>8.800000000000001</v>
      </c>
      <c r="R1059" s="5" t="n">
        <v>3.2</v>
      </c>
      <c r="S1059" s="5" t="n">
        <v>5.6</v>
      </c>
      <c r="T1059" s="2" t="n">
        <v>42</v>
      </c>
      <c r="U1059" s="2" t="inlineStr">
        <is>
          <t>low</t>
        </is>
      </c>
      <c r="V1059" s="5" t="n">
        <v>2.4</v>
      </c>
      <c r="W1059" s="2" t="inlineStr">
        <is>
          <t>low</t>
        </is>
      </c>
      <c r="X1059" s="3" t="inlineStr"/>
      <c r="Y1059" s="3" t="inlineStr">
        <is>
          <t>68% of this dish's available carbohydrate comes from ingredients with a published, measured GI; the rest uses conventional placeholders (see Ingredients sheet)</t>
        </is>
      </c>
      <c r="Z1059" s="2" t="n">
        <v>68</v>
      </c>
      <c r="AA1059" s="3" t="inlineStr">
        <is>
          <t>pescatarian, dairy-free, nut-free, low-carb, high-protein</t>
        </is>
      </c>
      <c r="AB1059" s="3" t="inlineStr">
        <is>
          <t>1. Chop the salmon finely and mix with egg, oat bran, mustard, dill and lemon.
2. Shape four patties and chill.
3. Grill 4 minutes a side.
4. Serve in lettuce with tomato and avocado.</t>
        </is>
      </c>
      <c r="AC1059" s="4" t="inlineStr">
        <is>
          <t>["Chop the salmon finely and mix with egg, oat bran, mustard, dill and lemon.", "Shape four patties and chill.", "Grill 4 minutes a side.", "Serve in lettuce with tomato and avocado."]</t>
        </is>
      </c>
    </row>
    <row r="1060" ht="96" customHeight="1">
      <c r="A1060" s="2" t="inlineStr">
        <is>
          <t>DB-1059</t>
        </is>
      </c>
      <c r="B1060" s="3" t="inlineStr">
        <is>
          <t>Homestyle Chicken Noodle Soup (Chickpea Pasta)</t>
        </is>
      </c>
      <c r="C1060" s="4" t="inlineStr">
        <is>
          <t>Soup &amp; Stew</t>
        </is>
      </c>
      <c r="D1060" s="4" t="inlineStr">
        <is>
          <t>American</t>
        </is>
      </c>
      <c r="E1060" s="2" t="n">
        <v>5</v>
      </c>
      <c r="F1060" s="2" t="n">
        <v>15</v>
      </c>
      <c r="G1060" s="2" t="n">
        <v>30</v>
      </c>
      <c r="H1060" s="2" t="n">
        <v>45</v>
      </c>
      <c r="I1060" s="4" t="inlineStr">
        <is>
          <t>homestyle-chicken-noodle-soup-chickpea-pasta.jpg</t>
        </is>
      </c>
      <c r="J1060" s="3" t="inlineStr">
        <is>
          <t>Homestyle Chicken Noodle Soup (Chickpea Pasta), healthy food photography, plated, natural light</t>
        </is>
      </c>
      <c r="K1060" s="4" t="inlineStr"/>
      <c r="L1060" s="3" t="inlineStr">
        <is>
          <t>Chicken breast, skinless — 450 g (15.9 oz)
Chicken broth, low sodium — 1000 g (35.3 oz)
Carrot — 120 g (4.2 oz)
Celery — 100 g (3.5 oz)
Yellow onion — 100 g (3.5 oz)
Chickpea pasta, cooked — 100 g (3.5 oz)
Fresh parsley — 5 g (0.2 oz)
Fresh thyme — 2 g (0.1 oz)
Garlic — 6 g (0.2 oz)</t>
        </is>
      </c>
      <c r="M1060" s="4" t="inlineStr">
        <is>
          <t>[{"ingredient_id": "chicken_breast", "name": "Chicken breast, skinless", "grams": 450.0, "note": ""}, {"ingredient_id": "chicken_broth", "name": "Chicken broth, low sodium", "grams": 1000.0, "note": ""}, {"ingredient_id": "carrot", "name": "Carrot", "grams": 120.0, "note": ""}, {"ingredient_id": "celery", "name": "Celery", "grams": 100.0, "note": ""}, {"ingredient_id": "onion", "name": "Yellow onion", "grams": 100.0, "note": ""}, {"ingredient_id": "chickpea_pasta", "name": "Chickpea pasta, cooked", "grams": 100.0, "note": ""}, {"ingredient_id": "parsley", "name": "Fresh parsley", "grams": 5.0, "note": ""}, {"ingredient_id": "thyme", "name": "Fresh thyme", "grams": 2.0, "note": ""}, {"ingredient_id": "garlic", "name": "Garlic", "grams": 6.0, "note": ""}]</t>
        </is>
      </c>
      <c r="N1060" s="2" t="n">
        <v>179</v>
      </c>
      <c r="O1060" s="5" t="n">
        <v>25.4</v>
      </c>
      <c r="P1060" s="5" t="n">
        <v>3.5</v>
      </c>
      <c r="Q1060" s="5" t="n">
        <v>11.7</v>
      </c>
      <c r="R1060" s="5" t="n">
        <v>2.6</v>
      </c>
      <c r="S1060" s="5" t="n">
        <v>9.1</v>
      </c>
      <c r="T1060" s="2" t="n">
        <v>25</v>
      </c>
      <c r="U1060" s="2" t="inlineStr">
        <is>
          <t>low</t>
        </is>
      </c>
      <c r="V1060" s="5" t="n">
        <v>2.3</v>
      </c>
      <c r="W1060" s="2" t="inlineStr">
        <is>
          <t>low</t>
        </is>
      </c>
      <c r="X1060" s="3" t="inlineStr"/>
      <c r="Y1060" s="3" t="inlineStr">
        <is>
          <t>18% of this dish's available carbohydrate comes from ingredients with a published, measured GI; the rest uses conventional placeholders (see Ingredients sheet)</t>
        </is>
      </c>
      <c r="Z1060" s="2" t="n">
        <v>18</v>
      </c>
      <c r="AA1060" s="3" t="inlineStr">
        <is>
          <t>gluten-free, dairy-free, nut-free, low-carb, high-protein</t>
        </is>
      </c>
      <c r="AB1060" s="3" t="inlineStr">
        <is>
          <t>1. Simmer the chicken, vegetables, garlic and thyme in the broth for 20 minutes.
2. Remove and shred the chicken.
3. Cook the pasta in the soup for 6 to 8 minutes.
4. Return the chicken and finish with parsley.</t>
        </is>
      </c>
      <c r="AC1060" s="4" t="inlineStr">
        <is>
          <t>["Simmer the chicken, vegetables, garlic and thyme in the broth for 20 minutes.", "Remove and shred the chicken.", "Cook the pasta in the soup for 6 to 8 minutes.", "Return the chicken and finish with parsley."]</t>
        </is>
      </c>
    </row>
    <row r="1061" ht="96" customHeight="1">
      <c r="A1061" s="2" t="inlineStr">
        <is>
          <t>DB-1060</t>
        </is>
      </c>
      <c r="B1061" s="3" t="inlineStr">
        <is>
          <t>Broccoli Cheddar Soup</t>
        </is>
      </c>
      <c r="C1061" s="4" t="inlineStr">
        <is>
          <t>Soup &amp; Stew</t>
        </is>
      </c>
      <c r="D1061" s="4" t="inlineStr">
        <is>
          <t>American</t>
        </is>
      </c>
      <c r="E1061" s="2" t="n">
        <v>4</v>
      </c>
      <c r="F1061" s="2" t="n">
        <v>10</v>
      </c>
      <c r="G1061" s="2" t="n">
        <v>25</v>
      </c>
      <c r="H1061" s="2" t="n">
        <v>35</v>
      </c>
      <c r="I1061" s="4" t="inlineStr">
        <is>
          <t>broccoli-cheddar-soup.jpg</t>
        </is>
      </c>
      <c r="J1061" s="3" t="inlineStr">
        <is>
          <t>Broccoli Cheddar Soup, healthy food photography, plated, natural light</t>
        </is>
      </c>
      <c r="K1061" s="4" t="inlineStr"/>
      <c r="L1061" s="3" t="inlineStr">
        <is>
          <t>Broccoli — 500 g (17.6 oz)
Cheddar cheese — 120 g (4.2 oz)
Yellow onion — 100 g (3.5 oz)
Chicken broth, low sodium — 600 g (21.2 oz)
Milk, 2% — 200 g (7.1 oz)
Garlic — 6 g (0.2 oz)
Extra-virgin olive oil — 10 g (0.4 oz)
Dijon mustard — 5 g (0.2 oz)</t>
        </is>
      </c>
      <c r="M1061" s="4" t="inlineStr">
        <is>
          <t>[{"ingredient_id": "broccoli", "name": "Broccoli", "grams": 500.0, "note": ""}, {"ingredient_id": "cheddar", "name": "Cheddar cheese", "grams": 120.0, "note": ""}, {"ingredient_id": "onion", "name": "Yellow onion", "grams": 100.0, "note": ""}, {"ingredient_id": "chicken_broth", "name": "Chicken broth, low sodium", "grams": 600.0, "note": ""}, {"ingredient_id": "milk", "name": "Milk, 2%", "grams": 200.0, "note": ""}, {"ingredient_id": "garlic", "name": "Garlic", "grams": 6.0, "note": ""}, {"ingredient_id": "olive_oil", "name": "Extra-virgin olive oil", "grams": 10.0, "note": ""}, {"ingredient_id": "dijon", "name": "Dijon mustard", "grams": 5.0, "note": ""}]</t>
        </is>
      </c>
      <c r="N1061" s="2" t="n">
        <v>234</v>
      </c>
      <c r="O1061" s="5" t="n">
        <v>14</v>
      </c>
      <c r="P1061" s="5" t="n">
        <v>14.3</v>
      </c>
      <c r="Q1061" s="5" t="n">
        <v>14.7</v>
      </c>
      <c r="R1061" s="5" t="n">
        <v>3.7</v>
      </c>
      <c r="S1061" s="5" t="n">
        <v>10.9</v>
      </c>
      <c r="T1061" s="2" t="n">
        <v>17</v>
      </c>
      <c r="U1061" s="2" t="inlineStr">
        <is>
          <t>low</t>
        </is>
      </c>
      <c r="V1061" s="5" t="n">
        <v>1.9</v>
      </c>
      <c r="W1061" s="2" t="inlineStr">
        <is>
          <t>low</t>
        </is>
      </c>
      <c r="X1061" s="3" t="inlineStr"/>
      <c r="Y1061" s="3" t="inlineStr">
        <is>
          <t>22% of this dish's available carbohydrate comes from ingredients with a published, measured GI; the rest uses conventional placeholders (see Ingredients sheet)</t>
        </is>
      </c>
      <c r="Z1061" s="2" t="n">
        <v>22</v>
      </c>
      <c r="AA1061" s="3" t="inlineStr">
        <is>
          <t>vegetarian, gluten-free, nut-free, low-carb</t>
        </is>
      </c>
      <c r="AB1061" s="3" t="inlineStr">
        <is>
          <t>1. Sauté the onion and garlic in oil.
2. Add the broccoli and broth and simmer 15 minutes.
3. Blend partly smooth, stir in the milk and mustard.
4. Melt in the cheddar off the heat.</t>
        </is>
      </c>
      <c r="AC1061" s="4" t="inlineStr">
        <is>
          <t>["Sauté the onion and garlic in oil.", "Add the broccoli and broth and simmer 15 minutes.", "Blend partly smooth, stir in the milk and mustard.", "Melt in the cheddar off the heat."]</t>
        </is>
      </c>
    </row>
    <row r="1062" ht="96" customHeight="1">
      <c r="A1062" s="2" t="inlineStr">
        <is>
          <t>DB-1061</t>
        </is>
      </c>
      <c r="B1062" s="3" t="inlineStr">
        <is>
          <t>Minestrone with White Beans</t>
        </is>
      </c>
      <c r="C1062" s="4" t="inlineStr">
        <is>
          <t>Soup &amp; Stew</t>
        </is>
      </c>
      <c r="D1062" s="4" t="inlineStr">
        <is>
          <t>Italian</t>
        </is>
      </c>
      <c r="E1062" s="2" t="n">
        <v>6</v>
      </c>
      <c r="F1062" s="2" t="n">
        <v>15</v>
      </c>
      <c r="G1062" s="2" t="n">
        <v>35</v>
      </c>
      <c r="H1062" s="2" t="n">
        <v>50</v>
      </c>
      <c r="I1062" s="4" t="inlineStr">
        <is>
          <t>minestrone-with-white-beans.jpg</t>
        </is>
      </c>
      <c r="J1062" s="3" t="inlineStr">
        <is>
          <t>Minestrone with White Beans, healthy food photography, plated, natural light</t>
        </is>
      </c>
      <c r="K1062" s="4" t="inlineStr"/>
      <c r="L1062" s="3" t="inlineStr">
        <is>
          <t>Cannellini beans, cooked — 300 g (10.6 oz)
Diced tomatoes, canned — 400 g (14.1 oz)
Zucchini — 150 g (5.3 oz)
Carrot — 120 g (4.2 oz)
Celery — 80 g (2.8 oz)
Yellow onion — 100 g (3.5 oz)
Kale — 80 g (2.8 oz)
Vegetable broth, low sodium — 800 g (28.2 oz)
Italian seasoning — 3 g (0.1 oz)
Garlic — 8 g (0.3 oz)
Extra-virgin olive oil — 15 g (0.5 oz)
Parmesan, grated — 30 g (1.1 oz)</t>
        </is>
      </c>
      <c r="M1062" s="4" t="inlineStr">
        <is>
          <t>[{"ingredient_id": "white_beans", "name": "Cannellini beans, cooked", "grams": 300.0, "note": ""}, {"ingredient_id": "diced_tomatoes", "name": "Diced tomatoes, canned", "grams": 400.0, "note": ""}, {"ingredient_id": "zucchini", "name": "Zucchini", "grams": 150.0, "note": ""}, {"ingredient_id": "carrot", "name": "Carrot", "grams": 120.0, "note": ""}, {"ingredient_id": "celery", "name": "Celery", "grams": 80.0, "note": ""}, {"ingredient_id": "onion", "name": "Yellow onion", "grams": 100.0, "note": ""}, {"ingredient_id": "kale", "name": "Kale", "grams": 80.0, "note": ""}, {"ingredient_id": "vegetable_broth", "name": "Vegetable broth, low sodium", "grams": 800.0, "note": ""}, {"ingredient_id": "italian_seasoning", "name": "Italian seasoning", "grams": 3.0, "note": ""}, {"ingredient_id": "garlic", "name": "Garlic", "grams": 8.0, "note": ""}, {"ingredient_id": "olive_oil", "name": "Extra-virgin olive oil", "grams": 15.0, "note": ""}, {"ingredient_id": "parmesan", "name": "Parmesan, grated", "grams": 30.0, "note": ""}]</t>
        </is>
      </c>
      <c r="N1062" s="2" t="n">
        <v>171</v>
      </c>
      <c r="O1062" s="5" t="n">
        <v>9.699999999999999</v>
      </c>
      <c r="P1062" s="5" t="n">
        <v>4.9</v>
      </c>
      <c r="Q1062" s="5" t="n">
        <v>24.6</v>
      </c>
      <c r="R1062" s="5" t="n">
        <v>6.2</v>
      </c>
      <c r="S1062" s="5" t="n">
        <v>18.5</v>
      </c>
      <c r="T1062" s="2" t="n">
        <v>26</v>
      </c>
      <c r="U1062" s="2" t="inlineStr">
        <is>
          <t>low</t>
        </is>
      </c>
      <c r="V1062" s="5" t="n">
        <v>4.8</v>
      </c>
      <c r="W1062" s="2" t="inlineStr">
        <is>
          <t>low</t>
        </is>
      </c>
      <c r="X1062" s="3" t="inlineStr"/>
      <c r="Y1062" s="3" t="inlineStr">
        <is>
          <t>58% of this dish's available carbohydrate comes from ingredients with a published, measured GI; the rest uses conventional placeholders (see Ingredients sheet)</t>
        </is>
      </c>
      <c r="Z1062" s="2" t="n">
        <v>58</v>
      </c>
      <c r="AA1062" s="3" t="inlineStr">
        <is>
          <t>vegetarian, gluten-free, nut-free</t>
        </is>
      </c>
      <c r="AB1062" s="3" t="inlineStr">
        <is>
          <t>1. Sauté the onion, carrot, celery and garlic in oil.
2. Add tomatoes, broth, beans and seasoning and simmer 20 minutes.
3. Add zucchini and kale for the last 8 minutes.
4. Serve with grated parmesan.</t>
        </is>
      </c>
      <c r="AC1062" s="4" t="inlineStr">
        <is>
          <t>["Sauté the onion, carrot, celery and garlic in oil.", "Add tomatoes, broth, beans and seasoning and simmer 20 minutes.", "Add zucchini and kale for the last 8 minutes.", "Serve with grated parmesan."]</t>
        </is>
      </c>
    </row>
    <row r="1063" ht="96" customHeight="1">
      <c r="A1063" s="2" t="inlineStr">
        <is>
          <t>DB-1062</t>
        </is>
      </c>
      <c r="B1063" s="3" t="inlineStr">
        <is>
          <t>Creamy Tomato Soup with Basil</t>
        </is>
      </c>
      <c r="C1063" s="4" t="inlineStr">
        <is>
          <t>Soup &amp; Stew</t>
        </is>
      </c>
      <c r="D1063" s="4" t="inlineStr">
        <is>
          <t>American</t>
        </is>
      </c>
      <c r="E1063" s="2" t="n">
        <v>4</v>
      </c>
      <c r="F1063" s="2" t="n">
        <v>10</v>
      </c>
      <c r="G1063" s="2" t="n">
        <v>25</v>
      </c>
      <c r="H1063" s="2" t="n">
        <v>35</v>
      </c>
      <c r="I1063" s="4" t="inlineStr">
        <is>
          <t>creamy-tomato-soup-with-basil.jpg</t>
        </is>
      </c>
      <c r="J1063" s="3" t="inlineStr">
        <is>
          <t>Creamy Tomato Soup with Basil, healthy food photography, plated, natural light</t>
        </is>
      </c>
      <c r="K1063" s="4" t="inlineStr"/>
      <c r="L1063" s="3" t="inlineStr">
        <is>
          <t>Crushed tomatoes, canned — 700 g (24.7 oz)
Yellow onion — 100 g (3.5 oz)
Garlic — 8 g (0.3 oz)
Vegetable broth, low sodium — 300 g (10.6 oz)
Heavy cream — 60 g (2.1 oz)
Fresh basil — 8 g (0.3 oz)
Extra-virgin olive oil — 15 g (0.5 oz)
Salt — 2 g (0.1 oz)</t>
        </is>
      </c>
      <c r="M1063" s="4" t="inlineStr">
        <is>
          <t>[{"ingredient_id": "crushed_tomatoes", "name": "Crushed tomatoes, canned", "grams": 700.0, "note": ""}, {"ingredient_id": "onion", "name": "Yellow onion", "grams": 100.0, "note": ""}, {"ingredient_id": "garlic", "name": "Garlic", "grams": 8.0, "note": ""}, {"ingredient_id": "vegetable_broth", "name": "Vegetable broth, low sodium", "grams": 300.0, "note": ""}, {"ingredient_id": "heavy_cream", "name": "Heavy cream", "grams": 60.0, "note": ""}, {"ingredient_id": "basil", "name": "Fresh basil", "grams": 8.0, "note": ""}, {"ingredient_id": "olive_oil", "name": "Extra-virgin olive oil", "grams": 15.0, "note": ""}, {"ingredient_id": "salt", "name": "Salt", "grams": 2.0, "note": ""}]</t>
        </is>
      </c>
      <c r="N1063" s="2" t="n">
        <v>160</v>
      </c>
      <c r="O1063" s="5" t="n">
        <v>3.9</v>
      </c>
      <c r="P1063" s="5" t="n">
        <v>9.9</v>
      </c>
      <c r="Q1063" s="5" t="n">
        <v>16.9</v>
      </c>
      <c r="R1063" s="5" t="n">
        <v>3.8</v>
      </c>
      <c r="S1063" s="5" t="n">
        <v>13</v>
      </c>
      <c r="T1063" s="2" t="n">
        <v>28</v>
      </c>
      <c r="U1063" s="2" t="inlineStr">
        <is>
          <t>low</t>
        </is>
      </c>
      <c r="V1063" s="5" t="n">
        <v>3.7</v>
      </c>
      <c r="W1063" s="2" t="inlineStr">
        <is>
          <t>low</t>
        </is>
      </c>
      <c r="X1063" s="3" t="inlineStr"/>
      <c r="Y1063" s="3" t="inlineStr">
        <is>
          <t>0% of this dish's available carbohydrate comes from ingredients with a published, measured GI; the rest uses conventional placeholders (see Ingredients sheet)</t>
        </is>
      </c>
      <c r="Z1063" s="2" t="n">
        <v>0</v>
      </c>
      <c r="AA1063" s="3" t="inlineStr">
        <is>
          <t>vegetarian, gluten-free, nut-free, low-carb</t>
        </is>
      </c>
      <c r="AB1063" s="3" t="inlineStr">
        <is>
          <t>1. Sauté the onion and garlic in oil.
2. Add the tomatoes and broth and simmer 15 minutes.
3. Blend smooth, stir in cream and basil.</t>
        </is>
      </c>
      <c r="AC1063" s="4" t="inlineStr">
        <is>
          <t>["Sauté the onion and garlic in oil.", "Add the tomatoes and broth and simmer 15 minutes.", "Blend smooth, stir in cream and basil."]</t>
        </is>
      </c>
    </row>
    <row r="1064" ht="96" customHeight="1">
      <c r="A1064" s="2" t="inlineStr">
        <is>
          <t>DB-1063</t>
        </is>
      </c>
      <c r="B1064" s="3" t="inlineStr">
        <is>
          <t>Turkey and Vegetable Soup</t>
        </is>
      </c>
      <c r="C1064" s="4" t="inlineStr">
        <is>
          <t>Soup &amp; Stew</t>
        </is>
      </c>
      <c r="D1064" s="4" t="inlineStr">
        <is>
          <t>American</t>
        </is>
      </c>
      <c r="E1064" s="2" t="n">
        <v>6</v>
      </c>
      <c r="F1064" s="2" t="n">
        <v>15</v>
      </c>
      <c r="G1064" s="2" t="n">
        <v>30</v>
      </c>
      <c r="H1064" s="2" t="n">
        <v>45</v>
      </c>
      <c r="I1064" s="4" t="inlineStr">
        <is>
          <t>turkey-and-vegetable-soup.jpg</t>
        </is>
      </c>
      <c r="J1064" s="3" t="inlineStr">
        <is>
          <t>Turkey and Vegetable Soup, healthy food photography, plated, natural light</t>
        </is>
      </c>
      <c r="K1064" s="4" t="inlineStr"/>
      <c r="L1064" s="3" t="inlineStr">
        <is>
          <t>Ground turkey 93% lean — 450 g (15.9 oz)
Chicken broth, low sodium — 1000 g (35.3 oz)
Carrot — 150 g (5.3 oz)
Celery — 100 g (3.5 oz)
Green beans — 150 g (5.3 oz)
Diced tomatoes, canned — 200 g (7.1 oz)
Yellow onion — 100 g (3.5 oz)
Italian seasoning — 3 g (0.1 oz)
Extra-virgin olive oil — 10 g (0.4 oz)</t>
        </is>
      </c>
      <c r="M1064" s="4" t="inlineStr">
        <is>
          <t>[{"ingredient_id": "ground_turkey", "name": "Ground turkey 93% lean", "grams": 450.0, "note": ""}, {"ingredient_id": "chicken_broth", "name": "Chicken broth, low sodium", "grams": 1000.0, "note": ""}, {"ingredient_id": "carrot", "name": "Carrot", "grams": 150.0, "note": ""}, {"ingredient_id": "celery", "name": "Celery", "grams": 100.0, "note": ""}, {"ingredient_id": "green_beans", "name": "Green beans", "grams": 150.0, "note": ""}, {"ingredient_id": "diced_tomatoes", "name": "Diced tomatoes, canned", "grams": 200.0, "note": ""}, {"ingredient_id": "onion", "name": "Yellow onion", "grams": 100.0, "note": ""}, {"ingredient_id": "italian_seasoning", "name": "Italian seasoning", "grams": 3.0, "note": ""}, {"ingredient_id": "olive_oil", "name": "Extra-virgin olive oil", "grams": 10.0, "note": ""}]</t>
        </is>
      </c>
      <c r="N1064" s="2" t="n">
        <v>176</v>
      </c>
      <c r="O1064" s="5" t="n">
        <v>17.1</v>
      </c>
      <c r="P1064" s="5" t="n">
        <v>8.199999999999999</v>
      </c>
      <c r="Q1064" s="5" t="n">
        <v>9</v>
      </c>
      <c r="R1064" s="5" t="n">
        <v>2.6</v>
      </c>
      <c r="S1064" s="5" t="n">
        <v>6.4</v>
      </c>
      <c r="T1064" s="2" t="n">
        <v>23</v>
      </c>
      <c r="U1064" s="2" t="inlineStr">
        <is>
          <t>low</t>
        </is>
      </c>
      <c r="V1064" s="5" t="n">
        <v>1.5</v>
      </c>
      <c r="W1064" s="2" t="inlineStr">
        <is>
          <t>low</t>
        </is>
      </c>
      <c r="X1064" s="3" t="inlineStr"/>
      <c r="Y1064" s="3" t="inlineStr">
        <is>
          <t>27% of this dish's available carbohydrate comes from ingredients with a published, measured GI; the rest uses conventional placeholders (see Ingredients sheet)</t>
        </is>
      </c>
      <c r="Z1064" s="2" t="n">
        <v>27</v>
      </c>
      <c r="AA1064" s="3" t="inlineStr">
        <is>
          <t>gluten-free, dairy-free, nut-free, low-carb</t>
        </is>
      </c>
      <c r="AB1064" s="3" t="inlineStr">
        <is>
          <t>1. Brown the turkey with the onion in oil.
2. Add the broth, vegetables, tomatoes and seasoning.
3. Simmer 25 minutes.</t>
        </is>
      </c>
      <c r="AC1064" s="4" t="inlineStr">
        <is>
          <t>["Brown the turkey with the onion in oil.", "Add the broth, vegetables, tomatoes and seasoning.", "Simmer 25 minutes."]</t>
        </is>
      </c>
    </row>
    <row r="1065" ht="96" customHeight="1">
      <c r="A1065" s="2" t="inlineStr">
        <is>
          <t>DB-1064</t>
        </is>
      </c>
      <c r="B1065" s="3" t="inlineStr">
        <is>
          <t>Smoky Black Bean Soup with Lime Yogurt</t>
        </is>
      </c>
      <c r="C1065" s="4" t="inlineStr">
        <is>
          <t>Soup &amp; Stew</t>
        </is>
      </c>
      <c r="D1065" s="4" t="inlineStr">
        <is>
          <t>Tex-Mex</t>
        </is>
      </c>
      <c r="E1065" s="2" t="n">
        <v>5</v>
      </c>
      <c r="F1065" s="2" t="n">
        <v>10</v>
      </c>
      <c r="G1065" s="2" t="n">
        <v>30</v>
      </c>
      <c r="H1065" s="2" t="n">
        <v>40</v>
      </c>
      <c r="I1065" s="4" t="inlineStr">
        <is>
          <t>smoky-black-bean-soup-with-lime-yogurt.jpg</t>
        </is>
      </c>
      <c r="J1065" s="3" t="inlineStr">
        <is>
          <t>Smoky Black Bean Soup with Lime Yogurt, healthy food photography, plated, natural light</t>
        </is>
      </c>
      <c r="K1065" s="4" t="inlineStr"/>
      <c r="L1065" s="3" t="inlineStr">
        <is>
          <t>Black beans, cooked — 480 g (16.9 oz)
Yellow onion — 120 g (4.2 oz)
Bell pepper — 100 g (3.5 oz)
Garlic — 8 g (0.3 oz)
Ground cumin — 3 g (0.1 oz)
Vegetable broth, low sodium — 600 g (21.2 oz)
Lime juice — 20 g (0.7 oz)
Greek yogurt, plain 2% — 100 g (3.5 oz)
Fresh cilantro — 6 g (0.2 oz)
Extra-virgin olive oil — 10 g (0.4 oz)</t>
        </is>
      </c>
      <c r="M1065" s="4" t="inlineStr">
        <is>
          <t>[{"ingredient_id": "black_beans", "name": "Black beans, cooked", "grams": 480.0, "note": ""}, {"ingredient_id": "onion", "name": "Yellow onion", "grams": 120.0, "note": ""}, {"ingredient_id": "bell_pepper", "name": "Bell pepper", "grams": 100.0, "note": ""}, {"ingredient_id": "garlic", "name": "Garlic", "grams": 8.0, "note": ""}, {"ingredient_id": "cumin", "name": "Ground cumin", "grams": 3.0, "note": ""}, {"ingredient_id": "vegetable_broth", "name": "Vegetable broth, low sodium", "grams": 600.0, "note": ""}, {"ingredient_id": "lime_juice", "name": "Lime juice", "grams": 20.0, "note": ""}, {"ingredient_id": "greek_yogurt", "name": "Greek yogurt, plain 2%", "grams": 100.0, "note": ""}, {"ingredient_id": "cilantro", "name": "Fresh cilantro", "grams": 6.0, "note": ""}, {"ingredient_id": "olive_oil", "name": "Extra-virgin olive oil", "grams": 10.0, "note": ""}]</t>
        </is>
      </c>
      <c r="N1065" s="2" t="n">
        <v>190</v>
      </c>
      <c r="O1065" s="5" t="n">
        <v>11.9</v>
      </c>
      <c r="P1065" s="5" t="n">
        <v>3.4</v>
      </c>
      <c r="Q1065" s="5" t="n">
        <v>30</v>
      </c>
      <c r="R1065" s="5" t="n">
        <v>9.300000000000001</v>
      </c>
      <c r="S1065" s="5" t="n">
        <v>20.6</v>
      </c>
      <c r="T1065" s="2" t="n">
        <v>24</v>
      </c>
      <c r="U1065" s="2" t="inlineStr">
        <is>
          <t>low</t>
        </is>
      </c>
      <c r="V1065" s="5" t="n">
        <v>5</v>
      </c>
      <c r="W1065" s="2" t="inlineStr">
        <is>
          <t>low</t>
        </is>
      </c>
      <c r="X1065" s="3" t="inlineStr"/>
      <c r="Y1065" s="3" t="inlineStr">
        <is>
          <t>74% of this dish's available carbohydrate comes from ingredients with a published, measured GI; the rest uses conventional placeholders (see Ingredients sheet)</t>
        </is>
      </c>
      <c r="Z1065" s="2" t="n">
        <v>74</v>
      </c>
      <c r="AA1065" s="3" t="inlineStr">
        <is>
          <t>vegetarian, gluten-free, nut-free, high-fiber</t>
        </is>
      </c>
      <c r="AB1065" s="3" t="inlineStr">
        <is>
          <t>1. Sauté the onion, pepper and garlic in oil with cumin.
2. Add the beans and broth and simmer 20 minutes.
3. Blend half for body.
4. Serve with a spoon of yogurt, lime and cilantro.</t>
        </is>
      </c>
      <c r="AC1065" s="4" t="inlineStr">
        <is>
          <t>["Sauté the onion, pepper and garlic in oil with cumin.", "Add the beans and broth and simmer 20 minutes.", "Blend half for body.", "Serve with a spoon of yogurt, lime and cilantro."]</t>
        </is>
      </c>
    </row>
    <row r="1066" ht="96" customHeight="1">
      <c r="A1066" s="2" t="inlineStr">
        <is>
          <t>DB-1065</t>
        </is>
      </c>
      <c r="B1066" s="3" t="inlineStr">
        <is>
          <t>Beef and Barley Stew</t>
        </is>
      </c>
      <c r="C1066" s="4" t="inlineStr">
        <is>
          <t>Soup &amp; Stew</t>
        </is>
      </c>
      <c r="D1066" s="4" t="inlineStr">
        <is>
          <t>American</t>
        </is>
      </c>
      <c r="E1066" s="2" t="n">
        <v>6</v>
      </c>
      <c r="F1066" s="2" t="n">
        <v>20</v>
      </c>
      <c r="G1066" s="2" t="n">
        <v>90</v>
      </c>
      <c r="H1066" s="2" t="n">
        <v>110</v>
      </c>
      <c r="I1066" s="4" t="inlineStr">
        <is>
          <t>beef-and-barley-stew.jpg</t>
        </is>
      </c>
      <c r="J1066" s="3" t="inlineStr">
        <is>
          <t>Beef and Barley Stew, healthy food photography, plated, natural light</t>
        </is>
      </c>
      <c r="K1066" s="4" t="inlineStr"/>
      <c r="L1066" s="3" t="inlineStr">
        <is>
          <t>Beef chuck roast, trimmed — 600 g (21.2 oz)
Pearl barley, cooked — 120 g (4.2 oz)
Carrot — 200 g (7.1 oz)
Celery — 100 g (3.5 oz)
Yellow onion — 120 g (4.2 oz)
Beef broth, low sodium — 1000 g (35.3 oz)
Tomato paste — 30 g (1.1 oz)
Fresh thyme — 2 g (0.1 oz)
Extra-virgin olive oil — 15 g (0.5 oz)</t>
        </is>
      </c>
      <c r="M1066" s="4" t="inlineStr">
        <is>
          <t>[{"ingredient_id": "beef_chuck", "name": "Beef chuck roast, trimmed", "grams": 600.0, "note": ""}, {"ingredient_id": "barley", "name": "Pearl barley, cooked", "grams": 120.0, "note": ""}, {"ingredient_id": "carrot", "name": "Carrot", "grams": 200.0, "note": ""}, {"ingredient_id": "celery", "name": "Celery", "grams": 100.0, "note": ""}, {"ingredient_id": "onion", "name": "Yellow onion", "grams": 120.0, "note": ""}, {"ingredient_id": "beef_broth", "name": "Beef broth, low sodium", "grams": 1000.0, "note": ""}, {"ingredient_id": "tomato_paste", "name": "Tomato paste", "grams": 30.0, "note": ""}, {"ingredient_id": "thyme", "name": "Fresh thyme", "grams": 2.0, "note": ""}, {"ingredient_id": "olive_oil", "name": "Extra-virgin olive oil", "grams": 15.0, "note": ""}]</t>
        </is>
      </c>
      <c r="N1066" s="2" t="n">
        <v>267</v>
      </c>
      <c r="O1066" s="5" t="n">
        <v>23.5</v>
      </c>
      <c r="P1066" s="5" t="n">
        <v>14.1</v>
      </c>
      <c r="Q1066" s="5" t="n">
        <v>12.9</v>
      </c>
      <c r="R1066" s="5" t="n">
        <v>2.5</v>
      </c>
      <c r="S1066" s="5" t="n">
        <v>10.3</v>
      </c>
      <c r="T1066" s="2" t="n">
        <v>34</v>
      </c>
      <c r="U1066" s="2" t="inlineStr">
        <is>
          <t>low</t>
        </is>
      </c>
      <c r="V1066" s="5" t="n">
        <v>3.5</v>
      </c>
      <c r="W1066" s="2" t="inlineStr">
        <is>
          <t>low</t>
        </is>
      </c>
      <c r="X1066" s="3" t="inlineStr"/>
      <c r="Y1066" s="3" t="inlineStr">
        <is>
          <t>69% of this dish's available carbohydrate comes from ingredients with a published, measured GI; the rest uses conventional placeholders (see Ingredients sheet)</t>
        </is>
      </c>
      <c r="Z1066" s="2" t="n">
        <v>69</v>
      </c>
      <c r="AA1066" s="3" t="inlineStr">
        <is>
          <t>dairy-free, nut-free, low-carb</t>
        </is>
      </c>
      <c r="AB1066" s="3" t="inlineStr">
        <is>
          <t>1. Brown the cubed beef in oil.
2. Add the onion, tomato paste, broth and thyme and simmer 1 hour.
3. Add the barley, carrot and celery and cook 30 minutes more.</t>
        </is>
      </c>
      <c r="AC1066" s="4" t="inlineStr">
        <is>
          <t>["Brown the cubed beef in oil.", "Add the onion, tomato paste, broth and thyme and simmer 1 hour.", "Add the barley, carrot and celery and cook 30 minutes more."]</t>
        </is>
      </c>
    </row>
    <row r="1067" ht="96" customHeight="1">
      <c r="A1067" s="2" t="inlineStr">
        <is>
          <t>DB-1066</t>
        </is>
      </c>
      <c r="B1067" s="3" t="inlineStr">
        <is>
          <t>Old-Fashioned Split Pea and Ham Soup</t>
        </is>
      </c>
      <c r="C1067" s="4" t="inlineStr">
        <is>
          <t>Soup &amp; Stew</t>
        </is>
      </c>
      <c r="D1067" s="4" t="inlineStr">
        <is>
          <t>American</t>
        </is>
      </c>
      <c r="E1067" s="2" t="n">
        <v>6</v>
      </c>
      <c r="F1067" s="2" t="n">
        <v>10</v>
      </c>
      <c r="G1067" s="2" t="n">
        <v>75</v>
      </c>
      <c r="H1067" s="2" t="n">
        <v>85</v>
      </c>
      <c r="I1067" s="4" t="inlineStr">
        <is>
          <t>old-fashioned-split-pea-and-ham-soup.jpg</t>
        </is>
      </c>
      <c r="J1067" s="3" t="inlineStr">
        <is>
          <t>Old-Fashioned Split Pea and Ham Soup, healthy food photography, plated, natural light</t>
        </is>
      </c>
      <c r="K1067" s="4" t="inlineStr"/>
      <c r="L1067" s="3" t="inlineStr">
        <is>
          <t>Split peas, cooked — 300 g (10.6 oz)
Ham, lean — 150 g (5.3 oz)
Carrot — 150 g (5.3 oz)
Celery — 100 g (3.5 oz)
Yellow onion — 120 g (4.2 oz)
Chicken broth, low sodium — 1200 g (42.3 oz)
Bay leaves — 1 g (0.0 oz)
Black pepper — 1 g (0.0 oz)</t>
        </is>
      </c>
      <c r="M1067" s="4" t="inlineStr">
        <is>
          <t>[{"ingredient_id": "split_peas", "name": "Split peas, cooked", "grams": 300.0, "note": ""}, {"ingredient_id": "ham", "name": "Ham, lean", "grams": 150.0, "note": ""}, {"ingredient_id": "carrot", "name": "Carrot", "grams": 150.0, "note": ""}, {"ingredient_id": "celery", "name": "Celery", "grams": 100.0, "note": ""}, {"ingredient_id": "onion", "name": "Yellow onion", "grams": 120.0, "note": ""}, {"ingredient_id": "chicken_broth", "name": "Chicken broth, low sodium", "grams": 1200.0, "note": ""}, {"ingredient_id": "bay_leaf", "name": "Bay leaves", "grams": 1.0, "note": ""}, {"ingredient_id": "black_pepper", "name": "Black pepper", "grams": 1.0, "note": ""}]</t>
        </is>
      </c>
      <c r="N1067" s="2" t="n">
        <v>131</v>
      </c>
      <c r="O1067" s="5" t="n">
        <v>12</v>
      </c>
      <c r="P1067" s="5" t="n">
        <v>2.2</v>
      </c>
      <c r="Q1067" s="5" t="n">
        <v>16.9</v>
      </c>
      <c r="R1067" s="5" t="n">
        <v>5.5</v>
      </c>
      <c r="S1067" s="5" t="n">
        <v>11.3</v>
      </c>
      <c r="T1067" s="2" t="n">
        <v>26</v>
      </c>
      <c r="U1067" s="2" t="inlineStr">
        <is>
          <t>low</t>
        </is>
      </c>
      <c r="V1067" s="5" t="n">
        <v>2.9</v>
      </c>
      <c r="W1067" s="2" t="inlineStr">
        <is>
          <t>low</t>
        </is>
      </c>
      <c r="X1067" s="3" t="inlineStr"/>
      <c r="Y1067" s="3" t="inlineStr">
        <is>
          <t>71% of this dish's available carbohydrate comes from ingredients with a published, measured GI; the rest uses conventional placeholders (see Ingredients sheet)</t>
        </is>
      </c>
      <c r="Z1067" s="2" t="n">
        <v>71</v>
      </c>
      <c r="AA1067" s="3" t="inlineStr">
        <is>
          <t>gluten-free, dairy-free, nut-free, low-carb</t>
        </is>
      </c>
      <c r="AB1067" s="3" t="inlineStr">
        <is>
          <t>1. Combine everything in a pot.
2. Simmer 70 minutes, stirring, until the peas collapse.
3. Remove the bay leaf and season with pepper.</t>
        </is>
      </c>
      <c r="AC1067" s="4" t="inlineStr">
        <is>
          <t>["Combine everything in a pot.", "Simmer 70 minutes, stirring, until the peas collapse.", "Remove the bay leaf and season with pepper."]</t>
        </is>
      </c>
    </row>
    <row r="1068" ht="96" customHeight="1">
      <c r="A1068" s="2" t="inlineStr">
        <is>
          <t>DB-1067</t>
        </is>
      </c>
      <c r="B1068" s="3" t="inlineStr">
        <is>
          <t>Loaded Cauliflower Mash</t>
        </is>
      </c>
      <c r="C1068" s="4" t="inlineStr">
        <is>
          <t>Side Dish</t>
        </is>
      </c>
      <c r="D1068" s="4" t="inlineStr">
        <is>
          <t>American</t>
        </is>
      </c>
      <c r="E1068" s="2" t="n">
        <v>4</v>
      </c>
      <c r="F1068" s="2" t="n">
        <v>10</v>
      </c>
      <c r="G1068" s="2" t="n">
        <v>15</v>
      </c>
      <c r="H1068" s="2" t="n">
        <v>25</v>
      </c>
      <c r="I1068" s="4" t="inlineStr">
        <is>
          <t>loaded-cauliflower-mash.jpg</t>
        </is>
      </c>
      <c r="J1068" s="3" t="inlineStr">
        <is>
          <t>Loaded Cauliflower Mash, healthy food photography, plated, natural light</t>
        </is>
      </c>
      <c r="K1068" s="4" t="inlineStr"/>
      <c r="L1068" s="3" t="inlineStr">
        <is>
          <t>Cauliflower — 600 g (21.2 oz)
Butter — 20 g (0.7 oz)
Greek yogurt, plain 2% — 60 g (2.1 oz)
Garlic — 6 g (0.2 oz)
Cheddar cheese — 40 g (1.4 oz)
Fresh chives — 5 g (0.2 oz)
Salt — 2 g (0.1 oz)</t>
        </is>
      </c>
      <c r="M1068" s="4" t="inlineStr">
        <is>
          <t>[{"ingredient_id": "cauliflower", "name": "Cauliflower", "grams": 600.0, "note": ""}, {"ingredient_id": "butter", "name": "Butter", "grams": 20.0, "note": ""}, {"ingredient_id": "greek_yogurt", "name": "Greek yogurt, plain 2%", "grams": 60.0, "note": ""}, {"ingredient_id": "garlic", "name": "Garlic", "grams": 6.0, "note": ""}, {"ingredient_id": "cheddar", "name": "Cheddar cheese", "grams": 40.0, "note": ""}, {"ingredient_id": "chives", "name": "Fresh chives", "grams": 5.0, "note": ""}, {"ingredient_id": "salt", "name": "Salt", "grams": 2.0, "note": ""}]</t>
        </is>
      </c>
      <c r="N1068" s="2" t="n">
        <v>127</v>
      </c>
      <c r="O1068" s="5" t="n">
        <v>6.8</v>
      </c>
      <c r="P1068" s="5" t="n">
        <v>8.1</v>
      </c>
      <c r="Q1068" s="5" t="n">
        <v>8.800000000000001</v>
      </c>
      <c r="R1068" s="5" t="n">
        <v>3.1</v>
      </c>
      <c r="S1068" s="5" t="n">
        <v>5.7</v>
      </c>
      <c r="T1068" s="2" t="n">
        <v>15</v>
      </c>
      <c r="U1068" s="2" t="inlineStr">
        <is>
          <t>low</t>
        </is>
      </c>
      <c r="V1068" s="5" t="n">
        <v>0.9</v>
      </c>
      <c r="W1068" s="2" t="inlineStr">
        <is>
          <t>low</t>
        </is>
      </c>
      <c r="X1068" s="3" t="inlineStr"/>
      <c r="Y1068" s="3" t="inlineStr">
        <is>
          <t>10% of this dish's available carbohydrate comes from ingredients with a published, measured GI; the rest uses conventional placeholders (see Ingredients sheet)</t>
        </is>
      </c>
      <c r="Z1068" s="2" t="n">
        <v>10</v>
      </c>
      <c r="AA1068" s="3" t="inlineStr">
        <is>
          <t>vegetarian, gluten-free, nut-free, low-carb</t>
        </is>
      </c>
      <c r="AB1068" s="3" t="inlineStr">
        <is>
          <t>1. Steam the cauliflower with the garlic until very tender.
2. Blend with butter, yogurt and salt.
3. Top with cheddar and chives.</t>
        </is>
      </c>
      <c r="AC1068" s="4" t="inlineStr">
        <is>
          <t>["Steam the cauliflower with the garlic until very tender.", "Blend with butter, yogurt and salt.", "Top with cheddar and chives."]</t>
        </is>
      </c>
    </row>
    <row r="1069" ht="96" customHeight="1">
      <c r="A1069" s="2" t="inlineStr">
        <is>
          <t>DB-1068</t>
        </is>
      </c>
      <c r="B1069" s="3" t="inlineStr">
        <is>
          <t>Roasted Brussels Sprouts with Bacon</t>
        </is>
      </c>
      <c r="C1069" s="4" t="inlineStr">
        <is>
          <t>Side Dish</t>
        </is>
      </c>
      <c r="D1069" s="4" t="inlineStr">
        <is>
          <t>American</t>
        </is>
      </c>
      <c r="E1069" s="2" t="n">
        <v>4</v>
      </c>
      <c r="F1069" s="2" t="n">
        <v>10</v>
      </c>
      <c r="G1069" s="2" t="n">
        <v>25</v>
      </c>
      <c r="H1069" s="2" t="n">
        <v>35</v>
      </c>
      <c r="I1069" s="4" t="inlineStr">
        <is>
          <t>roasted-brussels-sprouts-with-bacon.jpg</t>
        </is>
      </c>
      <c r="J1069" s="3" t="inlineStr">
        <is>
          <t>Roasted Brussels Sprouts with Bacon, healthy food photography, plated, natural light</t>
        </is>
      </c>
      <c r="K1069" s="4" t="inlineStr"/>
      <c r="L1069" s="3" t="inlineStr">
        <is>
          <t>Brussels sprouts — 500 g (17.6 oz)
Bacon — 50 g (1.8 oz)
Extra-virgin olive oil — 15 g (0.5 oz)
Balsamic vinegar — 10 g (0.4 oz)
Salt — 2 g (0.1 oz)
Black pepper — 1 g (0.0 oz)</t>
        </is>
      </c>
      <c r="M1069" s="4" t="inlineStr">
        <is>
          <t>[{"ingredient_id": "brussels_sprouts", "name": "Brussels sprouts", "grams": 500.0, "note": ""}, {"ingredient_id": "bacon", "name": "Bacon", "grams": 50.0, "note": ""}, {"ingredient_id": "olive_oil", "name": "Extra-virgin olive oil", "grams": 15.0, "note": ""}, {"ingredient_id": "balsamic_vinegar", "name": "Balsamic vinegar", "grams": 10.0, "note": ""}, {"ingredient_id": "salt", "name": "Salt", "grams": 2.0, "note": ""}, {"ingredient_id": "black_pepper", "name": "Black pepper", "grams": 1.0, "note": ""}]</t>
        </is>
      </c>
      <c r="N1069" s="2" t="n">
        <v>157</v>
      </c>
      <c r="O1069" s="5" t="n">
        <v>8.9</v>
      </c>
      <c r="P1069" s="5" t="n">
        <v>9.4</v>
      </c>
      <c r="Q1069" s="5" t="n">
        <v>12</v>
      </c>
      <c r="R1069" s="5" t="n">
        <v>4.8</v>
      </c>
      <c r="S1069" s="5" t="n">
        <v>7.2</v>
      </c>
      <c r="T1069" s="2" t="n">
        <v>16</v>
      </c>
      <c r="U1069" s="2" t="inlineStr">
        <is>
          <t>low</t>
        </is>
      </c>
      <c r="V1069" s="5" t="n">
        <v>1.2</v>
      </c>
      <c r="W1069" s="2" t="inlineStr">
        <is>
          <t>low</t>
        </is>
      </c>
      <c r="X1069" s="3" t="inlineStr"/>
      <c r="Y1069" s="3" t="inlineStr">
        <is>
          <t>0% of this dish's available carbohydrate comes from ingredients with a published, measured GI; the rest uses conventional placeholders (see Ingredients sheet)</t>
        </is>
      </c>
      <c r="Z1069" s="2" t="n">
        <v>0</v>
      </c>
      <c r="AA1069" s="3" t="inlineStr">
        <is>
          <t>gluten-free, dairy-free, nut-free, low-carb</t>
        </is>
      </c>
      <c r="AB1069" s="3" t="inlineStr">
        <is>
          <t>1. Heat the oven to 425°F.
2. Halve the sprouts and toss with oil, salt and pepper.
3. Roast with the chopped bacon for 25 minutes.
4. Finish with balsamic.</t>
        </is>
      </c>
      <c r="AC1069" s="4" t="inlineStr">
        <is>
          <t>["Heat the oven to 425°F.", "Halve the sprouts and toss with oil, salt and pepper.", "Roast with the chopped bacon for 25 minutes.", "Finish with balsamic."]</t>
        </is>
      </c>
    </row>
    <row r="1070" ht="96" customHeight="1">
      <c r="A1070" s="2" t="inlineStr">
        <is>
          <t>DB-1069</t>
        </is>
      </c>
      <c r="B1070" s="3" t="inlineStr">
        <is>
          <t>Southern-Style Green Beans</t>
        </is>
      </c>
      <c r="C1070" s="4" t="inlineStr">
        <is>
          <t>Side Dish</t>
        </is>
      </c>
      <c r="D1070" s="4" t="inlineStr">
        <is>
          <t>American</t>
        </is>
      </c>
      <c r="E1070" s="2" t="n">
        <v>4</v>
      </c>
      <c r="F1070" s="2" t="n">
        <v>10</v>
      </c>
      <c r="G1070" s="2" t="n">
        <v>30</v>
      </c>
      <c r="H1070" s="2" t="n">
        <v>40</v>
      </c>
      <c r="I1070" s="4" t="inlineStr">
        <is>
          <t>southern-style-green-beans.jpg</t>
        </is>
      </c>
      <c r="J1070" s="3" t="inlineStr">
        <is>
          <t>Southern-Style Green Beans, healthy food photography, plated, natural light</t>
        </is>
      </c>
      <c r="K1070" s="4" t="inlineStr"/>
      <c r="L1070" s="3" t="inlineStr">
        <is>
          <t>Green beans — 500 g (17.6 oz)
Turkey bacon — 50 g (1.8 oz)
Yellow onion — 80 g (2.8 oz)
Garlic — 4 g (0.1 oz)
Chicken broth, low sodium — 200 g (7.1 oz)
Apple cider vinegar — 10 g (0.4 oz)
Black pepper — 1 g (0.0 oz)</t>
        </is>
      </c>
      <c r="M1070" s="4" t="inlineStr">
        <is>
          <t>[{"ingredient_id": "green_beans", "name": "Green beans", "grams": 500.0, "note": ""}, {"ingredient_id": "turkey_bacon", "name": "Turkey bacon", "grams": 50.0, "note": ""}, {"ingredient_id": "onion", "name": "Yellow onion", "grams": 80.0, "note": ""}, {"ingredient_id": "garlic", "name": "Garlic", "grams": 4.0, "note": ""}, {"ingredient_id": "chicken_broth", "name": "Chicken broth, low sodium", "grams": 200.0, "note": ""}, {"ingredient_id": "apple_cider_vinegar", "name": "Apple cider vinegar", "grams": 10.0, "note": ""}, {"ingredient_id": "black_pepper", "name": "Black pepper", "grams": 1.0, "note": ""}]</t>
        </is>
      </c>
      <c r="N1070" s="2" t="n">
        <v>80</v>
      </c>
      <c r="O1070" s="5" t="n">
        <v>5.3</v>
      </c>
      <c r="P1070" s="5" t="n">
        <v>2.3</v>
      </c>
      <c r="Q1070" s="5" t="n">
        <v>11.6</v>
      </c>
      <c r="R1070" s="5" t="n">
        <v>3.8</v>
      </c>
      <c r="S1070" s="5" t="n">
        <v>7.8</v>
      </c>
      <c r="T1070" s="2" t="n">
        <v>15</v>
      </c>
      <c r="U1070" s="2" t="inlineStr">
        <is>
          <t>low</t>
        </is>
      </c>
      <c r="V1070" s="5" t="n">
        <v>1.2</v>
      </c>
      <c r="W1070" s="2" t="inlineStr">
        <is>
          <t>low</t>
        </is>
      </c>
      <c r="X1070" s="3" t="inlineStr"/>
      <c r="Y1070" s="3" t="inlineStr">
        <is>
          <t>0% of this dish's available carbohydrate comes from ingredients with a published, measured GI; the rest uses conventional placeholders (see Ingredients sheet)</t>
        </is>
      </c>
      <c r="Z1070" s="2" t="n">
        <v>0</v>
      </c>
      <c r="AA1070" s="3" t="inlineStr">
        <is>
          <t>gluten-free, dairy-free, nut-free, low-carb</t>
        </is>
      </c>
      <c r="AB1070" s="3" t="inlineStr">
        <is>
          <t>1. Crisp the turkey bacon and set aside.
2. Cook the onion and garlic in the pan.
3. Add the beans, broth and vinegar and simmer 20 minutes.
4. Top with the bacon.</t>
        </is>
      </c>
      <c r="AC1070" s="4" t="inlineStr">
        <is>
          <t>["Crisp the turkey bacon and set aside.", "Cook the onion and garlic in the pan.", "Add the beans, broth and vinegar and simmer 20 minutes.", "Top with the bacon."]</t>
        </is>
      </c>
    </row>
    <row r="1071" ht="96" customHeight="1">
      <c r="A1071" s="2" t="inlineStr">
        <is>
          <t>DB-1070</t>
        </is>
      </c>
      <c r="B1071" s="3" t="inlineStr">
        <is>
          <t>Collard Greens with Smoked Turkey</t>
        </is>
      </c>
      <c r="C1071" s="4" t="inlineStr">
        <is>
          <t>Side Dish</t>
        </is>
      </c>
      <c r="D1071" s="4" t="inlineStr">
        <is>
          <t>American</t>
        </is>
      </c>
      <c r="E1071" s="2" t="n">
        <v>5</v>
      </c>
      <c r="F1071" s="2" t="n">
        <v>15</v>
      </c>
      <c r="G1071" s="2" t="n">
        <v>45</v>
      </c>
      <c r="H1071" s="2" t="n">
        <v>60</v>
      </c>
      <c r="I1071" s="4" t="inlineStr">
        <is>
          <t>collard-greens-with-smoked-turkey.jpg</t>
        </is>
      </c>
      <c r="J1071" s="3" t="inlineStr">
        <is>
          <t>Collard Greens with Smoked Turkey, healthy food photography, plated, natural light</t>
        </is>
      </c>
      <c r="K1071" s="4" t="inlineStr"/>
      <c r="L1071" s="3" t="inlineStr">
        <is>
          <t>Collard greens — 600 g (21.2 oz)
Deli turkey breast, low sodium — 100 g (3.5 oz)
Yellow onion — 100 g (3.5 oz)
Garlic — 8 g (0.3 oz)
Chicken broth, low sodium — 400 g (14.1 oz)
Apple cider vinegar — 20 g (0.7 oz)
Red pepper flakes — 1 g (0.0 oz)
Extra-virgin olive oil — 10 g (0.4 oz)</t>
        </is>
      </c>
      <c r="M1071" s="4" t="inlineStr">
        <is>
          <t>[{"ingredient_id": "collard_greens", "name": "Collard greens", "grams": 600.0, "note": ""}, {"ingredient_id": "deli_turkey", "name": "Deli turkey breast, low sodium", "grams": 100.0,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t>
        </is>
      </c>
      <c r="N1071" s="2" t="n">
        <v>94</v>
      </c>
      <c r="O1071" s="5" t="n">
        <v>8.1</v>
      </c>
      <c r="P1071" s="5" t="n">
        <v>3.2</v>
      </c>
      <c r="Q1071" s="5" t="n">
        <v>10.2</v>
      </c>
      <c r="R1071" s="5" t="n">
        <v>5.2</v>
      </c>
      <c r="S1071" s="5" t="n">
        <v>5</v>
      </c>
      <c r="T1071" s="2" t="n">
        <v>13</v>
      </c>
      <c r="U1071" s="2" t="inlineStr">
        <is>
          <t>low</t>
        </is>
      </c>
      <c r="V1071" s="5" t="n">
        <v>0.6</v>
      </c>
      <c r="W1071" s="2" t="inlineStr">
        <is>
          <t>low</t>
        </is>
      </c>
      <c r="X1071" s="3" t="inlineStr">
        <is>
          <t>Negligible carbohydrate (&lt;5 g net/serving): GI has little practical meaning, glycemic load is what matters.</t>
        </is>
      </c>
      <c r="Y1071" s="3" t="inlineStr">
        <is>
          <t>0% of this dish's available carbohydrate comes from ingredients with a published, measured GI; the rest uses conventional placeholders (see Ingredients sheet)</t>
        </is>
      </c>
      <c r="Z1071" s="2" t="n">
        <v>0</v>
      </c>
      <c r="AA1071" s="3" t="inlineStr">
        <is>
          <t>gluten-free, dairy-free, nut-free, low-carb</t>
        </is>
      </c>
      <c r="AB1071" s="3" t="inlineStr">
        <is>
          <t>1. Sauté the onion and garlic in oil.
2. Add the chopped collards, turkey, broth and pepper flakes.
3. Simmer 40 minutes until tender.
4. Brighten with vinegar.</t>
        </is>
      </c>
      <c r="AC1071" s="4" t="inlineStr">
        <is>
          <t>["Sauté the onion and garlic in oil.", "Add the chopped collards, turkey, broth and pepper flakes.", "Simmer 40 minutes until tender.", "Brighten with vinegar."]</t>
        </is>
      </c>
    </row>
    <row r="1072" ht="96" customHeight="1">
      <c r="A1072" s="2" t="inlineStr">
        <is>
          <t>DB-1071</t>
        </is>
      </c>
      <c r="B1072" s="3" t="inlineStr">
        <is>
          <t>Oven-Baked Sweet Potato Fries</t>
        </is>
      </c>
      <c r="C1072" s="4" t="inlineStr">
        <is>
          <t>Side Dish</t>
        </is>
      </c>
      <c r="D1072" s="4" t="inlineStr">
        <is>
          <t>American</t>
        </is>
      </c>
      <c r="E1072" s="2" t="n">
        <v>4</v>
      </c>
      <c r="F1072" s="2" t="n">
        <v>10</v>
      </c>
      <c r="G1072" s="2" t="n">
        <v>30</v>
      </c>
      <c r="H1072" s="2" t="n">
        <v>40</v>
      </c>
      <c r="I1072" s="4" t="inlineStr">
        <is>
          <t>oven-baked-sweet-potato-fries.jpg</t>
        </is>
      </c>
      <c r="J1072" s="3" t="inlineStr">
        <is>
          <t>Oven-Baked Sweet Potato Fries, healthy food photography, plated, natural light</t>
        </is>
      </c>
      <c r="K1072" s="4" t="inlineStr"/>
      <c r="L1072" s="3" t="inlineStr">
        <is>
          <t>Sweet potato, baked/roasted — 400 g (14.1 oz)
Extra-virgin olive oil — 20 g (0.7 oz)
Smoked paprika — 3 g (0.1 oz)
Garlic powder — 2 g (0.1 oz)
Salt — 2 g (0.1 oz)</t>
        </is>
      </c>
      <c r="M1072" s="4" t="inlineStr">
        <is>
          <t>[{"ingredient_id": "sweet_potato_roasted", "name": "Sweet potato, baked/roasted", "grams": 400.0, "note": ""}, {"ingredient_id": "olive_oil", "name": "Extra-virgin olive oil", "grams": 20.0, "note": ""}, {"ingredient_id": "smoked_paprika", "name": "Smoked paprika", "grams": 3.0, "note": ""}, {"ingredient_id": "garlic_powder", "name": "Garlic powder", "grams": 2.0, "note": ""}, {"ingredient_id": "salt", "name": "Salt", "grams": 2.0, "note": ""}]</t>
        </is>
      </c>
      <c r="N1072" s="2" t="n">
        <v>134</v>
      </c>
      <c r="O1072" s="5" t="n">
        <v>1.8</v>
      </c>
      <c r="P1072" s="5" t="n">
        <v>5.2</v>
      </c>
      <c r="Q1072" s="5" t="n">
        <v>20.8</v>
      </c>
      <c r="R1072" s="5" t="n">
        <v>3.3</v>
      </c>
      <c r="S1072" s="5" t="n">
        <v>17.5</v>
      </c>
      <c r="T1072" s="2" t="n">
        <v>83</v>
      </c>
      <c r="U1072" s="2" t="inlineStr">
        <is>
          <t>high</t>
        </is>
      </c>
      <c r="V1072" s="5" t="n">
        <v>14.5</v>
      </c>
      <c r="W1072" s="2" t="inlineStr">
        <is>
          <t>medium</t>
        </is>
      </c>
      <c r="X1072" s="3" t="inlineStr">
        <is>
          <t>Medium-GI dish: keep to the stated portion and pair with the protein/fat in the recipe; GL per serving is the better guide.</t>
        </is>
      </c>
      <c r="Y1072" s="3" t="inlineStr">
        <is>
          <t>97% of this dish's available carbohydrate comes from ingredients with a published, measured GI; the rest uses conventional placeholders (see Ingredients sheet)</t>
        </is>
      </c>
      <c r="Z1072" s="2" t="n">
        <v>97</v>
      </c>
      <c r="AA1072" s="3" t="inlineStr">
        <is>
          <t>vegan, gluten-free, dairy-free, nut-free</t>
        </is>
      </c>
      <c r="AB1072" s="3" t="inlineStr">
        <is>
          <t>1. Heat the oven to 425°F.
2. Cut the sweet potato into thin sticks and toss with oil and spices.
3. Roast 25 to 30 minutes, turning once.</t>
        </is>
      </c>
      <c r="AC1072" s="4" t="inlineStr">
        <is>
          <t>["Heat the oven to 425°F.", "Cut the sweet potato into thin sticks and toss with oil and spices.", "Roast 25 to 30 minutes, turning once."]</t>
        </is>
      </c>
    </row>
    <row r="1073" ht="96" customHeight="1">
      <c r="A1073" s="2" t="inlineStr">
        <is>
          <t>DB-1072</t>
        </is>
      </c>
      <c r="B1073" s="3" t="inlineStr">
        <is>
          <t>Taqueria-Style Cilantro Lime Cauliflower Rice</t>
        </is>
      </c>
      <c r="C1073" s="4" t="inlineStr">
        <is>
          <t>Side Dish</t>
        </is>
      </c>
      <c r="D1073" s="4" t="inlineStr">
        <is>
          <t>Tex-Mex</t>
        </is>
      </c>
      <c r="E1073" s="2" t="n">
        <v>4</v>
      </c>
      <c r="F1073" s="2" t="n">
        <v>5</v>
      </c>
      <c r="G1073" s="2" t="n">
        <v>8</v>
      </c>
      <c r="H1073" s="2" t="n">
        <v>13</v>
      </c>
      <c r="I1073" s="4" t="inlineStr">
        <is>
          <t>taqueria-style-cilantro-lime-cauliflower-rice.jpg</t>
        </is>
      </c>
      <c r="J1073" s="3" t="inlineStr">
        <is>
          <t>Taqueria-Style Cilantro Lime Cauliflower Rice, healthy food photography, plated, natural light</t>
        </is>
      </c>
      <c r="K1073" s="4" t="inlineStr"/>
      <c r="L1073" s="3" t="inlineStr">
        <is>
          <t>Cauliflower rice — 500 g (17.6 oz)
Lime juice — 25 g (0.9 oz)
Fresh cilantro — 10 g (0.4 oz)
Garlic — 4 g (0.1 oz)
Extra-virgin olive oil — 10 g (0.4 oz)
Salt — 2 g (0.1 oz)</t>
        </is>
      </c>
      <c r="M1073" s="4" t="inlineStr">
        <is>
          <t>[{"ingredient_id": "cauliflower_rice", "name": "Cauliflower rice", "grams": 500.0, "note": ""}, {"ingredient_id": "lime_juice", "name": "Lime juice", "grams": 25.0, "note": ""}, {"ingredient_id": "cilantro", "name": "Fresh cilantro", "grams": 10.0, "note": ""}, {"ingredient_id": "garlic", "name": "Garlic", "grams": 4.0, "note": ""}, {"ingredient_id": "olive_oil", "name": "Extra-virgin olive oil", "grams": 10.0, "note": ""}, {"ingredient_id": "salt", "name": "Salt", "grams": 2.0, "note": ""}]</t>
        </is>
      </c>
      <c r="N1073" s="2" t="n">
        <v>57</v>
      </c>
      <c r="O1073" s="5" t="n">
        <v>2.5</v>
      </c>
      <c r="P1073" s="5" t="n">
        <v>2.9</v>
      </c>
      <c r="Q1073" s="5" t="n">
        <v>7.2</v>
      </c>
      <c r="R1073" s="5" t="n">
        <v>2.6</v>
      </c>
      <c r="S1073" s="5" t="n">
        <v>4.6</v>
      </c>
      <c r="T1073" s="2" t="n">
        <v>17</v>
      </c>
      <c r="U1073" s="2" t="inlineStr">
        <is>
          <t>low</t>
        </is>
      </c>
      <c r="V1073" s="5" t="n">
        <v>0.8</v>
      </c>
      <c r="W1073" s="2" t="inlineStr">
        <is>
          <t>low</t>
        </is>
      </c>
      <c r="X1073" s="3" t="inlineStr">
        <is>
          <t>Negligible carbohydrate (&lt;5 g net/serving): GI has little practical meaning, glycemic load is what matters.</t>
        </is>
      </c>
      <c r="Y1073" s="3" t="inlineStr">
        <is>
          <t>0% of this dish's available carbohydrate comes from ingredients with a published, measured GI; the rest uses conventional placeholders (see Ingredients sheet)</t>
        </is>
      </c>
      <c r="Z1073" s="2" t="n">
        <v>0</v>
      </c>
      <c r="AA1073" s="3" t="inlineStr">
        <is>
          <t>vegan, gluten-free, dairy-free, nut-free, low-carb</t>
        </is>
      </c>
      <c r="AB1073" s="3" t="inlineStr">
        <is>
          <t>1. Sauté the garlic in oil.
2. Add the cauliflower rice and cook 5 minutes.
3. Stir in lime juice, cilantro and salt.</t>
        </is>
      </c>
      <c r="AC1073" s="4" t="inlineStr">
        <is>
          <t>["Sauté the garlic in oil.", "Add the cauliflower rice and cook 5 minutes.", "Stir in lime juice, cilantro and salt."]</t>
        </is>
      </c>
    </row>
    <row r="1074" ht="96" customHeight="1">
      <c r="A1074" s="2" t="inlineStr">
        <is>
          <t>DB-1073</t>
        </is>
      </c>
      <c r="B1074" s="3" t="inlineStr">
        <is>
          <t>Corn and Black Bean Salsa Salad</t>
        </is>
      </c>
      <c r="C1074" s="4" t="inlineStr">
        <is>
          <t>Side Dish</t>
        </is>
      </c>
      <c r="D1074" s="4" t="inlineStr">
        <is>
          <t>Tex-Mex</t>
        </is>
      </c>
      <c r="E1074" s="2" t="n">
        <v>5</v>
      </c>
      <c r="F1074" s="2" t="n">
        <v>15</v>
      </c>
      <c r="G1074" s="2" t="n">
        <v>0</v>
      </c>
      <c r="H1074" s="2" t="n">
        <v>15</v>
      </c>
      <c r="I1074" s="4" t="inlineStr">
        <is>
          <t>corn-and-black-bean-salsa-salad.jpg</t>
        </is>
      </c>
      <c r="J1074" s="3" t="inlineStr">
        <is>
          <t>Corn and Black Bean Salsa Salad, healthy food photography, plated, natural light</t>
        </is>
      </c>
      <c r="K1074" s="4" t="inlineStr"/>
      <c r="L1074" s="3" t="inlineStr">
        <is>
          <t>Sweet corn kernels — 150 g (5.3 oz)
Black beans, cooked — 200 g (7.1 oz)
Tomato — 150 g (5.3 oz)
Red onion — 50 g (1.8 oz)
Jalapeño — 10 g (0.4 oz)
Lime juice — 30 g (1.1 oz)
Fresh cilantro — 8 g (0.3 oz)
Extra-virgin olive oil — 15 g (0.5 oz)</t>
        </is>
      </c>
      <c r="M1074" s="4" t="inlineStr">
        <is>
          <t>[{"ingredient_id": "corn", "name": "Sweet corn kernels", "grams": 150.0, "note": ""}, {"ingredient_id": "black_beans", "name": "Black beans, cooked", "grams": 200.0, "note": ""}, {"ingredient_id": "tomato", "name": "Tomato", "grams": 150.0, "note": ""}, {"ingredient_id": "red_onion", "name": "Red onion", "grams": 50.0, "note": ""}, {"ingredient_id": "jalapeno", "name": "Jalapeño", "grams": 10.0, "note": ""}, {"ingredient_id": "lime_juice", "name": "Lime juice", "grams": 30.0, "note": ""}, {"ingredient_id": "cilantro", "name": "Fresh cilantro", "grams": 8.0, "note": ""}, {"ingredient_id": "olive_oil", "name": "Extra-virgin olive oil", "grams": 15.0, "note": ""}]</t>
        </is>
      </c>
      <c r="N1074" s="2" t="n">
        <v>117</v>
      </c>
      <c r="O1074" s="5" t="n">
        <v>5</v>
      </c>
      <c r="P1074" s="5" t="n">
        <v>3.7</v>
      </c>
      <c r="Q1074" s="5" t="n">
        <v>18</v>
      </c>
      <c r="R1074" s="5" t="n">
        <v>4.9</v>
      </c>
      <c r="S1074" s="5" t="n">
        <v>13</v>
      </c>
      <c r="T1074" s="2" t="n">
        <v>36</v>
      </c>
      <c r="U1074" s="2" t="inlineStr">
        <is>
          <t>low</t>
        </is>
      </c>
      <c r="V1074" s="5" t="n">
        <v>4.7</v>
      </c>
      <c r="W1074" s="2" t="inlineStr">
        <is>
          <t>low</t>
        </is>
      </c>
      <c r="X1074" s="3" t="inlineStr"/>
      <c r="Y1074" s="3" t="inlineStr">
        <is>
          <t>84% of this dish's available carbohydrate comes from ingredients with a published, measured GI; the rest uses conventional placeholders (see Ingredients sheet)</t>
        </is>
      </c>
      <c r="Z1074" s="2" t="n">
        <v>84</v>
      </c>
      <c r="AA1074" s="3" t="inlineStr">
        <is>
          <t>vegan, gluten-free, dairy-free, nut-free, low-carb, no-cook</t>
        </is>
      </c>
      <c r="AB1074" s="3" t="inlineStr">
        <is>
          <t>1. Combine the corn, beans, tomato, onion and jalapeno.
2. Dress with lime juice and oil.
3. Fold in cilantro and chill briefly.</t>
        </is>
      </c>
      <c r="AC1074" s="4" t="inlineStr">
        <is>
          <t>["Combine the corn, beans, tomato, onion and jalapeno.", "Dress with lime juice and oil.", "Fold in cilantro and chill briefly."]</t>
        </is>
      </c>
    </row>
    <row r="1075" ht="96" customHeight="1">
      <c r="A1075" s="2" t="inlineStr">
        <is>
          <t>DB-1074</t>
        </is>
      </c>
      <c r="B1075" s="3" t="inlineStr">
        <is>
          <t>Creamed Spinach</t>
        </is>
      </c>
      <c r="C1075" s="4" t="inlineStr">
        <is>
          <t>Side Dish</t>
        </is>
      </c>
      <c r="D1075" s="4" t="inlineStr">
        <is>
          <t>American</t>
        </is>
      </c>
      <c r="E1075" s="2" t="n">
        <v>4</v>
      </c>
      <c r="F1075" s="2" t="n">
        <v>5</v>
      </c>
      <c r="G1075" s="2" t="n">
        <v>12</v>
      </c>
      <c r="H1075" s="2" t="n">
        <v>17</v>
      </c>
      <c r="I1075" s="4" t="inlineStr">
        <is>
          <t>creamed-spinach.jpg</t>
        </is>
      </c>
      <c r="J1075" s="3" t="inlineStr">
        <is>
          <t>Creamed Spinach, healthy food photography, plated, natural light</t>
        </is>
      </c>
      <c r="K1075" s="4" t="inlineStr"/>
      <c r="L1075" s="3" t="inlineStr">
        <is>
          <t>Spinach — 500 g (17.6 oz)
Cream cheese — 80 g (2.8 oz)
Garlic — 4 g (0.1 oz)
Parmesan, grated — 20 g (0.7 oz)
Milk, 2% — 60 g (2.1 oz)
Ground nutmeg — 1 g (0.0 oz)
Butter — 10 g (0.4 oz)</t>
        </is>
      </c>
      <c r="M1075" s="4" t="inlineStr">
        <is>
          <t>[{"ingredient_id": "spinach", "name": "Spinach", "grams": 500.0, "note": ""}, {"ingredient_id": "cream_cheese", "name": "Cream cheese", "grams": 80.0, "note": ""}, {"ingredient_id": "garlic", "name": "Garlic", "grams": 4.0, "note": ""}, {"ingredient_id": "parmesan", "name": "Parmesan, grated", "grams": 20.0, "note": ""}, {"ingredient_id": "milk", "name": "Milk, 2%", "grams": 60.0, "note": ""}, {"ingredient_id": "nutmeg", "name": "Ground nutmeg", "grams": 1.0, "note": ""}, {"ingredient_id": "butter", "name": "Butter", "grams": 10.0, "note": ""}]</t>
        </is>
      </c>
      <c r="N1075" s="2" t="n">
        <v>147</v>
      </c>
      <c r="O1075" s="5" t="n">
        <v>7.3</v>
      </c>
      <c r="P1075" s="5" t="n">
        <v>11.2</v>
      </c>
      <c r="Q1075" s="5" t="n">
        <v>6.7</v>
      </c>
      <c r="R1075" s="5" t="n">
        <v>2.8</v>
      </c>
      <c r="S1075" s="5" t="n">
        <v>3.8</v>
      </c>
      <c r="T1075" s="2" t="n">
        <v>15</v>
      </c>
      <c r="U1075" s="2" t="inlineStr">
        <is>
          <t>low</t>
        </is>
      </c>
      <c r="V1075" s="5" t="n">
        <v>0.6</v>
      </c>
      <c r="W1075" s="2" t="inlineStr">
        <is>
          <t>low</t>
        </is>
      </c>
      <c r="X1075" s="3" t="inlineStr">
        <is>
          <t>Negligible carbohydrate (&lt;5 g net/serving): GI has little practical meaning, glycemic load is what matters.</t>
        </is>
      </c>
      <c r="Y1075" s="3" t="inlineStr">
        <is>
          <t>19% of this dish's available carbohydrate comes from ingredients with a published, measured GI; the rest uses conventional placeholders (see Ingredients sheet)</t>
        </is>
      </c>
      <c r="Z1075" s="2" t="n">
        <v>19</v>
      </c>
      <c r="AA1075" s="3" t="inlineStr">
        <is>
          <t>vegetarian, gluten-free, nut-free, low-carb</t>
        </is>
      </c>
      <c r="AB1075" s="3" t="inlineStr">
        <is>
          <t>1. Wilt the spinach with butter and garlic.
2. Stir in cream cheese and milk until smooth.
3. Add parmesan and nutmeg.</t>
        </is>
      </c>
      <c r="AC1075" s="4" t="inlineStr">
        <is>
          <t>["Wilt the spinach with butter and garlic.", "Stir in cream cheese and milk until smooth.", "Add parmesan and nutmeg."]</t>
        </is>
      </c>
    </row>
    <row r="1076" ht="96" customHeight="1">
      <c r="A1076" s="2" t="inlineStr">
        <is>
          <t>DB-1075</t>
        </is>
      </c>
      <c r="B1076" s="3" t="inlineStr">
        <is>
          <t>Cheesy Zucchini Boats</t>
        </is>
      </c>
      <c r="C1076" s="4" t="inlineStr">
        <is>
          <t>Side Dish</t>
        </is>
      </c>
      <c r="D1076" s="4" t="inlineStr">
        <is>
          <t>American</t>
        </is>
      </c>
      <c r="E1076" s="2" t="n">
        <v>4</v>
      </c>
      <c r="F1076" s="2" t="n">
        <v>15</v>
      </c>
      <c r="G1076" s="2" t="n">
        <v>25</v>
      </c>
      <c r="H1076" s="2" t="n">
        <v>40</v>
      </c>
      <c r="I1076" s="4" t="inlineStr">
        <is>
          <t>cheesy-zucchini-boats.jpg</t>
        </is>
      </c>
      <c r="J1076" s="3" t="inlineStr">
        <is>
          <t>Cheesy Zucchini Boats, healthy food photography, plated, natural light</t>
        </is>
      </c>
      <c r="K1076" s="4" t="inlineStr"/>
      <c r="L1076" s="3" t="inlineStr">
        <is>
          <t>Zucchini — 600 g (21.2 oz)
Ground turkey 93% lean — 200 g (7.1 oz)
Marinara sauce, no sugar added — 150 g (5.3 oz)
Mozzarella, part-skim — 80 g (2.8 oz)
Parmesan, grated — 20 g (0.7 oz)
Yellow onion — 50 g (1.8 oz)
Extra-virgin olive oil — 10 g (0.4 oz)</t>
        </is>
      </c>
      <c r="M1076" s="4" t="inlineStr">
        <is>
          <t>[{"ingredient_id": "zucchini", "name": "Zucchini", "grams": 600.0, "note": ""}, {"ingredient_id": "ground_turkey", "name": "Ground turkey 93% lean", "grams": 200.0, "note": ""}, {"ingredient_id": "marinara", "name": "Marinara sauce, no sugar added", "grams": 150.0, "note": ""}, {"ingredient_id": "mozzarella", "name": "Mozzarella, part-skim", "grams": 80.0, "note": ""}, {"ingredient_id": "parmesan", "name": "Parmesan, grated", "grams": 20.0, "note": ""}, {"ingredient_id": "onion", "name": "Yellow onion", "grams": 50.0, "note": ""}, {"ingredient_id": "olive_oil", "name": "Extra-virgin olive oil", "grams": 10.0, "note": ""}]</t>
        </is>
      </c>
      <c r="N1076" s="2" t="n">
        <v>217</v>
      </c>
      <c r="O1076" s="5" t="n">
        <v>18.5</v>
      </c>
      <c r="P1076" s="5" t="n">
        <v>12.6</v>
      </c>
      <c r="Q1076" s="5" t="n">
        <v>8.5</v>
      </c>
      <c r="R1076" s="5" t="n">
        <v>2.3</v>
      </c>
      <c r="S1076" s="5" t="n">
        <v>6.2</v>
      </c>
      <c r="T1076" s="2" t="n">
        <v>17</v>
      </c>
      <c r="U1076" s="2" t="inlineStr">
        <is>
          <t>low</t>
        </is>
      </c>
      <c r="V1076" s="5" t="n">
        <v>1.1</v>
      </c>
      <c r="W1076" s="2" t="inlineStr">
        <is>
          <t>low</t>
        </is>
      </c>
      <c r="X1076" s="3" t="inlineStr"/>
      <c r="Y1076" s="3" t="inlineStr">
        <is>
          <t>21% of this dish's available carbohydrate comes from ingredients with a published, measured GI; the rest uses conventional placeholders (see Ingredients sheet)</t>
        </is>
      </c>
      <c r="Z1076" s="2" t="n">
        <v>21</v>
      </c>
      <c r="AA1076" s="3" t="inlineStr">
        <is>
          <t>gluten-free, nut-free, low-carb</t>
        </is>
      </c>
      <c r="AB1076" s="3" t="inlineStr">
        <is>
          <t>1. Halve the zucchini and scoop out the centres.
2. Brown the turkey with the onion and chopped zucchini flesh.
3. Stir in marinara and fill the boats.
4. Top with cheeses and bake at 400°F for 20 minutes.</t>
        </is>
      </c>
      <c r="AC1076" s="4" t="inlineStr">
        <is>
          <t>["Halve the zucchini and scoop out the centres.", "Brown the turkey with the onion and chopped zucchini flesh.", "Stir in marinara and fill the boats.", "Top with cheeses and bake at 400°F for 20 minutes."]</t>
        </is>
      </c>
    </row>
    <row r="1077" ht="96" customHeight="1">
      <c r="A1077" s="2" t="inlineStr">
        <is>
          <t>DB-1076</t>
        </is>
      </c>
      <c r="B1077" s="3" t="inlineStr">
        <is>
          <t>Stuffed Portobello Mushrooms</t>
        </is>
      </c>
      <c r="C1077" s="4" t="inlineStr">
        <is>
          <t>Vegetarian &amp; Vegan</t>
        </is>
      </c>
      <c r="D1077" s="4" t="inlineStr">
        <is>
          <t>American</t>
        </is>
      </c>
      <c r="E1077" s="2" t="n">
        <v>4</v>
      </c>
      <c r="F1077" s="2" t="n">
        <v>15</v>
      </c>
      <c r="G1077" s="2" t="n">
        <v>20</v>
      </c>
      <c r="H1077" s="2" t="n">
        <v>35</v>
      </c>
      <c r="I1077" s="4" t="inlineStr">
        <is>
          <t>stuffed-portobello-mushrooms.jpg</t>
        </is>
      </c>
      <c r="J1077" s="3" t="inlineStr">
        <is>
          <t>Stuffed Portobello Mushrooms, healthy food photography, plated, natural light</t>
        </is>
      </c>
      <c r="K1077" s="4" t="inlineStr"/>
      <c r="L1077" s="3" t="inlineStr">
        <is>
          <t>Portobello mushrooms — 480 g (16.9 oz)
Spinach — 100 g (3.5 oz)
Ricotta, part-skim — 120 g (4.2 oz)
Mozzarella, part-skim — 60 g (2.1 oz)
Garlic — 6 g (0.2 oz)
Sun-dried tomatoes in oil, drained — 30 g (1.1 oz)
Extra-virgin olive oil — 15 g (0.5 oz)</t>
        </is>
      </c>
      <c r="M1077" s="4" t="inlineStr">
        <is>
          <t>[{"ingredient_id": "portobello", "name": "Portobello mushrooms", "grams": 480.0, "note": ""}, {"ingredient_id": "spinach", "name": "Spinach", "grams": 100.0, "note": ""}, {"ingredient_id": "ricotta", "name": "Ricotta, part-skim", "grams": 120.0, "note": ""}, {"ingredient_id": "mozzarella", "name": "Mozzarella, part-skim", "grams": 60.0, "note": ""}, {"ingredient_id": "garlic", "name": "Garlic", "grams": 6.0, "note": ""}, {"ingredient_id": "sun_dried_tomato", "name": "Sun-dried tomatoes in oil, drained", "grams": 30.0, "note": ""}, {"ingredient_id": "olive_oil", "name": "Extra-virgin olive oil", "grams": 15.0, "note": ""}]</t>
        </is>
      </c>
      <c r="N1077" s="2" t="n">
        <v>163</v>
      </c>
      <c r="O1077" s="5" t="n">
        <v>10.6</v>
      </c>
      <c r="P1077" s="5" t="n">
        <v>10.2</v>
      </c>
      <c r="Q1077" s="5" t="n">
        <v>9.800000000000001</v>
      </c>
      <c r="R1077" s="5" t="n">
        <v>2.6</v>
      </c>
      <c r="S1077" s="5" t="n">
        <v>7.2</v>
      </c>
      <c r="T1077" s="2" t="n">
        <v>19</v>
      </c>
      <c r="U1077" s="2" t="inlineStr">
        <is>
          <t>low</t>
        </is>
      </c>
      <c r="V1077" s="5" t="n">
        <v>1.4</v>
      </c>
      <c r="W1077" s="2" t="inlineStr">
        <is>
          <t>low</t>
        </is>
      </c>
      <c r="X1077" s="3" t="inlineStr"/>
      <c r="Y1077" s="3" t="inlineStr">
        <is>
          <t>0% of this dish's available carbohydrate comes from ingredients with a published, measured GI; the rest uses conventional placeholders (see Ingredients sheet)</t>
        </is>
      </c>
      <c r="Z1077" s="2" t="n">
        <v>0</v>
      </c>
      <c r="AA1077" s="3" t="inlineStr">
        <is>
          <t>vegetarian, gluten-free, nut-free, low-carb</t>
        </is>
      </c>
      <c r="AB1077" s="3" t="inlineStr">
        <is>
          <t>1. Heat the oven to 400°F and brush the caps with oil.
2. Mix the wilted spinach, ricotta, garlic and sun-dried tomato.
3. Fill the caps and top with mozzarella.
4. Bake 18 to 20 minutes.</t>
        </is>
      </c>
      <c r="AC1077" s="4" t="inlineStr">
        <is>
          <t>["Heat the oven to 400°F and brush the caps with oil.", "Mix the wilted spinach, ricotta, garlic and sun-dried tomato.", "Fill the caps and top with mozzarella.", "Bake 18 to 20 minutes."]</t>
        </is>
      </c>
    </row>
    <row r="1078" ht="96" customHeight="1">
      <c r="A1078" s="2" t="inlineStr">
        <is>
          <t>DB-1077</t>
        </is>
      </c>
      <c r="B1078" s="3" t="inlineStr">
        <is>
          <t>Vegetarian Black Bean Burgers</t>
        </is>
      </c>
      <c r="C1078" s="4" t="inlineStr">
        <is>
          <t>Vegetarian &amp; Vegan</t>
        </is>
      </c>
      <c r="D1078" s="4" t="inlineStr">
        <is>
          <t>American</t>
        </is>
      </c>
      <c r="E1078" s="2" t="n">
        <v>4</v>
      </c>
      <c r="F1078" s="2" t="n">
        <v>15</v>
      </c>
      <c r="G1078" s="2" t="n">
        <v>15</v>
      </c>
      <c r="H1078" s="2" t="n">
        <v>30</v>
      </c>
      <c r="I1078" s="4" t="inlineStr">
        <is>
          <t>vegetarian-black-bean-burgers.jpg</t>
        </is>
      </c>
      <c r="J1078" s="3" t="inlineStr">
        <is>
          <t>Vegetarian Black Bean Burgers, healthy food photography, plated, natural light</t>
        </is>
      </c>
      <c r="K1078" s="4" t="inlineStr"/>
      <c r="L1078" s="3" t="inlineStr">
        <is>
          <t>Black beans, cooked — 400 g (14.1 oz)
Rolled oats, dry — 50 g (1.8 oz)
Egg, large (50 g each) — 50 g (1.8 oz)
Yellow onion — 60 g (2.1 oz)
Ground cumin — 2 g (0.1 oz)
Smoked paprika — 2 g (0.1 oz)
Extra-virgin olive oil — 15 g (0.5 oz)
Butter lettuce — 100 g (3.5 oz)
Tomato — 120 g (4.2 oz)
Avocado — 80 g (2.8 oz)</t>
        </is>
      </c>
      <c r="M1078" s="4" t="inlineStr">
        <is>
          <t>[{"ingredient_id": "black_beans", "name": "Black beans, cooked", "grams": 400.0, "note": ""}, {"ingredient_id": "rolled_oats", "name": "Rolled oats, dry", "grams": 50.0, "note": ""}, {"ingredient_id": "egg", "name": "Egg, large (50 g each)", "grams": 50.0, "note": ""}, {"ingredient_id": "onion", "name": "Yellow onion", "grams": 60.0, "note": ""}, {"ingredient_id": "cumin", "name": "Ground cumin", "grams": 2.0, "note": ""}, {"ingredient_id": "smoked_paprika", "name": "Smoked paprika", "grams": 2.0, "note": ""}, {"ingredient_id": "olive_oil", "name": "Extra-virgin olive oil", "grams": 15.0, "note": ""}, {"ingredient_id": "butter_lettuce", "name": "Butter lettuce", "grams": 100.0, "note": ""}, {"ingredient_id": "tomato", "name": "Tomato", "grams": 120.0, "note": ""}, {"ingredient_id": "avocado", "name": "Avocado", "grams": 80.0, "note": ""}]</t>
        </is>
      </c>
      <c r="N1078" s="2" t="n">
        <v>280</v>
      </c>
      <c r="O1078" s="5" t="n">
        <v>13.4</v>
      </c>
      <c r="P1078" s="5" t="n">
        <v>9.5</v>
      </c>
      <c r="Q1078" s="5" t="n">
        <v>37.6</v>
      </c>
      <c r="R1078" s="5" t="n">
        <v>12.4</v>
      </c>
      <c r="S1078" s="5" t="n">
        <v>25.2</v>
      </c>
      <c r="T1078" s="2" t="n">
        <v>36</v>
      </c>
      <c r="U1078" s="2" t="inlineStr">
        <is>
          <t>low</t>
        </is>
      </c>
      <c r="V1078" s="5" t="n">
        <v>9.1</v>
      </c>
      <c r="W1078" s="2" t="inlineStr">
        <is>
          <t>low</t>
        </is>
      </c>
      <c r="X1078" s="3" t="inlineStr"/>
      <c r="Y1078" s="3" t="inlineStr">
        <is>
          <t>88% of this dish's available carbohydrate comes from ingredients with a published, measured GI; the rest uses conventional placeholders (see Ingredients sheet)</t>
        </is>
      </c>
      <c r="Z1078" s="2" t="n">
        <v>88</v>
      </c>
      <c r="AA1078" s="3" t="inlineStr">
        <is>
          <t>vegetarian, dairy-free, nut-free, high-fiber</t>
        </is>
      </c>
      <c r="AB1078" s="3" t="inlineStr">
        <is>
          <t>1. Mash the beans with oats, egg, onion and spices and shape four patties.
2. Pan-fry in oil 5 minutes a side.
3. Serve in lettuce with tomato and avocado.</t>
        </is>
      </c>
      <c r="AC1078" s="4" t="inlineStr">
        <is>
          <t>["Mash the beans with oats, egg, onion and spices and shape four patties.", "Pan-fry in oil 5 minutes a side.", "Serve in lettuce with tomato and avocado."]</t>
        </is>
      </c>
    </row>
    <row r="1079" ht="96" customHeight="1">
      <c r="A1079" s="2" t="inlineStr">
        <is>
          <t>DB-1078</t>
        </is>
      </c>
      <c r="B1079" s="3" t="inlineStr">
        <is>
          <t>Eggplant Parmesan Stacks</t>
        </is>
      </c>
      <c r="C1079" s="4" t="inlineStr">
        <is>
          <t>Vegetarian &amp; Vegan</t>
        </is>
      </c>
      <c r="D1079" s="4" t="inlineStr">
        <is>
          <t>Italian</t>
        </is>
      </c>
      <c r="E1079" s="2" t="n">
        <v>4</v>
      </c>
      <c r="F1079" s="2" t="n">
        <v>20</v>
      </c>
      <c r="G1079" s="2" t="n">
        <v>35</v>
      </c>
      <c r="H1079" s="2" t="n">
        <v>55</v>
      </c>
      <c r="I1079" s="4" t="inlineStr">
        <is>
          <t>eggplant-parmesan-stacks.jpg</t>
        </is>
      </c>
      <c r="J1079" s="3" t="inlineStr">
        <is>
          <t>Eggplant Parmesan Stacks, healthy food photography, plated, natural light</t>
        </is>
      </c>
      <c r="K1079" s="4" t="inlineStr"/>
      <c r="L1079" s="3" t="inlineStr">
        <is>
          <t>Eggplant — 600 g (21.2 oz)
Marinara sauce, no sugar added — 300 g (10.6 oz)
Mozzarella, part-skim — 120 g (4.2 oz)
Parmesan, grated — 30 g (1.1 oz)
Egg, large (50 g each) — 50 g (1.8 oz)
Almond flour — 50 g (1.8 oz)
Fresh basil — 5 g (0.2 oz)
Extra-virgin olive oil — 20 g (0.7 oz)</t>
        </is>
      </c>
      <c r="M1079" s="4" t="inlineStr">
        <is>
          <t>[{"ingredient_id": "eggplant", "name": "Eggplant", "grams": 600.0, "note": ""}, {"ingredient_id": "marinara", "name": "Marinara sauce, no sugar added", "grams": 300.0, "note": ""}, {"ingredient_id": "mozzarella", "name": "Mozzarella, part-skim", "grams": 120.0, "note": ""}, {"ingredient_id": "parmesan", "name": "Parmesan, grated", "grams": 30.0, "note": ""}, {"ingredient_id": "egg", "name": "Egg, large (50 g each)", "grams": 50.0, "note": ""}, {"ingredient_id": "almond_flour", "name": "Almond flour", "grams": 50.0, "note": ""}, {"ingredient_id": "basil", "name": "Fresh basil", "grams": 5.0, "note": ""}, {"ingredient_id": "olive_oil", "name": "Extra-virgin olive oil", "grams": 20.0, "note": ""}]</t>
        </is>
      </c>
      <c r="N1079" s="2" t="n">
        <v>316</v>
      </c>
      <c r="O1079" s="5" t="n">
        <v>16.9</v>
      </c>
      <c r="P1079" s="5" t="n">
        <v>21.6</v>
      </c>
      <c r="Q1079" s="5" t="n">
        <v>16.7</v>
      </c>
      <c r="R1079" s="5" t="n">
        <v>7.1</v>
      </c>
      <c r="S1079" s="5" t="n">
        <v>9.6</v>
      </c>
      <c r="T1079" s="2" t="n">
        <v>18</v>
      </c>
      <c r="U1079" s="2" t="inlineStr">
        <is>
          <t>low</t>
        </is>
      </c>
      <c r="V1079" s="5" t="n">
        <v>1.7</v>
      </c>
      <c r="W1079" s="2" t="inlineStr">
        <is>
          <t>low</t>
        </is>
      </c>
      <c r="X1079" s="3" t="inlineStr"/>
      <c r="Y1079" s="3" t="inlineStr">
        <is>
          <t>27% of this dish's available carbohydrate comes from ingredients with a published, measured GI; the rest uses conventional placeholders (see Ingredients sheet)</t>
        </is>
      </c>
      <c r="Z1079" s="2" t="n">
        <v>27</v>
      </c>
      <c r="AA1079" s="3" t="inlineStr">
        <is>
          <t>vegetarian, gluten-free, low-carb, high-fiber</t>
        </is>
      </c>
      <c r="AB1079" s="3" t="inlineStr">
        <is>
          <t>1. Slice the eggplant and dip in egg, then almond flour.
2. Bake on an oiled tray at 425°F until golden, 20 minutes.
3. Stack with marinara and mozzarella.
4. Bake 12 minutes more and finish with basil and parmesan.</t>
        </is>
      </c>
      <c r="AC1079" s="4" t="inlineStr">
        <is>
          <t>["Slice the eggplant and dip in egg, then almond flour.", "Bake on an oiled tray at 425°F until golden, 20 minutes.", "Stack with marinara and mozzarella.", "Bake 12 minutes more and finish with basil and parmesan."]</t>
        </is>
      </c>
    </row>
    <row r="1080" ht="96" customHeight="1">
      <c r="A1080" s="2" t="inlineStr">
        <is>
          <t>DB-1079</t>
        </is>
      </c>
      <c r="B1080" s="3" t="inlineStr">
        <is>
          <t>Cauliflower Mac and Cheese</t>
        </is>
      </c>
      <c r="C1080" s="4" t="inlineStr">
        <is>
          <t>Vegetarian &amp; Vegan</t>
        </is>
      </c>
      <c r="D1080" s="4" t="inlineStr">
        <is>
          <t>American</t>
        </is>
      </c>
      <c r="E1080" s="2" t="n">
        <v>5</v>
      </c>
      <c r="F1080" s="2" t="n">
        <v>10</v>
      </c>
      <c r="G1080" s="2" t="n">
        <v>25</v>
      </c>
      <c r="H1080" s="2" t="n">
        <v>35</v>
      </c>
      <c r="I1080" s="4" t="inlineStr">
        <is>
          <t>cauliflower-mac-and-cheese.jpg</t>
        </is>
      </c>
      <c r="J1080" s="3" t="inlineStr">
        <is>
          <t>Cauliflower Mac and Cheese, healthy food photography, plated, natural light</t>
        </is>
      </c>
      <c r="K1080" s="4" t="inlineStr"/>
      <c r="L1080" s="3" t="inlineStr">
        <is>
          <t>Cauliflower — 600 g (21.2 oz)
Whole wheat pasta, cooked al dente — 100 g (3.5 oz)
Cheddar cheese — 150 g (5.3 oz)
Milk, 2% — 200 g (7.1 oz)
Cream cheese — 40 g (1.4 oz)
Dijon mustard — 5 g (0.2 oz)
Smoked paprika — 2 g (0.1 oz)
Extra-virgin olive oil — 5 g (0.2 oz)</t>
        </is>
      </c>
      <c r="M1080" s="4" t="inlineStr">
        <is>
          <t>[{"ingredient_id": "cauliflower", "name": "Cauliflower", "grams": 600.0, "note": ""}, {"ingredient_id": "whole_wheat_pasta", "name": "Whole wheat pasta, cooked al dente", "grams": 100.0, "note": ""}, {"ingredient_id": "cheddar", "name": "Cheddar cheese", "grams": 150.0, "note": ""}, {"ingredient_id": "milk", "name": "Milk, 2%", "grams": 200.0, "note": ""}, {"ingredient_id": "cream_cheese", "name": "Cream cheese", "grams": 40.0, "note": ""}, {"ingredient_id": "dijon", "name": "Dijon mustard", "grams": 5.0, "note": ""}, {"ingredient_id": "smoked_paprika", "name": "Smoked paprika", "grams": 2.0, "note": ""}, {"ingredient_id": "olive_oil", "name": "Extra-virgin olive oil", "grams": 5.0, "note": ""}]</t>
        </is>
      </c>
      <c r="N1080" s="2" t="n">
        <v>234</v>
      </c>
      <c r="O1080" s="5" t="n">
        <v>12.1</v>
      </c>
      <c r="P1080" s="5" t="n">
        <v>15</v>
      </c>
      <c r="Q1080" s="5" t="n">
        <v>14.2</v>
      </c>
      <c r="R1080" s="5" t="n">
        <v>3.4</v>
      </c>
      <c r="S1080" s="5" t="n">
        <v>10.8</v>
      </c>
      <c r="T1080" s="2" t="n">
        <v>32</v>
      </c>
      <c r="U1080" s="2" t="inlineStr">
        <is>
          <t>low</t>
        </is>
      </c>
      <c r="V1080" s="5" t="n">
        <v>3.5</v>
      </c>
      <c r="W1080" s="2" t="inlineStr">
        <is>
          <t>low</t>
        </is>
      </c>
      <c r="X1080" s="3" t="inlineStr"/>
      <c r="Y1080" s="3" t="inlineStr">
        <is>
          <t>59% of this dish's available carbohydrate comes from ingredients with a published, measured GI; the rest uses conventional placeholders (see Ingredients sheet)</t>
        </is>
      </c>
      <c r="Z1080" s="2" t="n">
        <v>59</v>
      </c>
      <c r="AA1080" s="3" t="inlineStr">
        <is>
          <t>vegetarian, nut-free, low-carb</t>
        </is>
      </c>
      <c r="AB1080" s="3" t="inlineStr">
        <is>
          <t>1. Boil the pasta and cauliflower florets together until tender; drain.
2. Warm the milk, cream cheese, mustard and paprika.
3. Melt in the cheddar.
4. Fold in the pasta and cauliflower and bake 10 minutes at 400°F.</t>
        </is>
      </c>
      <c r="AC1080" s="4" t="inlineStr">
        <is>
          <t>["Boil the pasta and cauliflower florets together until tender; drain.", "Warm the milk, cream cheese, mustard and paprika.", "Melt in the cheddar.", "Fold in the pasta and cauliflower and bake 10 minutes at 400°F."]</t>
        </is>
      </c>
    </row>
    <row r="1081" ht="96" customHeight="1">
      <c r="A1081" s="2" t="inlineStr">
        <is>
          <t>DB-1080</t>
        </is>
      </c>
      <c r="B1081" s="3" t="inlineStr">
        <is>
          <t>Lentil Sloppy Joes</t>
        </is>
      </c>
      <c r="C1081" s="4" t="inlineStr">
        <is>
          <t>Vegetarian &amp; Vegan</t>
        </is>
      </c>
      <c r="D1081" s="4" t="inlineStr">
        <is>
          <t>American</t>
        </is>
      </c>
      <c r="E1081" s="2" t="n">
        <v>5</v>
      </c>
      <c r="F1081" s="2" t="n">
        <v>10</v>
      </c>
      <c r="G1081" s="2" t="n">
        <v>35</v>
      </c>
      <c r="H1081" s="2" t="n">
        <v>45</v>
      </c>
      <c r="I1081" s="4" t="inlineStr">
        <is>
          <t>lentil-sloppy-joes.jpg</t>
        </is>
      </c>
      <c r="J1081" s="3" t="inlineStr">
        <is>
          <t>Lentil Sloppy Joes, healthy food photography, plated, natural light</t>
        </is>
      </c>
      <c r="K1081" s="4" t="inlineStr"/>
      <c r="L1081" s="3" t="inlineStr">
        <is>
          <t>Lentils, cooked — 250 g (8.8 oz)
Tomato sauce, canned, no sugar added — 300 g (10.6 oz)
Yellow onion — 120 g (4.2 oz)
Bell pepper — 100 g (3.5 oz)
Tomato paste — 30 g (1.1 oz)
Yellow mustard — 10 g (0.4 oz)
Apple cider vinegar — 15 g (0.5 oz)
Chili powder — 3 g (0.1 oz)
Vegetable broth, low sodium — 400 g (14.1 oz)
Whole wheat English muffin — 285 g (10.1 oz)</t>
        </is>
      </c>
      <c r="M1081" s="4" t="inlineStr">
        <is>
          <t>[{"ingredient_id": "lentils", "name": "Lentils, cooked", "grams": 250.0, "note": ""}, {"ingredient_id": "tomato_sauce", "name": "Tomato sauce, canned, no sugar added", "grams": 300.0, "note": ""}, {"ingredient_id": "onion", "name": "Yellow onion", "grams": 120.0, "note": ""}, {"ingredient_id": "bell_pepper", "name": "Bell pepper", "grams": 100.0, "note": ""}, {"ingredient_id": "tomato_paste", "name": "Tomato paste", "grams": 30.0, "note": ""}, {"ingredient_id": "yellow_mustard", "name": "Yellow mustard", "grams": 10.0, "note": ""}, {"ingredient_id": "apple_cider_vinegar", "name": "Apple cider vinegar", "grams": 15.0, "note": ""}, {"ingredient_id": "chili_powder", "name": "Chili powder", "grams": 3.0, "note": ""}, {"ingredient_id": "vegetable_broth", "name": "Vegetable broth, low sodium", "grams": 400.0, "note": ""}, {"ingredient_id": "whole_wheat_english_muffin", "name": "Whole wheat English muffin", "grams": 285.0, "note": ""}]</t>
        </is>
      </c>
      <c r="N1081" s="2" t="n">
        <v>228</v>
      </c>
      <c r="O1081" s="5" t="n">
        <v>11.7</v>
      </c>
      <c r="P1081" s="5" t="n">
        <v>1.9</v>
      </c>
      <c r="Q1081" s="5" t="n">
        <v>45</v>
      </c>
      <c r="R1081" s="5" t="n">
        <v>10.2</v>
      </c>
      <c r="S1081" s="5" t="n">
        <v>34.9</v>
      </c>
      <c r="T1081" s="2" t="n">
        <v>39</v>
      </c>
      <c r="U1081" s="2" t="inlineStr">
        <is>
          <t>low</t>
        </is>
      </c>
      <c r="V1081" s="5" t="n">
        <v>13.6</v>
      </c>
      <c r="W1081" s="2" t="inlineStr">
        <is>
          <t>medium</t>
        </is>
      </c>
      <c r="X1081" s="3" t="inlineStr"/>
      <c r="Y1081" s="3" t="inlineStr">
        <is>
          <t>80% of this dish's available carbohydrate comes from ingredients with a published, measured GI; the rest uses conventional placeholders (see Ingredients sheet)</t>
        </is>
      </c>
      <c r="Z1081" s="2" t="n">
        <v>80</v>
      </c>
      <c r="AA1081" s="3" t="inlineStr">
        <is>
          <t>vegan, dairy-free, nut-free, high-fiber</t>
        </is>
      </c>
      <c r="AB1081" s="3" t="inlineStr">
        <is>
          <t>1. Simmer the lentils in the broth until tender, 20 minutes.
2. Sauté the onion and pepper and add the sauce, paste, mustard, vinegar and chili.
3. Combine and simmer 10 minutes.
4. Spoon over toasted muffins.</t>
        </is>
      </c>
      <c r="AC1081" s="4" t="inlineStr">
        <is>
          <t>["Simmer the lentils in the broth until tender, 20 minutes.", "Sauté the onion and pepper and add the sauce, paste, mustard, vinegar and chili.", "Combine and simmer 10 minutes.", "Spoon over toasted muffins."]</t>
        </is>
      </c>
    </row>
    <row r="1082" ht="96" customHeight="1">
      <c r="A1082" s="2" t="inlineStr">
        <is>
          <t>DB-1081</t>
        </is>
      </c>
      <c r="B1082" s="3" t="inlineStr">
        <is>
          <t>Chopped Italian-Style Salad with Chickpeas</t>
        </is>
      </c>
      <c r="C1082" s="4" t="inlineStr">
        <is>
          <t>Salad</t>
        </is>
      </c>
      <c r="D1082" s="4" t="inlineStr">
        <is>
          <t>American</t>
        </is>
      </c>
      <c r="E1082" s="2" t="n">
        <v>4</v>
      </c>
      <c r="F1082" s="2" t="n">
        <v>15</v>
      </c>
      <c r="G1082" s="2" t="n">
        <v>0</v>
      </c>
      <c r="H1082" s="2" t="n">
        <v>15</v>
      </c>
      <c r="I1082" s="4" t="inlineStr">
        <is>
          <t>chopped-italian-style-salad-with-chickpeas.jpg</t>
        </is>
      </c>
      <c r="J1082" s="3" t="inlineStr">
        <is>
          <t>Chopped Italian-Style Salad with Chickpeas, healthy food photography, plated, natural light</t>
        </is>
      </c>
      <c r="K1082" s="4" t="inlineStr"/>
      <c r="L1082" s="3" t="inlineStr">
        <is>
          <t>Romaine lettuce — 200 g (7.1 oz)
Chickpeas, cooked — 200 g (7.1 oz)
Cucumber — 120 g (4.2 oz)
Cherry tomatoes — 150 g (5.3 oz)
Red onion — 40 g (1.4 oz)
Mozzarella, part-skim — 60 g (2.1 oz)
Olives (kalamata/green) — 40 g (1.4 oz)
Red wine vinegar — 20 g (0.7 oz)
Extra-virgin olive oil — 25 g (0.9 oz)
Italian seasoning — 2 g (0.1 oz)</t>
        </is>
      </c>
      <c r="M1082" s="4" t="inlineStr">
        <is>
          <t>[{"ingredient_id": "romaine", "name": "Romaine lettuce", "grams": 200.0, "note": ""}, {"ingredient_id": "chickpeas", "name": "Chickpeas, cooked", "grams": 200.0, "note": ""}, {"ingredient_id": "cucumber", "name": "Cucumber", "grams": 120.0, "note": ""}, {"ingredient_id": "cherry_tomato", "name": "Cherry tomatoes", "grams": 150.0, "note": ""}, {"ingredient_id": "red_onion", "name": "Red onion", "grams": 40.0, "note": ""}, {"ingredient_id": "mozzarella", "name": "Mozzarella, part-skim", "grams": 60.0, "note": ""}, {"ingredient_id": "olives", "name": "Olives (kalamata/green)", "grams": 40.0, "note": ""}, {"ingredient_id": "red_wine_vinegar", "name": "Red wine vinegar", "grams": 20.0, "note": ""}, {"ingredient_id": "olive_oil", "name": "Extra-virgin olive oil", "grams": 25.0, "note": ""}, {"ingredient_id": "italian_seasoning", "name": "Italian seasoning", "grams": 2.0, "note": ""}]</t>
        </is>
      </c>
      <c r="N1082" s="2" t="n">
        <v>213</v>
      </c>
      <c r="O1082" s="5" t="n">
        <v>9.4</v>
      </c>
      <c r="P1082" s="5" t="n">
        <v>11.3</v>
      </c>
      <c r="Q1082" s="5" t="n">
        <v>20</v>
      </c>
      <c r="R1082" s="5" t="n">
        <v>6.2</v>
      </c>
      <c r="S1082" s="5" t="n">
        <v>13.9</v>
      </c>
      <c r="T1082" s="2" t="n">
        <v>31</v>
      </c>
      <c r="U1082" s="2" t="inlineStr">
        <is>
          <t>low</t>
        </is>
      </c>
      <c r="V1082" s="5" t="n">
        <v>4.3</v>
      </c>
      <c r="W1082" s="2" t="inlineStr">
        <is>
          <t>low</t>
        </is>
      </c>
      <c r="X1082" s="3" t="inlineStr"/>
      <c r="Y1082" s="3" t="inlineStr">
        <is>
          <t>70% of this dish's available carbohydrate comes from ingredients with a published, measured GI; the rest uses conventional placeholders (see Ingredients sheet)</t>
        </is>
      </c>
      <c r="Z1082" s="2" t="n">
        <v>70</v>
      </c>
      <c r="AA1082" s="3" t="inlineStr">
        <is>
          <t>vegetarian, gluten-free, nut-free, low-carb, no-cook</t>
        </is>
      </c>
      <c r="AB1082" s="3" t="inlineStr">
        <is>
          <t>1. Chop the romaine, cucumber, tomatoes and onion.
2. Add the chickpeas, mozzarella and olives.
3. Whisk the vinegar, oil and seasoning and toss through.</t>
        </is>
      </c>
      <c r="AC1082" s="4" t="inlineStr">
        <is>
          <t>["Chop the romaine, cucumber, tomatoes and onion.", "Add the chickpeas, mozzarella and olives.", "Whisk the vinegar, oil and seasoning and toss through."]</t>
        </is>
      </c>
    </row>
    <row r="1083" ht="96" customHeight="1">
      <c r="A1083" s="2" t="inlineStr">
        <is>
          <t>DB-1082</t>
        </is>
      </c>
      <c r="B1083" s="3" t="inlineStr">
        <is>
          <t>Cobb Salad</t>
        </is>
      </c>
      <c r="C1083" s="4" t="inlineStr">
        <is>
          <t>Salad</t>
        </is>
      </c>
      <c r="D1083" s="4" t="inlineStr">
        <is>
          <t>American</t>
        </is>
      </c>
      <c r="E1083" s="2" t="n">
        <v>3</v>
      </c>
      <c r="F1083" s="2" t="n">
        <v>15</v>
      </c>
      <c r="G1083" s="2" t="n">
        <v>10</v>
      </c>
      <c r="H1083" s="2" t="n">
        <v>25</v>
      </c>
      <c r="I1083" s="4" t="inlineStr">
        <is>
          <t>cobb-salad.jpg</t>
        </is>
      </c>
      <c r="J1083" s="3" t="inlineStr">
        <is>
          <t>Cobb Salad, healthy food photography, plated, natural light</t>
        </is>
      </c>
      <c r="K1083" s="4" t="inlineStr"/>
      <c r="L1083" s="3" t="inlineStr">
        <is>
          <t>Romaine lettuce — 200 g (7.1 oz)
Chicken breast, skinless — 300 g (10.6 oz)
Egg, large (50 g each) — 150 g (5.3 oz)
Bacon — 30 g (1.1 oz)
Avocado — 120 g (4.2 oz)
Tomato — 150 g (5.3 oz)
Blue cheese, crumbled — 40 g (1.4 oz)
Extra-virgin olive oil — 20 g (0.7 oz)
Red wine vinegar — 15 g (0.5 oz)
Dijon mustard — 5 g (0.2 oz)</t>
        </is>
      </c>
      <c r="M1083" s="4" t="inlineStr">
        <is>
          <t>[{"ingredient_id": "romaine", "name": "Romaine lettuce", "grams": 200.0, "note": ""}, {"ingredient_id": "chicken_breast", "name": "Chicken breast, skinless", "grams": 300.0, "note": ""}, {"ingredient_id": "egg", "name": "Egg, large (50 g each)", "grams": 150.0, "note": ""}, {"ingredient_id": "bacon", "name": "Bacon", "grams": 30.0, "note": ""}, {"ingredient_id": "avocado", "name": "Avocado", "grams": 120.0, "note": ""}, {"ingredient_id": "tomato", "name": "Tomato", "grams": 150.0, "note": ""}, {"ingredient_id": "blue_cheese", "name": "Blue cheese, crumbled", "grams": 40.0, "note": ""}, {"ingredient_id": "olive_oil", "name": "Extra-virgin olive oil", "grams": 20.0, "note": ""}, {"ingredient_id": "red_wine_vinegar", "name": "Red wine vinegar", "grams": 15.0, "note": ""}, {"ingredient_id": "dijon", "name": "Dijon mustard", "grams": 5.0, "note": ""}]</t>
        </is>
      </c>
      <c r="N1083" s="2" t="n">
        <v>438</v>
      </c>
      <c r="O1083" s="5" t="n">
        <v>37.4</v>
      </c>
      <c r="P1083" s="5" t="n">
        <v>28.4</v>
      </c>
      <c r="Q1083" s="5" t="n">
        <v>8.4</v>
      </c>
      <c r="R1083" s="5" t="n">
        <v>4.7</v>
      </c>
      <c r="S1083" s="5" t="n">
        <v>3.7</v>
      </c>
      <c r="T1083" s="2" t="n">
        <v>12</v>
      </c>
      <c r="U1083" s="2" t="inlineStr">
        <is>
          <t>low</t>
        </is>
      </c>
      <c r="V1083" s="5" t="n">
        <v>0.4</v>
      </c>
      <c r="W1083" s="2" t="inlineStr">
        <is>
          <t>low</t>
        </is>
      </c>
      <c r="X1083" s="3" t="inlineStr">
        <is>
          <t>Negligible carbohydrate (&lt;5 g net/serving): GI has little practical meaning, glycemic load is what matters.</t>
        </is>
      </c>
      <c r="Y1083" s="3" t="inlineStr">
        <is>
          <t>0% of this dish's available carbohydrate comes from ingredients with a published, measured GI; the rest uses conventional placeholders (see Ingredients sheet)</t>
        </is>
      </c>
      <c r="Z1083" s="2" t="n">
        <v>0</v>
      </c>
      <c r="AA1083" s="3" t="inlineStr">
        <is>
          <t>gluten-free, nut-free, low-carb, high-protein</t>
        </is>
      </c>
      <c r="AB1083" s="3" t="inlineStr">
        <is>
          <t>1. Grill and slice the chicken; hard-boil and slice the eggs; crisp the bacon.
2. Arrange the romaine on a platter with rows of each topping.
3. Whisk the oil, vinegar and mustard and drizzle.</t>
        </is>
      </c>
      <c r="AC1083" s="4" t="inlineStr">
        <is>
          <t>["Grill and slice the chicken; hard-boil and slice the eggs; crisp the bacon.", "Arrange the romaine on a platter with rows of each topping.", "Whisk the oil, vinegar and mustard and drizzle."]</t>
        </is>
      </c>
    </row>
    <row r="1084" ht="96" customHeight="1">
      <c r="A1084" s="2" t="inlineStr">
        <is>
          <t>DB-1083</t>
        </is>
      </c>
      <c r="B1084" s="3" t="inlineStr">
        <is>
          <t>Wedge Salad with Yogurt Blue Cheese Dressing</t>
        </is>
      </c>
      <c r="C1084" s="4" t="inlineStr">
        <is>
          <t>Salad</t>
        </is>
      </c>
      <c r="D1084" s="4" t="inlineStr">
        <is>
          <t>American</t>
        </is>
      </c>
      <c r="E1084" s="2" t="n">
        <v>4</v>
      </c>
      <c r="F1084" s="2" t="n">
        <v>10</v>
      </c>
      <c r="G1084" s="2" t="n">
        <v>0</v>
      </c>
      <c r="H1084" s="2" t="n">
        <v>10</v>
      </c>
      <c r="I1084" s="4" t="inlineStr">
        <is>
          <t>wedge-salad-with-yogurt-blue-cheese-dressing.jpg</t>
        </is>
      </c>
      <c r="J1084" s="3" t="inlineStr">
        <is>
          <t>Wedge Salad with Yogurt Blue Cheese Dressing, healthy food photography, plated, natural light</t>
        </is>
      </c>
      <c r="K1084" s="4" t="inlineStr"/>
      <c r="L1084" s="3" t="inlineStr">
        <is>
          <t>Iceberg lettuce — 400 g (14.1 oz)
Greek yogurt, plain 2% — 100 g (3.5 oz)
Blue cheese, crumbled — 40 g (1.4 oz)
Cherry tomatoes — 100 g (3.5 oz)
Turkey bacon — 40 g (1.4 oz)
Red onion — 30 g (1.1 oz)
Lemon juice — 10 g (0.4 oz)</t>
        </is>
      </c>
      <c r="M1084" s="4" t="inlineStr">
        <is>
          <t>[{"ingredient_id": "iceberg", "name": "Iceberg lettuce", "grams": 400.0, "note": ""}, {"ingredient_id": "greek_yogurt", "name": "Greek yogurt, plain 2%", "grams": 100.0, "note": ""}, {"ingredient_id": "blue_cheese", "name": "Blue cheese, crumbled", "grams": 40.0, "note": ""}, {"ingredient_id": "cherry_tomato", "name": "Cherry tomatoes", "grams": 100.0, "note": ""}, {"ingredient_id": "turkey_bacon", "name": "Turkey bacon", "grams": 40.0, "note": ""}, {"ingredient_id": "red_onion", "name": "Red onion", "grams": 30.0, "note": ""}, {"ingredient_id": "lemon_juice", "name": "Lemon juice", "grams": 10.0, "note": ""}]</t>
        </is>
      </c>
      <c r="N1084" s="2" t="n">
        <v>97</v>
      </c>
      <c r="O1084" s="5" t="n">
        <v>7.6</v>
      </c>
      <c r="P1084" s="5" t="n">
        <v>5.1</v>
      </c>
      <c r="Q1084" s="5" t="n">
        <v>6.3</v>
      </c>
      <c r="R1084" s="5" t="n">
        <v>1.6</v>
      </c>
      <c r="S1084" s="5" t="n">
        <v>4.6</v>
      </c>
      <c r="T1084" s="2" t="n">
        <v>13</v>
      </c>
      <c r="U1084" s="2" t="inlineStr">
        <is>
          <t>low</t>
        </is>
      </c>
      <c r="V1084" s="5" t="n">
        <v>0.6</v>
      </c>
      <c r="W1084" s="2" t="inlineStr">
        <is>
          <t>low</t>
        </is>
      </c>
      <c r="X1084" s="3" t="inlineStr">
        <is>
          <t>Negligible carbohydrate (&lt;5 g net/serving): GI has little practical meaning, glycemic load is what matters.</t>
        </is>
      </c>
      <c r="Y1084" s="3" t="inlineStr">
        <is>
          <t>22% of this dish's available carbohydrate comes from ingredients with a published, measured GI; the rest uses conventional placeholders (see Ingredients sheet)</t>
        </is>
      </c>
      <c r="Z1084" s="2" t="n">
        <v>22</v>
      </c>
      <c r="AA1084" s="3" t="inlineStr">
        <is>
          <t>gluten-free, nut-free, low-carb</t>
        </is>
      </c>
      <c r="AB1084" s="3" t="inlineStr">
        <is>
          <t>1. Cut the iceberg into wedges.
2. Blend the yogurt, blue cheese and lemon into a dressing.
3. Top with tomatoes, crisp bacon and onion.</t>
        </is>
      </c>
      <c r="AC1084" s="4" t="inlineStr">
        <is>
          <t>["Cut the iceberg into wedges.", "Blend the yogurt, blue cheese and lemon into a dressing.", "Top with tomatoes, crisp bacon and onion."]</t>
        </is>
      </c>
    </row>
    <row r="1085" ht="96" customHeight="1">
      <c r="A1085" s="2" t="inlineStr">
        <is>
          <t>DB-1084</t>
        </is>
      </c>
      <c r="B1085" s="3" t="inlineStr">
        <is>
          <t>Apple Walnut Chicken Salad</t>
        </is>
      </c>
      <c r="C1085" s="4" t="inlineStr">
        <is>
          <t>Salad</t>
        </is>
      </c>
      <c r="D1085" s="4" t="inlineStr">
        <is>
          <t>American</t>
        </is>
      </c>
      <c r="E1085" s="2" t="n">
        <v>3</v>
      </c>
      <c r="F1085" s="2" t="n">
        <v>15</v>
      </c>
      <c r="G1085" s="2" t="n">
        <v>0</v>
      </c>
      <c r="H1085" s="2" t="n">
        <v>15</v>
      </c>
      <c r="I1085" s="4" t="inlineStr">
        <is>
          <t>apple-walnut-chicken-salad.jpg</t>
        </is>
      </c>
      <c r="J1085" s="3" t="inlineStr">
        <is>
          <t>Apple Walnut Chicken Salad, healthy food photography, plated, natural light</t>
        </is>
      </c>
      <c r="K1085" s="4" t="inlineStr"/>
      <c r="L1085" s="3" t="inlineStr">
        <is>
          <t>Rotisserie chicken, skin removed — 300 g (10.6 oz)
Apple — 120 g (4.2 oz)
Celery — 60 g (2.1 oz)
Walnuts — 30 g (1.1 oz)
Greek yogurt, plain 2% — 90 g (3.2 oz)
Lemon juice — 10 g (0.4 oz)
Mixed salad greens — 100 g (3.5 oz)
Dijon mustard — 5 g (0.2 oz)</t>
        </is>
      </c>
      <c r="M1085" s="4" t="inlineStr">
        <is>
          <t>[{"ingredient_id": "rotisserie_chicken", "name": "Rotisserie chicken, skin removed", "grams": 300.0, "note": ""}, {"ingredient_id": "apple", "name": "Apple", "grams": 120.0, "note": ""}, {"ingredient_id": "celery", "name": "Celery", "grams": 60.0, "note": ""}, {"ingredient_id": "walnuts", "name": "Walnuts", "grams": 30.0, "note": ""}, {"ingredient_id": "greek_yogurt", "name": "Greek yogurt, plain 2%", "grams": 90.0, "note": ""}, {"ingredient_id": "lemon_juice", "name": "Lemon juice", "grams": 10.0, "note": ""}, {"ingredient_id": "mixed_greens", "name": "Mixed salad greens", "grams": 100.0, "note": ""}, {"ingredient_id": "dijon", "name": "Dijon mustard", "grams": 5.0, "note": ""}]</t>
        </is>
      </c>
      <c r="N1085" s="2" t="n">
        <v>280</v>
      </c>
      <c r="O1085" s="5" t="n">
        <v>28.5</v>
      </c>
      <c r="P1085" s="5" t="n">
        <v>14.4</v>
      </c>
      <c r="Q1085" s="5" t="n">
        <v>10.3</v>
      </c>
      <c r="R1085" s="5" t="n">
        <v>2.7</v>
      </c>
      <c r="S1085" s="5" t="n">
        <v>7.6</v>
      </c>
      <c r="T1085" s="2" t="n">
        <v>27</v>
      </c>
      <c r="U1085" s="2" t="inlineStr">
        <is>
          <t>low</t>
        </is>
      </c>
      <c r="V1085" s="5" t="n">
        <v>2.1</v>
      </c>
      <c r="W1085" s="2" t="inlineStr">
        <is>
          <t>low</t>
        </is>
      </c>
      <c r="X1085" s="3" t="inlineStr"/>
      <c r="Y1085" s="3" t="inlineStr">
        <is>
          <t>77% of this dish's available carbohydrate comes from ingredients with a published, measured GI; the rest uses conventional placeholders (see Ingredients sheet)</t>
        </is>
      </c>
      <c r="Z1085" s="2" t="n">
        <v>77</v>
      </c>
      <c r="AA1085" s="3" t="inlineStr">
        <is>
          <t>gluten-free, low-carb, high-protein, no-cook</t>
        </is>
      </c>
      <c r="AB1085" s="3" t="inlineStr">
        <is>
          <t>1. Shred the chicken and dice the apple and celery.
2. Mix with yogurt, lemon and mustard.
3. Fold in the walnuts and serve on the greens.</t>
        </is>
      </c>
      <c r="AC1085" s="4" t="inlineStr">
        <is>
          <t>["Shred the chicken and dice the apple and celery.", "Mix with yogurt, lemon and mustard.", "Fold in the walnuts and serve on the greens."]</t>
        </is>
      </c>
    </row>
    <row r="1086" ht="96" customHeight="1">
      <c r="A1086" s="2" t="inlineStr">
        <is>
          <t>DB-1085</t>
        </is>
      </c>
      <c r="B1086" s="3" t="inlineStr">
        <is>
          <t>Taco Salad with Ground Turkey</t>
        </is>
      </c>
      <c r="C1086" s="4" t="inlineStr">
        <is>
          <t>Salad</t>
        </is>
      </c>
      <c r="D1086" s="4" t="inlineStr">
        <is>
          <t>Tex-Mex</t>
        </is>
      </c>
      <c r="E1086" s="2" t="n">
        <v>4</v>
      </c>
      <c r="F1086" s="2" t="n">
        <v>15</v>
      </c>
      <c r="G1086" s="2" t="n">
        <v>12</v>
      </c>
      <c r="H1086" s="2" t="n">
        <v>27</v>
      </c>
      <c r="I1086" s="4" t="inlineStr">
        <is>
          <t>taco-salad-with-ground-turkey.jpg</t>
        </is>
      </c>
      <c r="J1086" s="3" t="inlineStr">
        <is>
          <t>Taco Salad with Ground Turkey, healthy food photography, plated, natural light</t>
        </is>
      </c>
      <c r="K1086" s="4" t="inlineStr"/>
      <c r="L1086" s="3" t="inlineStr">
        <is>
          <t>Ground turkey 93% lean — 450 g (15.9 oz)
Taco seasoning, low sodium — 12 g (0.4 oz)
Romaine lettuce — 250 g (8.8 oz)
Black beans, cooked — 150 g (5.3 oz)
Tomato — 150 g (5.3 oz)
Avocado — 100 g (3.5 oz)
Cheddar cheese — 50 g (1.8 oz)
Salsa, no sugar added — 100 g (3.5 oz)
Greek yogurt, plain 2% — 60 g (2.1 oz)
Extra-virgin olive oil — 10 g (0.4 oz)</t>
        </is>
      </c>
      <c r="M1086" s="4" t="inlineStr">
        <is>
          <t>[{"ingredient_id": "ground_turkey", "name": "Ground turkey 93% lean", "grams": 450.0, "note": ""}, {"ingredient_id": "taco_seasoning", "name": "Taco seasoning, low sodium", "grams": 12.0, "note": ""}, {"ingredient_id": "romaine", "name": "Romaine lettuce", "grams": 250.0, "note": ""}, {"ingredient_id": "black_beans", "name": "Black beans, cooked", "grams": 150.0, "note": ""}, {"ingredient_id": "tomato", "name": "Tomato", "grams": 150.0, "note": ""}, {"ingredient_id": "avocado", "name": "Avocado", "grams": 100.0, "note": ""}, {"ingredient_id": "cheddar", "name": "Cheddar cheese", "grams": 50.0, "note": ""}, {"ingredient_id": "salsa", "name": "Salsa, no sugar added", "grams": 100.0, "note": ""}, {"ingredient_id": "greek_yogurt", "name": "Greek yogurt, plain 2%", "grams": 60.0, "note": ""}, {"ingredient_id": "olive_oil", "name": "Extra-virgin olive oil", "grams": 10.0, "note": ""}]</t>
        </is>
      </c>
      <c r="N1086" s="2" t="n">
        <v>377</v>
      </c>
      <c r="O1086" s="5" t="n">
        <v>31</v>
      </c>
      <c r="P1086" s="5" t="n">
        <v>20.4</v>
      </c>
      <c r="Q1086" s="5" t="n">
        <v>18.7</v>
      </c>
      <c r="R1086" s="5" t="n">
        <v>7.8</v>
      </c>
      <c r="S1086" s="5" t="n">
        <v>10.9</v>
      </c>
      <c r="T1086" s="2" t="n">
        <v>24</v>
      </c>
      <c r="U1086" s="2" t="inlineStr">
        <is>
          <t>low</t>
        </is>
      </c>
      <c r="V1086" s="5" t="n">
        <v>2.6</v>
      </c>
      <c r="W1086" s="2" t="inlineStr">
        <is>
          <t>low</t>
        </is>
      </c>
      <c r="X1086" s="3" t="inlineStr"/>
      <c r="Y1086" s="3" t="inlineStr">
        <is>
          <t>57% of this dish's available carbohydrate comes from ingredients with a published, measured GI; the rest uses conventional placeholders (see Ingredients sheet)</t>
        </is>
      </c>
      <c r="Z1086" s="2" t="n">
        <v>57</v>
      </c>
      <c r="AA1086" s="3" t="inlineStr">
        <is>
          <t>gluten-free, nut-free, low-carb, high-protein, high-fiber</t>
        </is>
      </c>
      <c r="AB1086" s="3" t="inlineStr">
        <is>
          <t>1. Brown the turkey in oil with taco seasoning.
2. Arrange the romaine, beans and tomato in bowls.
3. Add the turkey, cheddar and avocado.
4. Top with salsa mixed with yogurt.</t>
        </is>
      </c>
      <c r="AC1086" s="4" t="inlineStr">
        <is>
          <t>["Brown the turkey in oil with taco seasoning.", "Arrange the romaine, beans and tomato in bowls.", "Add the turkey, cheddar and avocado.", "Top with salsa mixed with yogurt."]</t>
        </is>
      </c>
    </row>
    <row r="1087" ht="96" customHeight="1">
      <c r="A1087" s="2" t="inlineStr">
        <is>
          <t>DB-1086</t>
        </is>
      </c>
      <c r="B1087" s="3" t="inlineStr">
        <is>
          <t>Spinach Salad with Warm Bacon Dressing</t>
        </is>
      </c>
      <c r="C1087" s="4" t="inlineStr">
        <is>
          <t>Salad</t>
        </is>
      </c>
      <c r="D1087" s="4" t="inlineStr">
        <is>
          <t>American</t>
        </is>
      </c>
      <c r="E1087" s="2" t="n">
        <v>3</v>
      </c>
      <c r="F1087" s="2" t="n">
        <v>10</v>
      </c>
      <c r="G1087" s="2" t="n">
        <v>8</v>
      </c>
      <c r="H1087" s="2" t="n">
        <v>18</v>
      </c>
      <c r="I1087" s="4" t="inlineStr">
        <is>
          <t>spinach-salad-with-warm-bacon-dressing.jpg</t>
        </is>
      </c>
      <c r="J1087" s="3" t="inlineStr">
        <is>
          <t>Spinach Salad with Warm Bacon Dressing, healthy food photography, plated, natural light</t>
        </is>
      </c>
      <c r="K1087" s="4" t="inlineStr"/>
      <c r="L1087" s="3" t="inlineStr">
        <is>
          <t>Spinach — 200 g (7.1 oz)
Egg, large (50 g each) — 100 g (3.5 oz)
Bacon — 40 g (1.4 oz)
Red onion — 30 g (1.1 oz)
Mushrooms (cremini/white) — 100 g (3.5 oz)
Red wine vinegar — 20 g (0.7 oz)
Dijon mustard — 5 g (0.2 oz)
Extra-virgin olive oil — 10 g (0.4 oz)</t>
        </is>
      </c>
      <c r="M1087" s="4" t="inlineStr">
        <is>
          <t>[{"ingredient_id": "spinach", "name": "Spinach", "grams": 200.0, "note": ""}, {"ingredient_id": "egg", "name": "Egg, large (50 g each)", "grams": 100.0, "note": ""}, {"ingredient_id": "bacon", "name": "Bacon", "grams": 40.0, "note": ""}, {"ingredient_id": "red_onion", "name": "Red onion", "grams": 30.0, "note": ""}, {"ingredient_id": "mushrooms", "name": "Mushrooms (cremini/white)", "grams": 100.0, "note": ""}, {"ingredient_id": "red_wine_vinegar", "name": "Red wine vinegar", "grams": 20.0, "note": ""}, {"ingredient_id": "dijon", "name": "Dijon mustard", "grams": 5.0, "note": ""}, {"ingredient_id": "olive_oil", "name": "Extra-virgin olive oil", "grams": 10.0, "note": ""}]</t>
        </is>
      </c>
      <c r="N1087" s="2" t="n">
        <v>178</v>
      </c>
      <c r="O1087" s="5" t="n">
        <v>12.3</v>
      </c>
      <c r="P1087" s="5" t="n">
        <v>12.5</v>
      </c>
      <c r="Q1087" s="5" t="n">
        <v>5</v>
      </c>
      <c r="R1087" s="5" t="n">
        <v>2</v>
      </c>
      <c r="S1087" s="5" t="n">
        <v>2.9</v>
      </c>
      <c r="T1087" s="2" t="n">
        <v>13</v>
      </c>
      <c r="U1087" s="2" t="inlineStr">
        <is>
          <t>low</t>
        </is>
      </c>
      <c r="V1087" s="5" t="n">
        <v>0.4</v>
      </c>
      <c r="W1087" s="2" t="inlineStr">
        <is>
          <t>low</t>
        </is>
      </c>
      <c r="X1087" s="3" t="inlineStr">
        <is>
          <t>Negligible carbohydrate (&lt;5 g net/serving): GI has little practical meaning, glycemic load is what matters.</t>
        </is>
      </c>
      <c r="Y1087" s="3" t="inlineStr">
        <is>
          <t>0% of this dish's available carbohydrate comes from ingredients with a published, measured GI; the rest uses conventional placeholders (see Ingredients sheet)</t>
        </is>
      </c>
      <c r="Z1087" s="2" t="n">
        <v>0</v>
      </c>
      <c r="AA1087" s="3" t="inlineStr">
        <is>
          <t>gluten-free, dairy-free, nut-free, low-carb</t>
        </is>
      </c>
      <c r="AB1087" s="3" t="inlineStr">
        <is>
          <t>1. Crisp the bacon and keep a spoonful of fat.
2. Whisk in vinegar, mustard and oil for a warm dressing.
3. Toss with the spinach, mushrooms and onion.
4. Top with sliced boiled egg and bacon.</t>
        </is>
      </c>
      <c r="AC1087" s="4" t="inlineStr">
        <is>
          <t>["Crisp the bacon and keep a spoonful of fat.", "Whisk in vinegar, mustard and oil for a warm dressing.", "Toss with the spinach, mushrooms and onion.", "Top with sliced boiled egg and bacon."]</t>
        </is>
      </c>
    </row>
    <row r="1088" ht="96" customHeight="1">
      <c r="A1088" s="2" t="inlineStr">
        <is>
          <t>DB-1087</t>
        </is>
      </c>
      <c r="B1088" s="3" t="inlineStr">
        <is>
          <t>West Coast Shrimp Louie Salad</t>
        </is>
      </c>
      <c r="C1088" s="4" t="inlineStr">
        <is>
          <t>Salad</t>
        </is>
      </c>
      <c r="D1088" s="4" t="inlineStr">
        <is>
          <t>American</t>
        </is>
      </c>
      <c r="E1088" s="2" t="n">
        <v>3</v>
      </c>
      <c r="F1088" s="2" t="n">
        <v>15</v>
      </c>
      <c r="G1088" s="2" t="n">
        <v>4</v>
      </c>
      <c r="H1088" s="2" t="n">
        <v>19</v>
      </c>
      <c r="I1088" s="4" t="inlineStr">
        <is>
          <t>west-coast-shrimp-louie-salad.jpg</t>
        </is>
      </c>
      <c r="J1088" s="3" t="inlineStr">
        <is>
          <t>West Coast Shrimp Louie Salad, healthy food photography, plated, natural light</t>
        </is>
      </c>
      <c r="K1088" s="4" t="inlineStr"/>
      <c r="L1088" s="3" t="inlineStr">
        <is>
          <t>Shrimp, peeled — 300 g (10.6 oz)
Romaine lettuce — 200 g (7.1 oz)
Avocado — 100 g (3.5 oz)
Cherry tomatoes — 120 g (4.2 oz)
Egg, large (50 g each) — 100 g (3.5 oz)
Greek yogurt, plain 2% — 60 g (2.1 oz)
Tomato paste — 10 g (0.4 oz)
Lemon juice — 10 g (0.4 oz)</t>
        </is>
      </c>
      <c r="M1088" s="4" t="inlineStr">
        <is>
          <t>[{"ingredient_id": "shrimp", "name": "Shrimp, peeled", "grams": 300.0, "note": ""}, {"ingredient_id": "romaine", "name": "Romaine lettuce", "grams": 200.0, "note": ""}, {"ingredient_id": "avocado", "name": "Avocado", "grams": 100.0, "note": ""}, {"ingredient_id": "cherry_tomato", "name": "Cherry tomatoes", "grams": 120.0, "note": ""}, {"ingredient_id": "egg", "name": "Egg, large (50 g each)", "grams": 100.0, "note": ""}, {"ingredient_id": "greek_yogurt", "name": "Greek yogurt, plain 2%", "grams": 60.0, "note": ""}, {"ingredient_id": "tomato_paste", "name": "Tomato paste", "grams": 10.0, "note": ""}, {"ingredient_id": "lemon_juice", "name": "Lemon juice", "grams": 10.0, "note": ""}]</t>
        </is>
      </c>
      <c r="N1088" s="2" t="n">
        <v>223</v>
      </c>
      <c r="O1088" s="5" t="n">
        <v>28.2</v>
      </c>
      <c r="P1088" s="5" t="n">
        <v>9.4</v>
      </c>
      <c r="Q1088" s="5" t="n">
        <v>8.5</v>
      </c>
      <c r="R1088" s="5" t="n">
        <v>4.3</v>
      </c>
      <c r="S1088" s="5" t="n">
        <v>4.2</v>
      </c>
      <c r="T1088" s="2" t="n">
        <v>16</v>
      </c>
      <c r="U1088" s="2" t="inlineStr">
        <is>
          <t>low</t>
        </is>
      </c>
      <c r="V1088" s="5" t="n">
        <v>0.7</v>
      </c>
      <c r="W1088" s="2" t="inlineStr">
        <is>
          <t>low</t>
        </is>
      </c>
      <c r="X1088" s="3" t="inlineStr">
        <is>
          <t>Negligible carbohydrate (&lt;5 g net/serving): GI has little practical meaning, glycemic load is what matters.</t>
        </is>
      </c>
      <c r="Y1088" s="3" t="inlineStr">
        <is>
          <t>19% of this dish's available carbohydrate comes from ingredients with a published, measured GI; the rest uses conventional placeholders (see Ingredients sheet)</t>
        </is>
      </c>
      <c r="Z1088" s="2" t="n">
        <v>19</v>
      </c>
      <c r="AA1088" s="3" t="inlineStr">
        <is>
          <t>pescatarian, gluten-free, nut-free, low-carb, high-protein</t>
        </is>
      </c>
      <c r="AB1088" s="3" t="inlineStr">
        <is>
          <t>1. Poach the shrimp 3 minutes and cool.
2. Arrange the romaine, avocado, tomatoes and sliced eggs.
3. Stir the yogurt, tomato paste and lemon for a pink dressing.
4. Top with shrimp.</t>
        </is>
      </c>
      <c r="AC1088" s="4" t="inlineStr">
        <is>
          <t>["Poach the shrimp 3 minutes and cool.", "Arrange the romaine, avocado, tomatoes and sliced eggs.", "Stir the yogurt, tomato paste and lemon for a pink dressing.", "Top with shrimp."]</t>
        </is>
      </c>
    </row>
    <row r="1089" ht="96" customHeight="1">
      <c r="A1089" s="2" t="inlineStr">
        <is>
          <t>DB-1088</t>
        </is>
      </c>
      <c r="B1089" s="3" t="inlineStr">
        <is>
          <t>Southwest Chicken Chopped Salad</t>
        </is>
      </c>
      <c r="C1089" s="4" t="inlineStr">
        <is>
          <t>Salad</t>
        </is>
      </c>
      <c r="D1089" s="4" t="inlineStr">
        <is>
          <t>Tex-Mex</t>
        </is>
      </c>
      <c r="E1089" s="2" t="n">
        <v>4</v>
      </c>
      <c r="F1089" s="2" t="n">
        <v>15</v>
      </c>
      <c r="G1089" s="2" t="n">
        <v>10</v>
      </c>
      <c r="H1089" s="2" t="n">
        <v>25</v>
      </c>
      <c r="I1089" s="4" t="inlineStr">
        <is>
          <t>southwest-chicken-chopped-salad.jpg</t>
        </is>
      </c>
      <c r="J1089" s="3" t="inlineStr">
        <is>
          <t>Southwest Chicken Chopped Salad, healthy food photography, plated, natural light</t>
        </is>
      </c>
      <c r="K1089" s="4" t="inlineStr"/>
      <c r="L1089" s="3" t="inlineStr">
        <is>
          <t>Chicken breast, skinless — 450 g (15.9 oz)
Romaine lettuce — 200 g (7.1 oz)
Sweet corn kernels — 80 g (2.8 oz)
Black beans, cooked — 120 g (4.2 oz)
Cherry tomatoes — 120 g (4.2 oz)
Avocado — 100 g (3.5 oz)
Lime juice — 25 g (0.9 oz)
Chili powder — 3 g (0.1 oz)
Ground cumin — 2 g (0.1 oz)
Extra-virgin olive oil — 25 g (0.9 oz)
Fresh cilantro — 6 g (0.2 oz)</t>
        </is>
      </c>
      <c r="M1089" s="4" t="inlineStr">
        <is>
          <t>[{"ingredient_id": "chicken_breast", "name": "Chicken breast, skinless", "grams": 450.0, "note": ""}, {"ingredient_id": "romaine", "name": "Romaine lettuce", "grams": 200.0, "note": ""}, {"ingredient_id": "corn", "name": "Sweet corn kernels", "grams": 80.0, "note": ""}, {"ingredient_id": "black_beans", "name": "Black beans, cooked", "grams": 120.0, "note": ""}, {"ingredient_id": "cherry_tomato", "name": "Cherry tomatoes", "grams": 120.0, "note": ""}, {"ingredient_id": "avocado", "name": "Avocado", "grams": 100.0, "note": ""}, {"ingredient_id": "lime_juice", "name": "Lime juice", "grams": 25.0, "note": ""}, {"ingredient_id": "chili_powder", "name": "Chili powder", "grams": 3.0, "note": ""}, {"ingredient_id": "cumin", "name": "Ground cumin", "grams": 2.0, "note": ""}, {"ingredient_id": "olive_oil", "name": "Extra-virgin olive oil", "grams": 25.0, "note": ""}, {"ingredient_id": "cilantro", "name": "Fresh cilantro", "grams": 6.0, "note": ""}]</t>
        </is>
      </c>
      <c r="N1089" s="2" t="n">
        <v>307</v>
      </c>
      <c r="O1089" s="5" t="n">
        <v>30.3</v>
      </c>
      <c r="P1089" s="5" t="n">
        <v>13.8</v>
      </c>
      <c r="Q1089" s="5" t="n">
        <v>17</v>
      </c>
      <c r="R1089" s="5" t="n">
        <v>6.6</v>
      </c>
      <c r="S1089" s="5" t="n">
        <v>10.4</v>
      </c>
      <c r="T1089" s="2" t="n">
        <v>33</v>
      </c>
      <c r="U1089" s="2" t="inlineStr">
        <is>
          <t>low</t>
        </is>
      </c>
      <c r="V1089" s="5" t="n">
        <v>3.4</v>
      </c>
      <c r="W1089" s="2" t="inlineStr">
        <is>
          <t>low</t>
        </is>
      </c>
      <c r="X1089" s="3" t="inlineStr"/>
      <c r="Y1089" s="3" t="inlineStr">
        <is>
          <t>75% of this dish's available carbohydrate comes from ingredients with a published, measured GI; the rest uses conventional placeholders (see Ingredients sheet)</t>
        </is>
      </c>
      <c r="Z1089" s="2" t="n">
        <v>75</v>
      </c>
      <c r="AA1089" s="3" t="inlineStr">
        <is>
          <t>gluten-free, dairy-free, nut-free, low-carb, high-protein</t>
        </is>
      </c>
      <c r="AB1089" s="3" t="inlineStr">
        <is>
          <t>1. Season the chicken with chili powder and cumin and grill; slice.
2. Chop the romaine and combine with corn, beans, tomatoes and avocado.
3. Whisk the lime juice and oil and toss with the chicken and cilantro.</t>
        </is>
      </c>
      <c r="AC1089" s="4" t="inlineStr">
        <is>
          <t>["Season the chicken with chili powder and cumin and grill; slice.", "Chop the romaine and combine with corn, beans, tomatoes and avocado.", "Whisk the lime juice and oil and toss with the chicken and cilantro."]</t>
        </is>
      </c>
    </row>
    <row r="1090" ht="96" customHeight="1">
      <c r="A1090" s="2" t="inlineStr">
        <is>
          <t>DB-1089</t>
        </is>
      </c>
      <c r="B1090" s="3" t="inlineStr">
        <is>
          <t>Buffalo Cauliflower Bites with Yogurt Dill Dip</t>
        </is>
      </c>
      <c r="C1090" s="4" t="inlineStr">
        <is>
          <t>Snack &amp; Appetizer</t>
        </is>
      </c>
      <c r="D1090" s="4" t="inlineStr">
        <is>
          <t>American</t>
        </is>
      </c>
      <c r="E1090" s="2" t="n">
        <v>4</v>
      </c>
      <c r="F1090" s="2" t="n">
        <v>10</v>
      </c>
      <c r="G1090" s="2" t="n">
        <v>25</v>
      </c>
      <c r="H1090" s="2" t="n">
        <v>35</v>
      </c>
      <c r="I1090" s="4" t="inlineStr">
        <is>
          <t>buffalo-cauliflower-bites-with-yogurt-dill-dip.jpg</t>
        </is>
      </c>
      <c r="J1090" s="3" t="inlineStr">
        <is>
          <t>Buffalo Cauliflower Bites with Yogurt Dill Dip, healthy food photography, plated, natural light</t>
        </is>
      </c>
      <c r="K1090" s="4" t="inlineStr"/>
      <c r="L1090" s="3" t="inlineStr">
        <is>
          <t>Cauliflower — 500 g (17.6 oz)
Almond flour — 40 g (1.4 oz)
Hot sauce (Tabasco/Frank's) — 40 g (1.4 oz)
Extra-virgin olive oil — 20 g (0.7 oz)
Garlic powder — 3 g (0.1 oz)
Greek yogurt, plain 2% — 80 g (2.8 oz)
Fresh dill — 3 g (0.1 oz)
Celery — 60 g (2.1 oz)</t>
        </is>
      </c>
      <c r="M1090" s="4" t="inlineStr">
        <is>
          <t>[{"ingredient_id": "cauliflower", "name": "Cauliflower", "grams": 500.0, "note": ""}, {"ingredient_id": "almond_flour", "name": "Almond flour", "grams": 40.0, "note": ""}, {"ingredient_id": "hot_sauce", "name": "Hot sauce (Tabasco/Frank's)", "grams": 40.0, "note": ""}, {"ingredient_id": "olive_oil", "name": "Extra-virgin olive oil", "grams": 20.0, "note": ""}, {"ingredient_id": "garlic_powder", "name": "Garlic powder", "grams": 3.0, "note": ""}, {"ingredient_id": "greek_yogurt", "name": "Greek yogurt, plain 2%", "grams": 80.0, "note": ""}, {"ingredient_id": "dill", "name": "Fresh dill", "grams": 3.0, "note": ""}, {"ingredient_id": "celery", "name": "Celery", "grams": 60.0, "note": ""}]</t>
        </is>
      </c>
      <c r="N1090" s="2" t="n">
        <v>155</v>
      </c>
      <c r="O1090" s="5" t="n">
        <v>6.8</v>
      </c>
      <c r="P1090" s="5" t="n">
        <v>10.9</v>
      </c>
      <c r="Q1090" s="5" t="n">
        <v>10.4</v>
      </c>
      <c r="R1090" s="5" t="n">
        <v>4.1</v>
      </c>
      <c r="S1090" s="5" t="n">
        <v>6.3</v>
      </c>
      <c r="T1090" s="2" t="n">
        <v>14</v>
      </c>
      <c r="U1090" s="2" t="inlineStr">
        <is>
          <t>low</t>
        </is>
      </c>
      <c r="V1090" s="5" t="n">
        <v>0.9</v>
      </c>
      <c r="W1090" s="2" t="inlineStr">
        <is>
          <t>low</t>
        </is>
      </c>
      <c r="X1090" s="3" t="inlineStr"/>
      <c r="Y1090" s="3" t="inlineStr">
        <is>
          <t>13% of this dish's available carbohydrate comes from ingredients with a published, measured GI; the rest uses conventional placeholders (see Ingredients sheet)</t>
        </is>
      </c>
      <c r="Z1090" s="2" t="n">
        <v>13</v>
      </c>
      <c r="AA1090" s="3" t="inlineStr">
        <is>
          <t>vegetarian, gluten-free, low-carb</t>
        </is>
      </c>
      <c r="AB1090" s="3" t="inlineStr">
        <is>
          <t>1. Toss the florets with almond flour, oil and garlic powder and roast at 450°F for 20 minutes.
2. Toss with hot sauce.
3. Stir the yogurt with dill and serve with celery sticks.</t>
        </is>
      </c>
      <c r="AC1090" s="4" t="inlineStr">
        <is>
          <t>["Toss the florets with almond flour, oil and garlic powder and roast at 450°F for 20 minutes.", "Toss with hot sauce.", "Stir the yogurt with dill and serve with celery sticks."]</t>
        </is>
      </c>
    </row>
    <row r="1091" ht="96" customHeight="1">
      <c r="A1091" s="2" t="inlineStr">
        <is>
          <t>DB-1090</t>
        </is>
      </c>
      <c r="B1091" s="3" t="inlineStr">
        <is>
          <t>Deviled Eggs with Paprika</t>
        </is>
      </c>
      <c r="C1091" s="4" t="inlineStr">
        <is>
          <t>Snack &amp; Appetizer</t>
        </is>
      </c>
      <c r="D1091" s="4" t="inlineStr">
        <is>
          <t>American</t>
        </is>
      </c>
      <c r="E1091" s="2" t="n">
        <v>6</v>
      </c>
      <c r="F1091" s="2" t="n">
        <v>15</v>
      </c>
      <c r="G1091" s="2" t="n">
        <v>12</v>
      </c>
      <c r="H1091" s="2" t="n">
        <v>27</v>
      </c>
      <c r="I1091" s="4" t="inlineStr">
        <is>
          <t>deviled-eggs-with-paprika.jpg</t>
        </is>
      </c>
      <c r="J1091" s="3" t="inlineStr">
        <is>
          <t>Deviled Eggs with Paprika, healthy food photography, plated, natural light</t>
        </is>
      </c>
      <c r="K1091" s="4" t="inlineStr"/>
      <c r="L1091" s="3" t="inlineStr">
        <is>
          <t>Egg, large (50 g each) — 360 g (12.7 oz)
Greek yogurt, plain 2% — 50 g (1.8 oz)
Dijon mustard — 10 g (0.4 oz)
Paprika — 1 g (0.0 oz)
Fresh chives — 4 g (0.1 oz)
Salt — 1 g (0.0 oz)</t>
        </is>
      </c>
      <c r="M1091" s="4" t="inlineStr">
        <is>
          <t>[{"ingredient_id": "egg", "name": "Egg, large (50 g each)", "grams": 360.0, "note": ""}, {"ingredient_id": "greek_yogurt", "name": "Greek yogurt, plain 2%", "grams": 50.0, "note": ""}, {"ingredient_id": "dijon", "name": "Dijon mustard", "grams": 10.0, "note": ""}, {"ingredient_id": "paprika", "name": "Paprika", "grams": 1.0, "note": ""}, {"ingredient_id": "chives", "name": "Fresh chives", "grams": 4.0, "note": ""}, {"ingredient_id": "salt", "name": "Salt", "grams": 1.0, "note": ""}]</t>
        </is>
      </c>
      <c r="N1091" s="2" t="n">
        <v>94</v>
      </c>
      <c r="O1091" s="5" t="n">
        <v>8.5</v>
      </c>
      <c r="P1091" s="5" t="n">
        <v>5.9</v>
      </c>
      <c r="Q1091" s="5" t="n">
        <v>1</v>
      </c>
      <c r="R1091" s="5" t="n">
        <v>0.1</v>
      </c>
      <c r="S1091" s="5" t="n">
        <v>0.8</v>
      </c>
      <c r="T1091" s="2" t="n">
        <v>6</v>
      </c>
      <c r="U1091" s="2" t="inlineStr">
        <is>
          <t>low</t>
        </is>
      </c>
      <c r="V1091" s="5" t="n">
        <v>0</v>
      </c>
      <c r="W1091" s="2" t="inlineStr">
        <is>
          <t>low</t>
        </is>
      </c>
      <c r="X1091" s="3" t="inlineStr">
        <is>
          <t>Negligible carbohydrate (&lt;5 g net/serving): GI has little practical meaning, glycemic load is what matters.</t>
        </is>
      </c>
      <c r="Y1091" s="3" t="inlineStr">
        <is>
          <t>40% of this dish's available carbohydrate comes from ingredients with a published, measured GI; the rest uses conventional placeholders (see Ingredients sheet)</t>
        </is>
      </c>
      <c r="Z1091" s="2" t="n">
        <v>40</v>
      </c>
      <c r="AA1091" s="3" t="inlineStr">
        <is>
          <t>vegetarian, gluten-free, nut-free, low-carb</t>
        </is>
      </c>
      <c r="AB1091" s="3" t="inlineStr">
        <is>
          <t>1. Hard-boil the eggs, cool and halve.
2. Mash the yolks with yogurt, mustard and salt.
3. Pipe or spoon back into the whites.
4. Dust with paprika and chives.</t>
        </is>
      </c>
      <c r="AC1091" s="4" t="inlineStr">
        <is>
          <t>["Hard-boil the eggs, cool and halve.", "Mash the yolks with yogurt, mustard and salt.", "Pipe or spoon back into the whites.", "Dust with paprika and chives."]</t>
        </is>
      </c>
    </row>
    <row r="1092" ht="96" customHeight="1">
      <c r="A1092" s="2" t="inlineStr">
        <is>
          <t>DB-1091</t>
        </is>
      </c>
      <c r="B1092" s="3" t="inlineStr">
        <is>
          <t>Guacamole with Veggie Dippers</t>
        </is>
      </c>
      <c r="C1092" s="4" t="inlineStr">
        <is>
          <t>Snack &amp; Appetizer</t>
        </is>
      </c>
      <c r="D1092" s="4" t="inlineStr">
        <is>
          <t>Tex-Mex</t>
        </is>
      </c>
      <c r="E1092" s="2" t="n">
        <v>4</v>
      </c>
      <c r="F1092" s="2" t="n">
        <v>10</v>
      </c>
      <c r="G1092" s="2" t="n">
        <v>0</v>
      </c>
      <c r="H1092" s="2" t="n">
        <v>10</v>
      </c>
      <c r="I1092" s="4" t="inlineStr">
        <is>
          <t>guacamole-with-veggie-dippers.jpg</t>
        </is>
      </c>
      <c r="J1092" s="3" t="inlineStr">
        <is>
          <t>Guacamole with Veggie Dippers, healthy food photography, plated, natural light</t>
        </is>
      </c>
      <c r="K1092" s="4" t="inlineStr"/>
      <c r="L1092" s="3" t="inlineStr">
        <is>
          <t>Avocado — 300 g (10.6 oz)
Lime juice — 20 g (0.7 oz)
Red onion — 30 g (1.1 oz)
Tomato — 60 g (2.1 oz)
Fresh cilantro — 8 g (0.3 oz)
Jalapeño — 8 g (0.3 oz)
Cucumber — 150 g (5.3 oz)
Bell pepper — 150 g (5.3 oz)
Salt — 2 g (0.1 oz)</t>
        </is>
      </c>
      <c r="M1092" s="4" t="inlineStr">
        <is>
          <t>[{"ingredient_id": "avocado", "name": "Avocado", "grams": 300.0, "note": ""}, {"ingredient_id": "lime_juice", "name": "Lime juice", "grams": 20.0, "note": ""}, {"ingredient_id": "red_onion", "name": "Red onion", "grams": 30.0, "note": ""}, {"ingredient_id": "tomato", "name": "Tomato", "grams": 60.0, "note": ""}, {"ingredient_id": "cilantro", "name": "Fresh cilantro", "grams": 8.0, "note": ""}, {"ingredient_id": "jalapeno", "name": "Jalapeño", "grams": 8.0, "note": ""}, {"ingredient_id": "cucumber", "name": "Cucumber", "grams": 150.0, "note": ""}, {"ingredient_id": "bell_pepper", "name": "Bell pepper", "grams": 150.0, "note": ""}, {"ingredient_id": "salt", "name": "Salt", "grams": 2.0, "note": ""}]</t>
        </is>
      </c>
      <c r="N1092" s="2" t="n">
        <v>145</v>
      </c>
      <c r="O1092" s="5" t="n">
        <v>2.4</v>
      </c>
      <c r="P1092" s="5" t="n">
        <v>11.5</v>
      </c>
      <c r="Q1092" s="5" t="n">
        <v>11.9</v>
      </c>
      <c r="R1092" s="5" t="n">
        <v>6.4</v>
      </c>
      <c r="S1092" s="5" t="n">
        <v>5.4</v>
      </c>
      <c r="T1092" s="2" t="n">
        <v>15</v>
      </c>
      <c r="U1092" s="2" t="inlineStr">
        <is>
          <t>low</t>
        </is>
      </c>
      <c r="V1092" s="5" t="n">
        <v>0.8</v>
      </c>
      <c r="W1092" s="2" t="inlineStr">
        <is>
          <t>low</t>
        </is>
      </c>
      <c r="X1092" s="3" t="inlineStr"/>
      <c r="Y1092" s="3" t="inlineStr">
        <is>
          <t>0% of this dish's available carbohydrate comes from ingredients with a published, measured GI; the rest uses conventional placeholders (see Ingredients sheet)</t>
        </is>
      </c>
      <c r="Z1092" s="2" t="n">
        <v>0</v>
      </c>
      <c r="AA1092" s="3" t="inlineStr">
        <is>
          <t>vegan, gluten-free, dairy-free, nut-free, low-carb, no-cook</t>
        </is>
      </c>
      <c r="AB1092" s="3" t="inlineStr">
        <is>
          <t>1. Mash the avocado with lime juice and salt.
2. Fold in the onion, tomato, cilantro and jalapeno.
3. Serve with cucumber and pepper strips.</t>
        </is>
      </c>
      <c r="AC1092" s="4" t="inlineStr">
        <is>
          <t>["Mash the avocado with lime juice and salt.", "Fold in the onion, tomato, cilantro and jalapeno.", "Serve with cucumber and pepper strips."]</t>
        </is>
      </c>
    </row>
    <row r="1093" ht="96" customHeight="1">
      <c r="A1093" s="2" t="inlineStr">
        <is>
          <t>DB-1092</t>
        </is>
      </c>
      <c r="B1093" s="3" t="inlineStr">
        <is>
          <t>Baked Zucchini Chips</t>
        </is>
      </c>
      <c r="C1093" s="4" t="inlineStr">
        <is>
          <t>Snack &amp; Appetizer</t>
        </is>
      </c>
      <c r="D1093" s="4" t="inlineStr">
        <is>
          <t>American</t>
        </is>
      </c>
      <c r="E1093" s="2" t="n">
        <v>4</v>
      </c>
      <c r="F1093" s="2" t="n">
        <v>10</v>
      </c>
      <c r="G1093" s="2" t="n">
        <v>30</v>
      </c>
      <c r="H1093" s="2" t="n">
        <v>40</v>
      </c>
      <c r="I1093" s="4" t="inlineStr">
        <is>
          <t>baked-zucchini-chips.jpg</t>
        </is>
      </c>
      <c r="J1093" s="3" t="inlineStr">
        <is>
          <t>Baked Zucchini Chips, healthy food photography, plated, natural light</t>
        </is>
      </c>
      <c r="K1093" s="4" t="inlineStr"/>
      <c r="L1093" s="3" t="inlineStr">
        <is>
          <t>Zucchini — 450 g (15.9 oz)
Parmesan, grated — 40 g (1.4 oz)
Almond flour — 30 g (1.1 oz)
Egg, large (50 g each) — 50 g (1.8 oz)
Garlic powder — 2 g (0.1 oz)
Extra-virgin olive oil — 10 g (0.4 oz)</t>
        </is>
      </c>
      <c r="M1093" s="4" t="inlineStr">
        <is>
          <t>[{"ingredient_id": "zucchini", "name": "Zucchini", "grams": 450.0, "note": ""}, {"ingredient_id": "parmesan", "name": "Parmesan, grated", "grams": 40.0, "note": ""}, {"ingredient_id": "almond_flour", "name": "Almond flour", "grams": 30.0, "note": ""}, {"ingredient_id": "egg", "name": "Egg, large (50 g each)", "grams": 50.0, "note": ""}, {"ingredient_id": "garlic_powder", "name": "Garlic powder", "grams": 2.0, "note": ""}, {"ingredient_id": "olive_oil", "name": "Extra-virgin olive oil", "grams": 10.0, "note": ""}]</t>
        </is>
      </c>
      <c r="N1093" s="2" t="n">
        <v>148</v>
      </c>
      <c r="O1093" s="5" t="n">
        <v>8.4</v>
      </c>
      <c r="P1093" s="5" t="n">
        <v>10.7</v>
      </c>
      <c r="Q1093" s="5" t="n">
        <v>5.9</v>
      </c>
      <c r="R1093" s="5" t="n">
        <v>2.1</v>
      </c>
      <c r="S1093" s="5" t="n">
        <v>3.8</v>
      </c>
      <c r="T1093" s="2" t="n">
        <v>13</v>
      </c>
      <c r="U1093" s="2" t="inlineStr">
        <is>
          <t>low</t>
        </is>
      </c>
      <c r="V1093" s="5" t="n">
        <v>0.5</v>
      </c>
      <c r="W1093" s="2" t="inlineStr">
        <is>
          <t>low</t>
        </is>
      </c>
      <c r="X1093" s="3" t="inlineStr">
        <is>
          <t>Negligible carbohydrate (&lt;5 g net/serving): GI has little practical meaning, glycemic load is what matters.</t>
        </is>
      </c>
      <c r="Y1093" s="3" t="inlineStr">
        <is>
          <t>0% of this dish's available carbohydrate comes from ingredients with a published, measured GI; the rest uses conventional placeholders (see Ingredients sheet)</t>
        </is>
      </c>
      <c r="Z1093" s="2" t="n">
        <v>0</v>
      </c>
      <c r="AA1093" s="3" t="inlineStr">
        <is>
          <t>vegetarian, gluten-free, low-carb</t>
        </is>
      </c>
      <c r="AB1093" s="3" t="inlineStr">
        <is>
          <t>1. Slice the zucchini thin.
2. Dip in egg, then a mix of parmesan, almond flour and garlic powder.
3. Bake on an oiled tray at 425°F for 25 to 30 minutes.</t>
        </is>
      </c>
      <c r="AC1093" s="4" t="inlineStr">
        <is>
          <t>["Slice the zucchini thin.", "Dip in egg, then a mix of parmesan, almond flour and garlic powder.", "Bake on an oiled tray at 425°F for 25 to 30 minutes."]</t>
        </is>
      </c>
    </row>
    <row r="1094" ht="96" customHeight="1">
      <c r="A1094" s="2" t="inlineStr">
        <is>
          <t>DB-1093</t>
        </is>
      </c>
      <c r="B1094" s="3" t="inlineStr">
        <is>
          <t>Chicken Salad Cucumber Cups</t>
        </is>
      </c>
      <c r="C1094" s="4" t="inlineStr">
        <is>
          <t>Snack &amp; Appetizer</t>
        </is>
      </c>
      <c r="D1094" s="4" t="inlineStr">
        <is>
          <t>American</t>
        </is>
      </c>
      <c r="E1094" s="2" t="n">
        <v>4</v>
      </c>
      <c r="F1094" s="2" t="n">
        <v>15</v>
      </c>
      <c r="G1094" s="2" t="n">
        <v>0</v>
      </c>
      <c r="H1094" s="2" t="n">
        <v>15</v>
      </c>
      <c r="I1094" s="4" t="inlineStr">
        <is>
          <t>chicken-salad-cucumber-cups.jpg</t>
        </is>
      </c>
      <c r="J1094" s="3" t="inlineStr">
        <is>
          <t>Chicken Salad Cucumber Cups, healthy food photography, plated, natural light</t>
        </is>
      </c>
      <c r="K1094" s="4" t="inlineStr"/>
      <c r="L1094" s="3" t="inlineStr">
        <is>
          <t>Rotisserie chicken, skin removed — 200 g (7.1 oz)
Cucumber — 300 g (10.6 oz)
Greek yogurt, plain 2% — 60 g (2.1 oz)
Celery — 30 g (1.1 oz)
Dijon mustard — 5 g (0.2 oz)
Fresh dill — 3 g (0.1 oz)</t>
        </is>
      </c>
      <c r="M1094" s="4" t="inlineStr">
        <is>
          <t>[{"ingredient_id": "rotisserie_chicken", "name": "Rotisserie chicken, skin removed", "grams": 200.0, "note": ""}, {"ingredient_id": "cucumber", "name": "Cucumber", "grams": 300.0, "note": ""}, {"ingredient_id": "greek_yogurt", "name": "Greek yogurt, plain 2%", "grams": 60.0, "note": ""}, {"ingredient_id": "celery", "name": "Celery", "grams": 30.0, "note": ""}, {"ingredient_id": "dijon", "name": "Dijon mustard", "grams": 5.0, "note": ""}, {"ingredient_id": "dill", "name": "Fresh dill", "grams": 3.0, "note": ""}]</t>
        </is>
      </c>
      <c r="N1094" s="2" t="n">
        <v>105</v>
      </c>
      <c r="O1094" s="5" t="n">
        <v>13.7</v>
      </c>
      <c r="P1094" s="5" t="n">
        <v>3.9</v>
      </c>
      <c r="Q1094" s="5" t="n">
        <v>3.6</v>
      </c>
      <c r="R1094" s="5" t="n">
        <v>0.5</v>
      </c>
      <c r="S1094" s="5" t="n">
        <v>3.1</v>
      </c>
      <c r="T1094" s="2" t="n">
        <v>14</v>
      </c>
      <c r="U1094" s="2" t="inlineStr">
        <is>
          <t>low</t>
        </is>
      </c>
      <c r="V1094" s="5" t="n">
        <v>0.4</v>
      </c>
      <c r="W1094" s="2" t="inlineStr">
        <is>
          <t>low</t>
        </is>
      </c>
      <c r="X1094" s="3" t="inlineStr">
        <is>
          <t>Negligible carbohydrate (&lt;5 g net/serving): GI has little practical meaning, glycemic load is what matters.</t>
        </is>
      </c>
      <c r="Y1094" s="3" t="inlineStr">
        <is>
          <t>19% of this dish's available carbohydrate comes from ingredients with a published, measured GI; the rest uses conventional placeholders (see Ingredients sheet)</t>
        </is>
      </c>
      <c r="Z1094" s="2" t="n">
        <v>19</v>
      </c>
      <c r="AA1094" s="3" t="inlineStr">
        <is>
          <t>gluten-free, nut-free, low-carb, no-cook</t>
        </is>
      </c>
      <c r="AB1094" s="3" t="inlineStr">
        <is>
          <t>1. Cut the cucumbers into thick rounds and scoop a shallow well.
2. Mix the chicken, yogurt, celery, mustard and dill.
3. Fill the cups.</t>
        </is>
      </c>
      <c r="AC1094" s="4" t="inlineStr">
        <is>
          <t>["Cut the cucumbers into thick rounds and scoop a shallow well.", "Mix the chicken, yogurt, celery, mustard and dill.", "Fill the cups."]</t>
        </is>
      </c>
    </row>
    <row r="1095" ht="96" customHeight="1">
      <c r="A1095" s="2" t="inlineStr">
        <is>
          <t>DB-1094</t>
        </is>
      </c>
      <c r="B1095" s="3" t="inlineStr">
        <is>
          <t>Spinach Artichoke Dip with Veggies</t>
        </is>
      </c>
      <c r="C1095" s="4" t="inlineStr">
        <is>
          <t>Snack &amp; Appetizer</t>
        </is>
      </c>
      <c r="D1095" s="4" t="inlineStr">
        <is>
          <t>American</t>
        </is>
      </c>
      <c r="E1095" s="2" t="n">
        <v>6</v>
      </c>
      <c r="F1095" s="2" t="n">
        <v>10</v>
      </c>
      <c r="G1095" s="2" t="n">
        <v>20</v>
      </c>
      <c r="H1095" s="2" t="n">
        <v>30</v>
      </c>
      <c r="I1095" s="4" t="inlineStr">
        <is>
          <t>spinach-artichoke-dip-with-veggies.jpg</t>
        </is>
      </c>
      <c r="J1095" s="3" t="inlineStr">
        <is>
          <t>Spinach Artichoke Dip with Veggies, healthy food photography, plated, natural light</t>
        </is>
      </c>
      <c r="K1095" s="4" t="inlineStr"/>
      <c r="L1095" s="3" t="inlineStr">
        <is>
          <t>Artichoke hearts, canned in water — 200 g (7.1 oz)
Spinach — 150 g (5.3 oz)
Greek yogurt, plain 2% — 150 g (5.3 oz)
Cream cheese — 80 g (2.8 oz)
Parmesan, grated — 30 g (1.1 oz)
Garlic — 6 g (0.2 oz)
Carrot — 150 g (5.3 oz)
Celery — 150 g (5.3 oz)</t>
        </is>
      </c>
      <c r="M1095" s="4" t="inlineStr">
        <is>
          <t>[{"ingredient_id": "artichoke_hearts", "name": "Artichoke hearts, canned in water", "grams": 200.0, "note": ""}, {"ingredient_id": "spinach", "name": "Spinach", "grams": 150.0, "note": ""}, {"ingredient_id": "greek_yogurt", "name": "Greek yogurt, plain 2%", "grams": 150.0, "note": ""}, {"ingredient_id": "cream_cheese", "name": "Cream cheese", "grams": 80.0, "note": ""}, {"ingredient_id": "parmesan", "name": "Parmesan, grated", "grams": 30.0, "note": ""}, {"ingredient_id": "garlic", "name": "Garlic", "grams": 6.0, "note": ""}, {"ingredient_id": "carrot", "name": "Carrot", "grams": 150.0, "note": ""}, {"ingredient_id": "celery", "name": "Celery", "grams": 150.0, "note": ""}]</t>
        </is>
      </c>
      <c r="N1095" s="2" t="n">
        <v>123</v>
      </c>
      <c r="O1095" s="5" t="n">
        <v>7.5</v>
      </c>
      <c r="P1095" s="5" t="n">
        <v>6.8</v>
      </c>
      <c r="Q1095" s="5" t="n">
        <v>9.6</v>
      </c>
      <c r="R1095" s="5" t="n">
        <v>3.5</v>
      </c>
      <c r="S1095" s="5" t="n">
        <v>6.1</v>
      </c>
      <c r="T1095" s="2" t="n">
        <v>20</v>
      </c>
      <c r="U1095" s="2" t="inlineStr">
        <is>
          <t>low</t>
        </is>
      </c>
      <c r="V1095" s="5" t="n">
        <v>1.2</v>
      </c>
      <c r="W1095" s="2" t="inlineStr">
        <is>
          <t>low</t>
        </is>
      </c>
      <c r="X1095" s="3" t="inlineStr"/>
      <c r="Y1095" s="3" t="inlineStr">
        <is>
          <t>44% of this dish's available carbohydrate comes from ingredients with a published, measured GI; the rest uses conventional placeholders (see Ingredients sheet)</t>
        </is>
      </c>
      <c r="Z1095" s="2" t="n">
        <v>44</v>
      </c>
      <c r="AA1095" s="3" t="inlineStr">
        <is>
          <t>vegetarian, gluten-free, nut-free, low-carb</t>
        </is>
      </c>
      <c r="AB1095" s="3" t="inlineStr">
        <is>
          <t>1. Chop the artichokes and wilt the spinach.
2. Stir with yogurt, cream cheese, parmesan and garlic.
3. Bake at 375°F for 18 minutes.
4. Serve with carrot and celery sticks.</t>
        </is>
      </c>
      <c r="AC1095" s="4" t="inlineStr">
        <is>
          <t>["Chop the artichokes and wilt the spinach.", "Stir with yogurt, cream cheese, parmesan and garlic.", "Bake at 375°F for 18 minutes.", "Serve with carrot and celery sticks."]</t>
        </is>
      </c>
    </row>
    <row r="1096" ht="96" customHeight="1">
      <c r="A1096" s="2" t="inlineStr">
        <is>
          <t>DB-1095</t>
        </is>
      </c>
      <c r="B1096" s="3" t="inlineStr">
        <is>
          <t>Turkey Pepperoni Pizza Bites</t>
        </is>
      </c>
      <c r="C1096" s="4" t="inlineStr">
        <is>
          <t>Snack &amp; Appetizer</t>
        </is>
      </c>
      <c r="D1096" s="4" t="inlineStr">
        <is>
          <t>Italian</t>
        </is>
      </c>
      <c r="E1096" s="2" t="n">
        <v>4</v>
      </c>
      <c r="F1096" s="2" t="n">
        <v>10</v>
      </c>
      <c r="G1096" s="2" t="n">
        <v>15</v>
      </c>
      <c r="H1096" s="2" t="n">
        <v>25</v>
      </c>
      <c r="I1096" s="4" t="inlineStr">
        <is>
          <t>turkey-pepperoni-pizza-bites.jpg</t>
        </is>
      </c>
      <c r="J1096" s="3" t="inlineStr">
        <is>
          <t>Turkey Pepperoni Pizza Bites, healthy food photography, plated, natural light</t>
        </is>
      </c>
      <c r="K1096" s="4" t="inlineStr"/>
      <c r="L1096" s="3" t="inlineStr">
        <is>
          <t>Portobello mushrooms — 360 g (12.7 oz)
Marinara sauce, no sugar added — 100 g (3.5 oz)
Mozzarella, part-skim — 80 g (2.8 oz)
Turkey sausage — 60 g (2.1 oz)
Italian seasoning — 2 g (0.1 oz)</t>
        </is>
      </c>
      <c r="M1096" s="4" t="inlineStr">
        <is>
          <t>[{"ingredient_id": "portobello", "name": "Portobello mushrooms", "grams": 360.0, "note": ""}, {"ingredient_id": "marinara", "name": "Marinara sauce, no sugar added", "grams": 100.0, "note": ""}, {"ingredient_id": "mozzarella", "name": "Mozzarella, part-skim", "grams": 80.0, "note": ""}, {"ingredient_id": "turkey_sausage", "name": "Turkey sausage", "grams": 60.0, "note": ""}, {"ingredient_id": "italian_seasoning", "name": "Italian seasoning", "grams": 2.0, "note": ""}]</t>
        </is>
      </c>
      <c r="N1096" s="2" t="n">
        <v>106</v>
      </c>
      <c r="O1096" s="5" t="n">
        <v>9.4</v>
      </c>
      <c r="P1096" s="5" t="n">
        <v>5.7</v>
      </c>
      <c r="Q1096" s="5" t="n">
        <v>6</v>
      </c>
      <c r="R1096" s="5" t="n">
        <v>1.8</v>
      </c>
      <c r="S1096" s="5" t="n">
        <v>4.2</v>
      </c>
      <c r="T1096" s="2" t="n">
        <v>16</v>
      </c>
      <c r="U1096" s="2" t="inlineStr">
        <is>
          <t>low</t>
        </is>
      </c>
      <c r="V1096" s="5" t="n">
        <v>0.7</v>
      </c>
      <c r="W1096" s="2" t="inlineStr">
        <is>
          <t>low</t>
        </is>
      </c>
      <c r="X1096" s="3" t="inlineStr">
        <is>
          <t>Negligible carbohydrate (&lt;5 g net/serving): GI has little practical meaning, glycemic load is what matters.</t>
        </is>
      </c>
      <c r="Y1096" s="3" t="inlineStr">
        <is>
          <t>21% of this dish's available carbohydrate comes from ingredients with a published, measured GI; the rest uses conventional placeholders (see Ingredients sheet)</t>
        </is>
      </c>
      <c r="Z1096" s="2" t="n">
        <v>21</v>
      </c>
      <c r="AA1096" s="3" t="inlineStr">
        <is>
          <t>gluten-free, nut-free, low-carb</t>
        </is>
      </c>
      <c r="AB1096" s="3" t="inlineStr">
        <is>
          <t>1. Heat the oven to 400°F and remove the portobello stems.
2. Spoon marinara into each cap.
3. Top with mozzarella and sliced sausage.
4. Bake 15 minutes.</t>
        </is>
      </c>
      <c r="AC1096" s="4" t="inlineStr">
        <is>
          <t>["Heat the oven to 400°F and remove the portobello stems.", "Spoon marinara into each cap.", "Top with mozzarella and sliced sausage.", "Bake 15 minutes."]</t>
        </is>
      </c>
    </row>
    <row r="1097" ht="96" customHeight="1">
      <c r="A1097" s="2" t="inlineStr">
        <is>
          <t>DB-1096</t>
        </is>
      </c>
      <c r="B1097" s="3" t="inlineStr">
        <is>
          <t>Roasted Chickpea Snack Mix</t>
        </is>
      </c>
      <c r="C1097" s="4" t="inlineStr">
        <is>
          <t>Snack &amp; Appetizer</t>
        </is>
      </c>
      <c r="D1097" s="4" t="inlineStr">
        <is>
          <t>American</t>
        </is>
      </c>
      <c r="E1097" s="2" t="n">
        <v>5</v>
      </c>
      <c r="F1097" s="2" t="n">
        <v>5</v>
      </c>
      <c r="G1097" s="2" t="n">
        <v>30</v>
      </c>
      <c r="H1097" s="2" t="n">
        <v>35</v>
      </c>
      <c r="I1097" s="4" t="inlineStr">
        <is>
          <t>roasted-chickpea-snack-mix.jpg</t>
        </is>
      </c>
      <c r="J1097" s="3" t="inlineStr">
        <is>
          <t>Roasted Chickpea Snack Mix, healthy food photography, plated, natural light</t>
        </is>
      </c>
      <c r="K1097" s="4" t="inlineStr"/>
      <c r="L1097" s="3" t="inlineStr">
        <is>
          <t>Chickpeas, cooked — 400 g (14.1 oz)
Almonds — 30 g (1.1 oz)
Pumpkin seeds (pepitas) — 20 g (0.7 oz)
Extra-virgin olive oil — 15 g (0.5 oz)
Smoked paprika — 3 g (0.1 oz)
Garlic powder — 2 g (0.1 oz)
Salt — 2 g (0.1 oz)</t>
        </is>
      </c>
      <c r="M1097" s="4" t="inlineStr">
        <is>
          <t>[{"ingredient_id": "chickpeas", "name": "Chickpeas, cooked", "grams": 400.0, "note": ""}, {"ingredient_id": "almonds", "name": "Almonds", "grams": 30.0, "note": ""}, {"ingredient_id": "pumpkin_seeds", "name": "Pumpkin seeds (pepitas)", "grams": 20.0, "note": ""}, {"ingredient_id": "olive_oil", "name": "Extra-virgin olive oil", "grams": 15.0, "note": ""}, {"ingredient_id": "smoked_paprika", "name": "Smoked paprika", "grams": 3.0, "note": ""}, {"ingredient_id": "garlic_powder", "name": "Garlic powder", "grams": 2.0, "note": ""}, {"ingredient_id": "salt", "name": "Salt", "grams": 2.0, "note": ""}]</t>
        </is>
      </c>
      <c r="N1097" s="2" t="n">
        <v>218</v>
      </c>
      <c r="O1097" s="5" t="n">
        <v>9.699999999999999</v>
      </c>
      <c r="P1097" s="5" t="n">
        <v>10.1</v>
      </c>
      <c r="Q1097" s="5" t="n">
        <v>24</v>
      </c>
      <c r="R1097" s="5" t="n">
        <v>7.3</v>
      </c>
      <c r="S1097" s="5" t="n">
        <v>16.7</v>
      </c>
      <c r="T1097" s="2" t="n">
        <v>36</v>
      </c>
      <c r="U1097" s="2" t="inlineStr">
        <is>
          <t>low</t>
        </is>
      </c>
      <c r="V1097" s="5" t="n">
        <v>6</v>
      </c>
      <c r="W1097" s="2" t="inlineStr">
        <is>
          <t>low</t>
        </is>
      </c>
      <c r="X1097" s="3" t="inlineStr"/>
      <c r="Y1097" s="3" t="inlineStr">
        <is>
          <t>93% of this dish's available carbohydrate comes from ingredients with a published, measured GI; the rest uses conventional placeholders (see Ingredients sheet)</t>
        </is>
      </c>
      <c r="Z1097" s="2" t="n">
        <v>93</v>
      </c>
      <c r="AA1097" s="3" t="inlineStr">
        <is>
          <t>vegan, gluten-free, dairy-free, high-fiber, meal-prep</t>
        </is>
      </c>
      <c r="AB1097" s="3" t="inlineStr">
        <is>
          <t>1. Pat the chickpeas dry.
2. Toss with the oil and spices.
3. Roast at 400°F for 25 minutes, adding nuts and seeds for the last 5.</t>
        </is>
      </c>
      <c r="AC1097" s="4" t="inlineStr">
        <is>
          <t>["Pat the chickpeas dry.", "Toss with the oil and spices.", "Roast at 400°F for 25 minutes, adding nuts and seeds for the last 5."]</t>
        </is>
      </c>
    </row>
    <row r="1098" ht="96" customHeight="1">
      <c r="A1098" s="2" t="inlineStr">
        <is>
          <t>DB-1097</t>
        </is>
      </c>
      <c r="B1098" s="3" t="inlineStr">
        <is>
          <t>Pepper Jack Stuffed Jalapeno Poppers</t>
        </is>
      </c>
      <c r="C1098" s="4" t="inlineStr">
        <is>
          <t>Snack &amp; Appetizer</t>
        </is>
      </c>
      <c r="D1098" s="4" t="inlineStr">
        <is>
          <t>Tex-Mex</t>
        </is>
      </c>
      <c r="E1098" s="2" t="n">
        <v>5</v>
      </c>
      <c r="F1098" s="2" t="n">
        <v>15</v>
      </c>
      <c r="G1098" s="2" t="n">
        <v>20</v>
      </c>
      <c r="H1098" s="2" t="n">
        <v>35</v>
      </c>
      <c r="I1098" s="4" t="inlineStr">
        <is>
          <t>pepper-jack-stuffed-jalapeno-poppers.jpg</t>
        </is>
      </c>
      <c r="J1098" s="3" t="inlineStr">
        <is>
          <t>Pepper Jack Stuffed Jalapeno Poppers, healthy food photography, plated, natural light</t>
        </is>
      </c>
      <c r="K1098" s="4" t="inlineStr"/>
      <c r="L1098" s="3" t="inlineStr">
        <is>
          <t>Jalapeño — 250 g (8.8 oz)
Cream cheese — 100 g (3.5 oz)
Pepper jack cheese — 60 g (2.1 oz)
Turkey bacon — 40 g (1.4 oz)
Garlic powder — 2 g (0.1 oz)</t>
        </is>
      </c>
      <c r="M1098" s="4" t="inlineStr">
        <is>
          <t>[{"ingredient_id": "jalapeno", "name": "Jalapeño", "grams": 250.0, "note": ""}, {"ingredient_id": "cream_cheese", "name": "Cream cheese", "grams": 100.0, "note": ""}, {"ingredient_id": "pepper_jack", "name": "Pepper jack cheese", "grams": 60.0, "note": ""}, {"ingredient_id": "turkey_bacon", "name": "Turkey bacon", "grams": 40.0, "note": ""}, {"ingredient_id": "garlic_powder", "name": "Garlic powder", "grams": 2.0, "note": ""}]</t>
        </is>
      </c>
      <c r="N1098" s="2" t="n">
        <v>147</v>
      </c>
      <c r="O1098" s="5" t="n">
        <v>6</v>
      </c>
      <c r="P1098" s="5" t="n">
        <v>11.8</v>
      </c>
      <c r="Q1098" s="5" t="n">
        <v>4.7</v>
      </c>
      <c r="R1098" s="5" t="n">
        <v>1.4</v>
      </c>
      <c r="S1098" s="5" t="n">
        <v>3.2</v>
      </c>
      <c r="T1098" s="2" t="n">
        <v>10</v>
      </c>
      <c r="U1098" s="2" t="inlineStr">
        <is>
          <t>low</t>
        </is>
      </c>
      <c r="V1098" s="5" t="n">
        <v>0.3</v>
      </c>
      <c r="W1098" s="2" t="inlineStr">
        <is>
          <t>low</t>
        </is>
      </c>
      <c r="X1098" s="3" t="inlineStr">
        <is>
          <t>Negligible carbohydrate (&lt;5 g net/serving): GI has little practical meaning, glycemic load is what matters.</t>
        </is>
      </c>
      <c r="Y1098" s="3" t="inlineStr">
        <is>
          <t>0% of this dish's available carbohydrate comes from ingredients with a published, measured GI; the rest uses conventional placeholders (see Ingredients sheet)</t>
        </is>
      </c>
      <c r="Z1098" s="2" t="n">
        <v>0</v>
      </c>
      <c r="AA1098" s="3" t="inlineStr">
        <is>
          <t>gluten-free, nut-free, low-carb</t>
        </is>
      </c>
      <c r="AB1098" s="3" t="inlineStr">
        <is>
          <t>1. Halve and seed the jalapenos.
2. Mix the cream cheese, pepper jack and garlic powder and fill.
3. Wrap in a strip of bacon if you like.
4. Bake at 400°F for 20 minutes.</t>
        </is>
      </c>
      <c r="AC1098" s="4" t="inlineStr">
        <is>
          <t>["Halve and seed the jalapenos.", "Mix the cream cheese, pepper jack and garlic powder and fill.", "Wrap in a strip of bacon if you like.", "Bake at 400°F for 20 minutes."]</t>
        </is>
      </c>
    </row>
    <row r="1099" ht="96" customHeight="1">
      <c r="A1099" s="2" t="inlineStr">
        <is>
          <t>DB-1098</t>
        </is>
      </c>
      <c r="B1099" s="3" t="inlineStr">
        <is>
          <t>Apple Slices with Peanut Butter and Cinnamon</t>
        </is>
      </c>
      <c r="C1099" s="4" t="inlineStr">
        <is>
          <t>Snack &amp; Appetizer</t>
        </is>
      </c>
      <c r="D1099" s="4" t="inlineStr">
        <is>
          <t>American</t>
        </is>
      </c>
      <c r="E1099" s="2" t="n">
        <v>2</v>
      </c>
      <c r="F1099" s="2" t="n">
        <v>3</v>
      </c>
      <c r="G1099" s="2" t="n">
        <v>0</v>
      </c>
      <c r="H1099" s="2" t="n">
        <v>3</v>
      </c>
      <c r="I1099" s="4" t="inlineStr">
        <is>
          <t>apple-slices-with-peanut-butter-and-cinnamon.jpg</t>
        </is>
      </c>
      <c r="J1099" s="3" t="inlineStr">
        <is>
          <t>Apple Slices with Peanut Butter and Cinnamon, healthy food photography, plated, natural light</t>
        </is>
      </c>
      <c r="K1099" s="4" t="inlineStr"/>
      <c r="L1099" s="3" t="inlineStr">
        <is>
          <t>Apple — 240 g (8.5 oz)
Peanut butter, natural — 32 g (1.1 oz)
Ground cinnamon — 1 g (0.0 oz)</t>
        </is>
      </c>
      <c r="M1099" s="4" t="inlineStr">
        <is>
          <t>[{"ingredient_id": "apple", "name": "Apple", "grams": 240.0, "note": ""}, {"ingredient_id": "peanut_butter", "name": "Peanut butter, natural", "grams": 32.0, "note": ""}, {"ingredient_id": "cinnamon", "name": "Ground cinnamon", "grams": 1.0, "note": ""}]</t>
        </is>
      </c>
      <c r="N1099" s="2" t="n">
        <v>158</v>
      </c>
      <c r="O1099" s="5" t="n">
        <v>4.4</v>
      </c>
      <c r="P1099" s="5" t="n">
        <v>8.199999999999999</v>
      </c>
      <c r="Q1099" s="5" t="n">
        <v>20.4</v>
      </c>
      <c r="R1099" s="5" t="n">
        <v>4.1</v>
      </c>
      <c r="S1099" s="5" t="n">
        <v>16.3</v>
      </c>
      <c r="T1099" s="2" t="n">
        <v>33</v>
      </c>
      <c r="U1099" s="2" t="inlineStr">
        <is>
          <t>low</t>
        </is>
      </c>
      <c r="V1099" s="5" t="n">
        <v>5.4</v>
      </c>
      <c r="W1099" s="2" t="inlineStr">
        <is>
          <t>low</t>
        </is>
      </c>
      <c r="X1099" s="3" t="inlineStr"/>
      <c r="Y1099" s="3" t="inlineStr">
        <is>
          <t>85% of this dish's available carbohydrate comes from ingredients with a published, measured GI; the rest uses conventional placeholders (see Ingredients sheet)</t>
        </is>
      </c>
      <c r="Z1099" s="2" t="n">
        <v>85</v>
      </c>
      <c r="AA1099" s="3" t="inlineStr">
        <is>
          <t>vegan, gluten-free, dairy-free, no-cook</t>
        </is>
      </c>
      <c r="AB1099" s="3" t="inlineStr">
        <is>
          <t>1. Slice the apple.
2. Serve with peanut butter and a dusting of cinnamon.</t>
        </is>
      </c>
      <c r="AC1099" s="4" t="inlineStr">
        <is>
          <t>["Slice the apple.", "Serve with peanut butter and a dusting of cinnamon."]</t>
        </is>
      </c>
    </row>
    <row r="1100" ht="96" customHeight="1">
      <c r="A1100" s="2" t="inlineStr">
        <is>
          <t>DB-1099</t>
        </is>
      </c>
      <c r="B1100" s="3" t="inlineStr">
        <is>
          <t>Flourless Peanut Butter Cookies</t>
        </is>
      </c>
      <c r="C1100" s="4" t="inlineStr">
        <is>
          <t>Dessert</t>
        </is>
      </c>
      <c r="D1100" s="4" t="inlineStr">
        <is>
          <t>American</t>
        </is>
      </c>
      <c r="E1100" s="2" t="n">
        <v>10</v>
      </c>
      <c r="F1100" s="2" t="n">
        <v>10</v>
      </c>
      <c r="G1100" s="2" t="n">
        <v>12</v>
      </c>
      <c r="H1100" s="2" t="n">
        <v>22</v>
      </c>
      <c r="I1100" s="4" t="inlineStr">
        <is>
          <t>flourless-peanut-butter-cookies.jpg</t>
        </is>
      </c>
      <c r="J1100" s="3" t="inlineStr">
        <is>
          <t>Flourless Peanut Butter Cookies, healthy food photography, plated, natural light</t>
        </is>
      </c>
      <c r="K1100" s="4" t="inlineStr"/>
      <c r="L1100" s="3" t="inlineStr">
        <is>
          <t>Peanut butter, natural — 250 g (8.8 oz)
Egg, large (50 g each) — 50 g (1.8 oz)
Monk fruit/erythritol sweetener — 40 g (1.4 oz)
Vanilla extract — 5 g (0.2 oz)
Baking soda — 2 g (0.1 oz)
Salt — 1 g (0.0 oz)</t>
        </is>
      </c>
      <c r="M1100" s="4" t="inlineStr">
        <is>
          <t>[{"ingredient_id": "peanut_butter", "name": "Peanut butter, natural", "grams": 250.0, "note": ""}, {"ingredient_id": "egg", "name": "Egg, large (50 g each)", "grams": 50.0, "note": ""}, {"ingredient_id": "monk_fruit_sweetener", "name": "Monk fruit/erythritol sweetener", "grams": 40.0, "note": ""}, {"ingredient_id": "vanilla_extract", "name": "Vanilla extract", "grams": 5.0, "note": ""}, {"ingredient_id": "baking_soda", "name": "Baking soda", "grams": 2.0, "note": ""}, {"ingredient_id": "salt", "name": "Salt", "grams": 1.0, "note": ""}]</t>
        </is>
      </c>
      <c r="N1100" s="2" t="n">
        <v>156</v>
      </c>
      <c r="O1100" s="5" t="n">
        <v>6.9</v>
      </c>
      <c r="P1100" s="5" t="n">
        <v>13</v>
      </c>
      <c r="Q1100" s="5" t="n">
        <v>5.1</v>
      </c>
      <c r="R1100" s="5" t="n">
        <v>1.5</v>
      </c>
      <c r="S1100" s="5" t="n">
        <v>3.6</v>
      </c>
      <c r="T1100" s="2" t="n">
        <v>14</v>
      </c>
      <c r="U1100" s="2" t="inlineStr">
        <is>
          <t>low</t>
        </is>
      </c>
      <c r="V1100" s="5" t="n">
        <v>0.5</v>
      </c>
      <c r="W1100" s="2" t="inlineStr">
        <is>
          <t>low</t>
        </is>
      </c>
      <c r="X1100" s="3" t="inlineStr">
        <is>
          <t>Negligible carbohydrate (&lt;5 g net/serving): GI has little practical meaning, glycemic load is what matters.</t>
        </is>
      </c>
      <c r="Y1100" s="3" t="inlineStr">
        <is>
          <t>0% of this dish's available carbohydrate comes from ingredients with a published, measured GI; the rest uses conventional placeholders (see Ingredients sheet)</t>
        </is>
      </c>
      <c r="Z1100" s="2" t="n">
        <v>0</v>
      </c>
      <c r="AA1100" s="3" t="inlineStr">
        <is>
          <t>vegetarian, gluten-free, dairy-free, low-carb</t>
        </is>
      </c>
      <c r="AB1100" s="3" t="inlineStr">
        <is>
          <t>1. Heat the oven to 350°F.
2. Mix everything into a dough.
3. Scoop ten small balls and flatten with a fork.
4. Bake 10 to 12 minutes.</t>
        </is>
      </c>
      <c r="AC1100" s="4" t="inlineStr">
        <is>
          <t>["Heat the oven to 350°F.", "Mix everything into a dough.", "Scoop ten small balls and flatten with a fork.", "Bake 10 to 12 minutes."]</t>
        </is>
      </c>
    </row>
    <row r="1101" ht="96" customHeight="1">
      <c r="A1101" s="2" t="inlineStr">
        <is>
          <t>DB-1100</t>
        </is>
      </c>
      <c r="B1101" s="3" t="inlineStr">
        <is>
          <t>Dark Chocolate Avocado Mousse</t>
        </is>
      </c>
      <c r="C1101" s="4" t="inlineStr">
        <is>
          <t>Dessert</t>
        </is>
      </c>
      <c r="D1101" s="4" t="inlineStr">
        <is>
          <t>American</t>
        </is>
      </c>
      <c r="E1101" s="2" t="n">
        <v>4</v>
      </c>
      <c r="F1101" s="2" t="n">
        <v>10</v>
      </c>
      <c r="G1101" s="2" t="n">
        <v>0</v>
      </c>
      <c r="H1101" s="2" t="n">
        <v>10</v>
      </c>
      <c r="I1101" s="4" t="inlineStr">
        <is>
          <t>dark-chocolate-avocado-mousse.jpg</t>
        </is>
      </c>
      <c r="J1101" s="3" t="inlineStr">
        <is>
          <t>Dark Chocolate Avocado Mousse, healthy food photography, plated, natural light</t>
        </is>
      </c>
      <c r="K1101" s="4" t="inlineStr"/>
      <c r="L1101" s="3" t="inlineStr">
        <is>
          <t>Avocado — 200 g (7.1 oz)
Cocoa powder, unsweetened — 25 g (0.9 oz)
Almond milk, unsweetened — 100 g (3.5 oz)
Vanilla extract — 4 g (0.1 oz)
Monk fruit/erythritol sweetener — 20 g (0.7 oz)
Raspberries — 80 g (2.8 oz)</t>
        </is>
      </c>
      <c r="M1101" s="4" t="inlineStr">
        <is>
          <t>[{"ingredient_id": "avocado", "name": "Avocado", "grams": 200.0, "note": ""}, {"ingredient_id": "cocoa_powder", "name": "Cocoa powder, unsweetened", "grams": 25.0, "note": ""}, {"ingredient_id": "almond_milk", "name": "Almond milk, unsweetened", "grams": 100.0, "note": ""}, {"ingredient_id": "vanilla_extract", "name": "Vanilla extract", "grams": 4.0, "note": ""}, {"ingredient_id": "monk_fruit_sweetener", "name": "Monk fruit/erythritol sweetener", "grams": 20.0, "note": ""}, {"ingredient_id": "raspberries", "name": "Raspberries", "grams": 80.0, "note": ""}]</t>
        </is>
      </c>
      <c r="N1101" s="2" t="n">
        <v>111</v>
      </c>
      <c r="O1101" s="5" t="n">
        <v>2.6</v>
      </c>
      <c r="P1101" s="5" t="n">
        <v>8.800000000000001</v>
      </c>
      <c r="Q1101" s="5" t="n">
        <v>10.6</v>
      </c>
      <c r="R1101" s="5" t="n">
        <v>6.7</v>
      </c>
      <c r="S1101" s="5" t="n">
        <v>3.8</v>
      </c>
      <c r="T1101" s="2" t="n">
        <v>22</v>
      </c>
      <c r="U1101" s="2" t="inlineStr">
        <is>
          <t>low</t>
        </is>
      </c>
      <c r="V1101" s="5" t="n">
        <v>0.8</v>
      </c>
      <c r="W1101" s="2" t="inlineStr">
        <is>
          <t>low</t>
        </is>
      </c>
      <c r="X1101" s="3" t="inlineStr">
        <is>
          <t>Negligible carbohydrate (&lt;5 g net/serving): GI has little practical meaning, glycemic load is what matters.</t>
        </is>
      </c>
      <c r="Y1101" s="3" t="inlineStr">
        <is>
          <t>0% of this dish's available carbohydrate comes from ingredients with a published, measured GI; the rest uses conventional placeholders (see Ingredients sheet)</t>
        </is>
      </c>
      <c r="Z1101" s="2" t="n">
        <v>0</v>
      </c>
      <c r="AA1101" s="3" t="inlineStr">
        <is>
          <t>vegan, gluten-free, dairy-free, low-carb, no-cook</t>
        </is>
      </c>
      <c r="AB1101" s="3" t="inlineStr">
        <is>
          <t>1. Blend the avocado, cocoa, almond milk, vanilla and sweetener until silky.
2. Chill 1 hour.
3. Serve with raspberries.</t>
        </is>
      </c>
      <c r="AC1101" s="4" t="inlineStr">
        <is>
          <t>["Blend the avocado, cocoa, almond milk, vanilla and sweetener until silky.", "Chill 1 hour.", "Serve with raspberries."]</t>
        </is>
      </c>
    </row>
    <row r="1102" ht="96" customHeight="1">
      <c r="A1102" s="2" t="inlineStr">
        <is>
          <t>DB-1101</t>
        </is>
      </c>
      <c r="B1102" s="3" t="inlineStr">
        <is>
          <t>Baked Cinnamon Apples</t>
        </is>
      </c>
      <c r="C1102" s="4" t="inlineStr">
        <is>
          <t>Dessert</t>
        </is>
      </c>
      <c r="D1102" s="4" t="inlineStr">
        <is>
          <t>American</t>
        </is>
      </c>
      <c r="E1102" s="2" t="n">
        <v>4</v>
      </c>
      <c r="F1102" s="2" t="n">
        <v>10</v>
      </c>
      <c r="G1102" s="2" t="n">
        <v>30</v>
      </c>
      <c r="H1102" s="2" t="n">
        <v>40</v>
      </c>
      <c r="I1102" s="4" t="inlineStr">
        <is>
          <t>baked-cinnamon-apples.jpg</t>
        </is>
      </c>
      <c r="J1102" s="3" t="inlineStr">
        <is>
          <t>Baked Cinnamon Apples, healthy food photography, plated, natural light</t>
        </is>
      </c>
      <c r="K1102" s="4" t="inlineStr"/>
      <c r="L1102" s="3" t="inlineStr">
        <is>
          <t>Apple — 600 g (21.2 oz)
Walnuts — 40 g (1.4 oz)
Ground cinnamon — 4 g (0.1 oz)
Butter — 15 g (0.5 oz)
Rolled oats, dry — 30 g (1.1 oz)
Water / ice — 60 g (2.1 oz)</t>
        </is>
      </c>
      <c r="M1102" s="4" t="inlineStr">
        <is>
          <t>[{"ingredient_id": "apple", "name": "Apple", "grams": 600.0, "note": ""}, {"ingredient_id": "walnuts", "name": "Walnuts", "grams": 40.0, "note": ""}, {"ingredient_id": "cinnamon", "name": "Ground cinnamon", "grams": 4.0, "note": ""}, {"ingredient_id": "butter", "name": "Butter", "grams": 15.0, "note": ""}, {"ingredient_id": "rolled_oats", "name": "Rolled oats, dry", "grams": 30.0, "note": ""}, {"ingredient_id": "water", "name": "Water / ice", "grams": 60.0, "note": ""}]</t>
        </is>
      </c>
      <c r="N1102" s="2" t="n">
        <v>201</v>
      </c>
      <c r="O1102" s="5" t="n">
        <v>3</v>
      </c>
      <c r="P1102" s="5" t="n">
        <v>10.3</v>
      </c>
      <c r="Q1102" s="5" t="n">
        <v>28.3</v>
      </c>
      <c r="R1102" s="5" t="n">
        <v>5.5</v>
      </c>
      <c r="S1102" s="5" t="n">
        <v>22.8</v>
      </c>
      <c r="T1102" s="2" t="n">
        <v>39</v>
      </c>
      <c r="U1102" s="2" t="inlineStr">
        <is>
          <t>low</t>
        </is>
      </c>
      <c r="V1102" s="5" t="n">
        <v>8.9</v>
      </c>
      <c r="W1102" s="2" t="inlineStr">
        <is>
          <t>low</t>
        </is>
      </c>
      <c r="X1102" s="3" t="inlineStr"/>
      <c r="Y1102" s="3" t="inlineStr">
        <is>
          <t>96% of this dish's available carbohydrate comes from ingredients with a published, measured GI; the rest uses conventional placeholders (see Ingredients sheet)</t>
        </is>
      </c>
      <c r="Z1102" s="2" t="n">
        <v>96</v>
      </c>
      <c r="AA1102" s="3" t="inlineStr">
        <is>
          <t>vegetarian</t>
        </is>
      </c>
      <c r="AB1102" s="3" t="inlineStr">
        <is>
          <t>1. Heat the oven to 375°F.
2. Core the apples and fill with oats, walnuts, cinnamon and butter.
3. Add water to the dish and bake 30 minutes.</t>
        </is>
      </c>
      <c r="AC1102" s="4" t="inlineStr">
        <is>
          <t>["Heat the oven to 375°F.", "Core the apples and fill with oats, walnuts, cinnamon and butter.", "Add water to the dish and bake 30 minutes."]</t>
        </is>
      </c>
    </row>
    <row r="1103" ht="96" customHeight="1">
      <c r="A1103" s="2" t="inlineStr">
        <is>
          <t>DB-1102</t>
        </is>
      </c>
      <c r="B1103" s="3" t="inlineStr">
        <is>
          <t>Greek Yogurt Berry Bark</t>
        </is>
      </c>
      <c r="C1103" s="4" t="inlineStr">
        <is>
          <t>Dessert</t>
        </is>
      </c>
      <c r="D1103" s="4" t="inlineStr">
        <is>
          <t>American</t>
        </is>
      </c>
      <c r="E1103" s="2" t="n">
        <v>6</v>
      </c>
      <c r="F1103" s="2" t="n">
        <v>10</v>
      </c>
      <c r="G1103" s="2" t="n">
        <v>0</v>
      </c>
      <c r="H1103" s="2" t="n">
        <v>10</v>
      </c>
      <c r="I1103" s="4" t="inlineStr">
        <is>
          <t>greek-yogurt-berry-bark.jpg</t>
        </is>
      </c>
      <c r="J1103" s="3" t="inlineStr">
        <is>
          <t>Greek Yogurt Berry Bark, healthy food photography, plated, natural light</t>
        </is>
      </c>
      <c r="K1103" s="4" t="inlineStr"/>
      <c r="L1103" s="3" t="inlineStr">
        <is>
          <t>Greek yogurt, plain 2% — 450 g (15.9 oz)
Mixed berries, frozen — 100 g (3.5 oz)
Pistachios, shelled — 25 g (0.9 oz)
Stevia-sweetened dark chocolate chips — 20 g (0.7 oz)
Vanilla extract — 3 g (0.1 oz)</t>
        </is>
      </c>
      <c r="M1103" s="4" t="inlineStr">
        <is>
          <t>[{"ingredient_id": "greek_yogurt", "name": "Greek yogurt, plain 2%", "grams": 450.0, "note": ""}, {"ingredient_id": "mixed_berries", "name": "Mixed berries, frozen", "grams": 100.0, "note": ""}, {"ingredient_id": "pistachios", "name": "Pistachios, shelled", "grams": 25.0, "note": ""}, {"ingredient_id": "sugar_free_chocolate_chips", "name": "Stevia-sweetened dark chocolate chips", "grams": 20.0, "note": ""}, {"ingredient_id": "vanilla_extract", "name": "Vanilla extract", "grams": 3.0, "note": ""}]</t>
        </is>
      </c>
      <c r="N1103" s="2" t="n">
        <v>103</v>
      </c>
      <c r="O1103" s="5" t="n">
        <v>8.699999999999999</v>
      </c>
      <c r="P1103" s="5" t="n">
        <v>4.8</v>
      </c>
      <c r="Q1103" s="5" t="n">
        <v>6.7</v>
      </c>
      <c r="R1103" s="5" t="n">
        <v>1.5</v>
      </c>
      <c r="S1103" s="5" t="n">
        <v>5.2</v>
      </c>
      <c r="T1103" s="2" t="n">
        <v>20</v>
      </c>
      <c r="U1103" s="2" t="inlineStr">
        <is>
          <t>low</t>
        </is>
      </c>
      <c r="V1103" s="5" t="n">
        <v>1</v>
      </c>
      <c r="W1103" s="2" t="inlineStr">
        <is>
          <t>low</t>
        </is>
      </c>
      <c r="X1103" s="3" t="inlineStr"/>
      <c r="Y1103" s="3" t="inlineStr">
        <is>
          <t>76% of this dish's available carbohydrate comes from ingredients with a published, measured GI; the rest uses conventional placeholders (see Ingredients sheet)</t>
        </is>
      </c>
      <c r="Z1103" s="2" t="n">
        <v>76</v>
      </c>
      <c r="AA1103" s="3" t="inlineStr">
        <is>
          <t>vegetarian, gluten-free, low-carb, no-cook</t>
        </is>
      </c>
      <c r="AB1103" s="3" t="inlineStr">
        <is>
          <t>1. Spread the vanilla-stirred yogurt on a lined tray.
2. Scatter with berries, pistachios and chocolate.
3. Freeze 3 hours and break into pieces.</t>
        </is>
      </c>
      <c r="AC1103" s="4" t="inlineStr">
        <is>
          <t>["Spread the vanilla-stirred yogurt on a lined tray.", "Scatter with berries, pistachios and chocolate.", "Freeze 3 hours and break into pieces."]</t>
        </is>
      </c>
    </row>
    <row r="1104" ht="96" customHeight="1">
      <c r="A1104" s="2" t="inlineStr">
        <is>
          <t>DB-1103</t>
        </is>
      </c>
      <c r="B1104" s="3" t="inlineStr">
        <is>
          <t>Pumpkin Pie Chia Pudding</t>
        </is>
      </c>
      <c r="C1104" s="4" t="inlineStr">
        <is>
          <t>Dessert</t>
        </is>
      </c>
      <c r="D1104" s="4" t="inlineStr">
        <is>
          <t>American</t>
        </is>
      </c>
      <c r="E1104" s="2" t="n">
        <v>3</v>
      </c>
      <c r="F1104" s="2" t="n">
        <v>5</v>
      </c>
      <c r="G1104" s="2" t="n">
        <v>0</v>
      </c>
      <c r="H1104" s="2" t="n">
        <v>5</v>
      </c>
      <c r="I1104" s="4" t="inlineStr">
        <is>
          <t>pumpkin-pie-chia-pudding.jpg</t>
        </is>
      </c>
      <c r="J1104" s="3" t="inlineStr">
        <is>
          <t>Pumpkin Pie Chia Pudding, healthy food photography, plated, natural light</t>
        </is>
      </c>
      <c r="K1104" s="4" t="inlineStr"/>
      <c r="L1104" s="3" t="inlineStr">
        <is>
          <t>Pumpkin puree, canned — 150 g (5.3 oz)
Chia seeds — 30 g (1.1 oz)
Almond milk, unsweetened — 250 g (8.8 oz)
Pumpkin pie spice — 3 g (0.1 oz)
Vanilla extract — 3 g (0.1 oz)
Monk fruit/erythritol sweetener — 8 g (0.3 oz)</t>
        </is>
      </c>
      <c r="M1104" s="4" t="inlineStr">
        <is>
          <t>[{"ingredient_id": "pumpkin_puree", "name": "Pumpkin puree, canned", "grams": 150.0, "note": ""}, {"ingredient_id": "chia_seeds", "name": "Chia seeds", "grams": 30.0, "note": ""}, {"ingredient_id": "almond_milk", "name": "Almond milk, unsweetened", "grams": 250.0, "note": ""}, {"ingredient_id": "pumpkin_pie_spice", "name": "Pumpkin pie spice", "grams": 3.0, "note": ""}, {"ingredient_id": "vanilla_extract", "name": "Vanilla extract", "grams": 3.0, "note": ""}, {"ingredient_id": "monk_fruit_sweetener", "name": "Monk fruit/erythritol sweetener", "grams": 8.0, "note": ""}]</t>
        </is>
      </c>
      <c r="N1104" s="2" t="n">
        <v>84</v>
      </c>
      <c r="O1104" s="5" t="n">
        <v>2.8</v>
      </c>
      <c r="P1104" s="5" t="n">
        <v>4.2</v>
      </c>
      <c r="Q1104" s="5" t="n">
        <v>9.6</v>
      </c>
      <c r="R1104" s="5" t="n">
        <v>5.1</v>
      </c>
      <c r="S1104" s="5" t="n">
        <v>4.4</v>
      </c>
      <c r="T1104" s="2" t="n">
        <v>50</v>
      </c>
      <c r="U1104" s="2" t="inlineStr">
        <is>
          <t>low</t>
        </is>
      </c>
      <c r="V1104" s="5" t="n">
        <v>2.2</v>
      </c>
      <c r="W1104" s="2" t="inlineStr">
        <is>
          <t>low</t>
        </is>
      </c>
      <c r="X1104" s="3" t="inlineStr">
        <is>
          <t>Negligible carbohydrate (&lt;5 g net/serving): GI has little practical meaning, glycemic load is what matters.</t>
        </is>
      </c>
      <c r="Y1104" s="3" t="inlineStr">
        <is>
          <t>57% of this dish's available carbohydrate comes from ingredients with a published, measured GI; the rest uses conventional placeholders (see Ingredients sheet)</t>
        </is>
      </c>
      <c r="Z1104" s="2" t="n">
        <v>57</v>
      </c>
      <c r="AA1104" s="3" t="inlineStr">
        <is>
          <t>vegan, gluten-free, dairy-free, low-carb, no-cook, meal-prep</t>
        </is>
      </c>
      <c r="AB1104" s="3" t="inlineStr">
        <is>
          <t>1. Whisk everything together.
2. Refrigerate at least 4 hours.
3. Stir and serve cold.</t>
        </is>
      </c>
      <c r="AC1104" s="4" t="inlineStr">
        <is>
          <t>["Whisk everything together.", "Refrigerate at least 4 hours.", "Stir and serve cold."]</t>
        </is>
      </c>
    </row>
    <row r="1105" ht="96" customHeight="1">
      <c r="A1105" s="2" t="inlineStr">
        <is>
          <t>DB-1104</t>
        </is>
      </c>
      <c r="B1105" s="3" t="inlineStr">
        <is>
          <t>Almond Flour Blueberry Muffins</t>
        </is>
      </c>
      <c r="C1105" s="4" t="inlineStr">
        <is>
          <t>Dessert</t>
        </is>
      </c>
      <c r="D1105" s="4" t="inlineStr">
        <is>
          <t>American</t>
        </is>
      </c>
      <c r="E1105" s="2" t="n">
        <v>8</v>
      </c>
      <c r="F1105" s="2" t="n">
        <v>10</v>
      </c>
      <c r="G1105" s="2" t="n">
        <v>22</v>
      </c>
      <c r="H1105" s="2" t="n">
        <v>32</v>
      </c>
      <c r="I1105" s="4" t="inlineStr">
        <is>
          <t>almond-flour-blueberry-muffins.jpg</t>
        </is>
      </c>
      <c r="J1105" s="3" t="inlineStr">
        <is>
          <t>Almond Flour Blueberry Muffins, healthy food photography, plated, natural light</t>
        </is>
      </c>
      <c r="K1105" s="4" t="inlineStr"/>
      <c r="L1105" s="3" t="inlineStr">
        <is>
          <t>Almond flour — 200 g (7.1 oz)
Egg, large (50 g each) — 150 g (5.3 oz)
Blueberries — 120 g (4.2 oz)
Greek yogurt, plain 2% — 100 g (3.5 oz)
Baking powder — 6 g (0.2 oz)
Vanilla extract — 5 g (0.2 oz)
Monk fruit/erythritol sweetener — 30 g (1.1 oz)
Butter — 30 g (1.1 oz)</t>
        </is>
      </c>
      <c r="M1105" s="4" t="inlineStr">
        <is>
          <t>[{"ingredient_id": "almond_flour", "name": "Almond flour", "grams": 200.0, "note": ""}, {"ingredient_id": "egg", "name": "Egg, large (50 g each)", "grams": 150.0, "note": ""}, {"ingredient_id": "blueberries", "name": "Blueberries", "grams": 120.0, "note": ""}, {"ingredient_id": "greek_yogurt", "name": "Greek yogurt, plain 2%", "grams": 100.0, "note": ""}, {"ingredient_id": "baking_powder", "name": "Baking powder", "grams": 6.0, "note": ""}, {"ingredient_id": "vanilla_extract", "name": "Vanilla extract", "grams": 5.0, "note": ""}, {"ingredient_id": "monk_fruit_sweetener", "name": "Monk fruit/erythritol sweetener", "grams": 30.0, "note": ""}, {"ingredient_id": "butter", "name": "Butter", "grams": 30.0, "note": ""}]</t>
        </is>
      </c>
      <c r="N1105" s="2" t="n">
        <v>221</v>
      </c>
      <c r="O1105" s="5" t="n">
        <v>9</v>
      </c>
      <c r="P1105" s="5" t="n">
        <v>17.6</v>
      </c>
      <c r="Q1105" s="5" t="n">
        <v>8.300000000000001</v>
      </c>
      <c r="R1105" s="5" t="n">
        <v>3.4</v>
      </c>
      <c r="S1105" s="5" t="n">
        <v>5</v>
      </c>
      <c r="T1105" s="2" t="n">
        <v>27</v>
      </c>
      <c r="U1105" s="2" t="inlineStr">
        <is>
          <t>low</t>
        </is>
      </c>
      <c r="V1105" s="5" t="n">
        <v>1.3</v>
      </c>
      <c r="W1105" s="2" t="inlineStr">
        <is>
          <t>low</t>
        </is>
      </c>
      <c r="X1105" s="3" t="inlineStr">
        <is>
          <t>Negligible carbohydrate (&lt;5 g net/serving): GI has little practical meaning, glycemic load is what matters.</t>
        </is>
      </c>
      <c r="Y1105" s="3" t="inlineStr">
        <is>
          <t>46% of this dish's available carbohydrate comes from ingredients with a published, measured GI; the rest uses conventional placeholders (see Ingredients sheet)</t>
        </is>
      </c>
      <c r="Z1105" s="2" t="n">
        <v>46</v>
      </c>
      <c r="AA1105" s="3" t="inlineStr">
        <is>
          <t>vegetarian, gluten-free, low-carb</t>
        </is>
      </c>
      <c r="AB1105" s="3" t="inlineStr">
        <is>
          <t>1. Heat the oven to 350°F and line eight muffin cups.
2. Whisk the almond flour, baking powder and sweetener.
3. Mix in eggs, yogurt, melted butter and vanilla, then fold in the blueberries.
4. Bake 20 to 22 minutes.</t>
        </is>
      </c>
      <c r="AC1105" s="4" t="inlineStr">
        <is>
          <t>["Heat the oven to 350°F and line eight muffin cups.", "Whisk the almond flour, baking powder and sweetener.", "Mix in eggs, yogurt, melted butter and vanilla, then fold in the blueberries.", "Bake 20 to 22 minutes."]</t>
        </is>
      </c>
    </row>
    <row r="1106" ht="96" customHeight="1">
      <c r="A1106" s="2" t="inlineStr">
        <is>
          <t>DB-1105</t>
        </is>
      </c>
      <c r="B1106" s="3" t="inlineStr">
        <is>
          <t>Sugar-Free Chocolate Dipped Strawberries</t>
        </is>
      </c>
      <c r="C1106" s="4" t="inlineStr">
        <is>
          <t>Dessert</t>
        </is>
      </c>
      <c r="D1106" s="4" t="inlineStr">
        <is>
          <t>American</t>
        </is>
      </c>
      <c r="E1106" s="2" t="n">
        <v>4</v>
      </c>
      <c r="F1106" s="2" t="n">
        <v>10</v>
      </c>
      <c r="G1106" s="2" t="n">
        <v>3</v>
      </c>
      <c r="H1106" s="2" t="n">
        <v>13</v>
      </c>
      <c r="I1106" s="4" t="inlineStr">
        <is>
          <t>sugar-free-chocolate-dipped-strawberries.jpg</t>
        </is>
      </c>
      <c r="J1106" s="3" t="inlineStr">
        <is>
          <t>Sugar-Free Chocolate Dipped Strawberries, healthy food photography, plated, natural light</t>
        </is>
      </c>
      <c r="K1106" s="4" t="inlineStr"/>
      <c r="L1106" s="3" t="inlineStr">
        <is>
          <t>Strawberries — 300 g (10.6 oz)
Stevia-sweetened dark chocolate chips — 60 g (2.1 oz)
Coconut oil — 5 g (0.2 oz)</t>
        </is>
      </c>
      <c r="M1106" s="4" t="inlineStr">
        <is>
          <t>[{"ingredient_id": "strawberries", "name": "Strawberries", "grams": 300.0, "note": ""}, {"ingredient_id": "sugar_free_chocolate_chips", "name": "Stevia-sweetened dark chocolate chips", "grams": 60.0, "note": ""}, {"ingredient_id": "coconut_oil", "name": "Coconut oil", "grams": 5.0, "note": ""}]</t>
        </is>
      </c>
      <c r="N1106" s="2" t="n">
        <v>105</v>
      </c>
      <c r="O1106" s="5" t="n">
        <v>1.4</v>
      </c>
      <c r="P1106" s="5" t="n">
        <v>7.8</v>
      </c>
      <c r="Q1106" s="5" t="n">
        <v>8.800000000000001</v>
      </c>
      <c r="R1106" s="5" t="n">
        <v>3.3</v>
      </c>
      <c r="S1106" s="5" t="n">
        <v>5.5</v>
      </c>
      <c r="T1106" s="2" t="n">
        <v>36</v>
      </c>
      <c r="U1106" s="2" t="inlineStr">
        <is>
          <t>low</t>
        </is>
      </c>
      <c r="V1106" s="5" t="n">
        <v>2</v>
      </c>
      <c r="W1106" s="2" t="inlineStr">
        <is>
          <t>low</t>
        </is>
      </c>
      <c r="X1106" s="3" t="inlineStr"/>
      <c r="Y1106" s="3" t="inlineStr">
        <is>
          <t>100% of this dish's available carbohydrate comes from ingredients with a published, measured GI; the rest uses conventional placeholders (see Ingredients sheet)</t>
        </is>
      </c>
      <c r="Z1106" s="2" t="n">
        <v>100</v>
      </c>
      <c r="AA1106" s="3" t="inlineStr">
        <is>
          <t>vegan, gluten-free, dairy-free, nut-free, low-carb</t>
        </is>
      </c>
      <c r="AB1106" s="3" t="inlineStr">
        <is>
          <t>1. Melt the chocolate with the coconut oil.
2. Dip the dry strawberries.
3. Set on parchment in the fridge for 15 minutes.</t>
        </is>
      </c>
      <c r="AC1106" s="4" t="inlineStr">
        <is>
          <t>["Melt the chocolate with the coconut oil.", "Dip the dry strawberries.", "Set on parchment in the fridge for 15 minutes."]</t>
        </is>
      </c>
    </row>
    <row r="1107" ht="96" customHeight="1">
      <c r="A1107" s="2" t="inlineStr">
        <is>
          <t>DB-1106</t>
        </is>
      </c>
      <c r="B1107" s="3" t="inlineStr">
        <is>
          <t>Green Smoothie with Spinach and Pineapple</t>
        </is>
      </c>
      <c r="C1107" s="4" t="inlineStr">
        <is>
          <t>Drinks &amp; Smoothies</t>
        </is>
      </c>
      <c r="D1107" s="4" t="inlineStr">
        <is>
          <t>American</t>
        </is>
      </c>
      <c r="E1107" s="2" t="n">
        <v>2</v>
      </c>
      <c r="F1107" s="2" t="n">
        <v>5</v>
      </c>
      <c r="G1107" s="2" t="n">
        <v>0</v>
      </c>
      <c r="H1107" s="2" t="n">
        <v>5</v>
      </c>
      <c r="I1107" s="4" t="inlineStr">
        <is>
          <t>green-smoothie-with-spinach-and-pineapple.jpg</t>
        </is>
      </c>
      <c r="J1107" s="3" t="inlineStr">
        <is>
          <t>Green Smoothie with Spinach and Pineapple, healthy food photography, plated, natural light</t>
        </is>
      </c>
      <c r="K1107" s="4" t="inlineStr"/>
      <c r="L1107" s="3" t="inlineStr">
        <is>
          <t>Spinach — 60 g (2.1 oz)
Pineapple — 100 g (3.5 oz)
Greek yogurt, plain 2% — 200 g (7.1 oz)
Almond milk, unsweetened — 200 g (7.1 oz)
Chia seeds — 10 g (0.4 oz)
Lime juice — 10 g (0.4 oz)</t>
        </is>
      </c>
      <c r="M1107" s="4" t="inlineStr">
        <is>
          <t>[{"ingredient_id": "spinach", "name": "Spinach", "grams": 60.0, "note": ""}, {"ingredient_id": "pineapple", "name": "Pineapple", "grams": 100.0, "note": ""}, {"ingredient_id": "greek_yogurt", "name": "Greek yogurt, plain 2%", "grams": 200.0, "note": ""}, {"ingredient_id": "almond_milk", "name": "Almond milk, unsweetened", "grams": 200.0, "note": ""}, {"ingredient_id": "chia_seeds", "name": "Chia seeds", "grams": 10.0, "note": ""}, {"ingredient_id": "lime_juice", "name": "Lime juice", "grams": 10.0, "note": ""}]</t>
        </is>
      </c>
      <c r="N1107" s="2" t="n">
        <v>145</v>
      </c>
      <c r="O1107" s="5" t="n">
        <v>12.6</v>
      </c>
      <c r="P1107" s="5" t="n">
        <v>4.9</v>
      </c>
      <c r="Q1107" s="5" t="n">
        <v>14.7</v>
      </c>
      <c r="R1107" s="5" t="n">
        <v>3.1</v>
      </c>
      <c r="S1107" s="5" t="n">
        <v>11.6</v>
      </c>
      <c r="T1107" s="2" t="n">
        <v>42</v>
      </c>
      <c r="U1107" s="2" t="inlineStr">
        <is>
          <t>low</t>
        </is>
      </c>
      <c r="V1107" s="5" t="n">
        <v>4.9</v>
      </c>
      <c r="W1107" s="2" t="inlineStr">
        <is>
          <t>low</t>
        </is>
      </c>
      <c r="X1107" s="3" t="inlineStr"/>
      <c r="Y1107" s="3" t="inlineStr">
        <is>
          <t>84% of this dish's available carbohydrate comes from ingredients with a published, measured GI; the rest uses conventional placeholders (see Ingredients sheet)</t>
        </is>
      </c>
      <c r="Z1107" s="2" t="n">
        <v>84</v>
      </c>
      <c r="AA1107" s="3" t="inlineStr">
        <is>
          <t>vegetarian, gluten-free, low-carb, no-cook</t>
        </is>
      </c>
      <c r="AB1107" s="3" t="inlineStr">
        <is>
          <t>1. Blend everything until smooth.
2. Serve cold.</t>
        </is>
      </c>
      <c r="AC1107" s="4" t="inlineStr">
        <is>
          <t>["Blend everything until smooth.", "Serve cold."]</t>
        </is>
      </c>
    </row>
    <row r="1108" ht="96" customHeight="1">
      <c r="A1108" s="2" t="inlineStr">
        <is>
          <t>DB-1107</t>
        </is>
      </c>
      <c r="B1108" s="3" t="inlineStr">
        <is>
          <t>Peanut Butter Chocolate Protein Shake</t>
        </is>
      </c>
      <c r="C1108" s="4" t="inlineStr">
        <is>
          <t>Drinks &amp; Smoothies</t>
        </is>
      </c>
      <c r="D1108" s="4" t="inlineStr">
        <is>
          <t>American</t>
        </is>
      </c>
      <c r="E1108" s="2" t="n">
        <v>1</v>
      </c>
      <c r="F1108" s="2" t="n">
        <v>3</v>
      </c>
      <c r="G1108" s="2" t="n">
        <v>0</v>
      </c>
      <c r="H1108" s="2" t="n">
        <v>3</v>
      </c>
      <c r="I1108" s="4" t="inlineStr">
        <is>
          <t>peanut-butter-chocolate-protein-shake.jpg</t>
        </is>
      </c>
      <c r="J1108" s="3" t="inlineStr">
        <is>
          <t>Peanut Butter Chocolate Protein Shake, healthy food photography, plated, natural light</t>
        </is>
      </c>
      <c r="K1108" s="4" t="inlineStr"/>
      <c r="L1108" s="3" t="inlineStr">
        <is>
          <t>Whey protein powder, unsweetened — 30 g (1.1 oz)
Almond milk, unsweetened — 250 g (8.8 oz)
Peanut butter, natural — 16 g (0.6 oz)
Cocoa powder, unsweetened — 8 g (0.3 oz)
Water / ice — 60 g (2.1 oz)</t>
        </is>
      </c>
      <c r="M1108" s="4" t="inlineStr">
        <is>
          <t>[{"ingredient_id": "whey_protein", "name": "Whey protein powder, unsweetened", "grams": 30.0, "note": ""}, {"ingredient_id": "almond_milk", "name": "Almond milk, unsweetened", "grams": 250.0, "note": ""}, {"ingredient_id": "peanut_butter", "name": "Peanut butter, natural", "grams": 16.0, "note": ""}, {"ingredient_id": "cocoa_powder", "name": "Cocoa powder, unsweetened", "grams": 8.0, "note": ""}, {"ingredient_id": "water", "name": "Water / ice", "grams": 60.0, "note": ""}]</t>
        </is>
      </c>
      <c r="N1108" s="2" t="n">
        <v>264</v>
      </c>
      <c r="O1108" s="5" t="n">
        <v>30.5</v>
      </c>
      <c r="P1108" s="5" t="n">
        <v>13.6</v>
      </c>
      <c r="Q1108" s="5" t="n">
        <v>11.7</v>
      </c>
      <c r="R1108" s="5" t="n">
        <v>3.9</v>
      </c>
      <c r="S1108" s="5" t="n">
        <v>7.8</v>
      </c>
      <c r="T1108" s="2" t="n">
        <v>22</v>
      </c>
      <c r="U1108" s="2" t="inlineStr">
        <is>
          <t>low</t>
        </is>
      </c>
      <c r="V1108" s="5" t="n">
        <v>1.7</v>
      </c>
      <c r="W1108" s="2" t="inlineStr">
        <is>
          <t>low</t>
        </is>
      </c>
      <c r="X1108" s="3" t="inlineStr"/>
      <c r="Y1108" s="3" t="inlineStr">
        <is>
          <t>27% of this dish's available carbohydrate comes from ingredients with a published, measured GI; the rest uses conventional placeholders (see Ingredients sheet)</t>
        </is>
      </c>
      <c r="Z1108" s="2" t="n">
        <v>27</v>
      </c>
      <c r="AA1108" s="3" t="inlineStr">
        <is>
          <t>vegetarian, gluten-free, low-carb, high-protein, no-cook</t>
        </is>
      </c>
      <c r="AB1108" s="3" t="inlineStr">
        <is>
          <t>1. Blend with ice until smooth.</t>
        </is>
      </c>
      <c r="AC1108" s="4" t="inlineStr">
        <is>
          <t>["Blend with ice until smooth."]</t>
        </is>
      </c>
    </row>
    <row r="1109" ht="96" customHeight="1">
      <c r="A1109" s="2" t="inlineStr">
        <is>
          <t>DB-1108</t>
        </is>
      </c>
      <c r="B1109" s="3" t="inlineStr">
        <is>
          <t>Mixed Berry Kefir Smoothie with Flax</t>
        </is>
      </c>
      <c r="C1109" s="4" t="inlineStr">
        <is>
          <t>Drinks &amp; Smoothies</t>
        </is>
      </c>
      <c r="D1109" s="4" t="inlineStr">
        <is>
          <t>American</t>
        </is>
      </c>
      <c r="E1109" s="2" t="n">
        <v>2</v>
      </c>
      <c r="F1109" s="2" t="n">
        <v>5</v>
      </c>
      <c r="G1109" s="2" t="n">
        <v>0</v>
      </c>
      <c r="H1109" s="2" t="n">
        <v>5</v>
      </c>
      <c r="I1109" s="4" t="inlineStr">
        <is>
          <t>mixed-berry-kefir-smoothie-with-flax.jpg</t>
        </is>
      </c>
      <c r="J1109" s="3" t="inlineStr">
        <is>
          <t>Mixed Berry Kefir Smoothie with Flax, healthy food photography, plated, natural light</t>
        </is>
      </c>
      <c r="K1109" s="4" t="inlineStr"/>
      <c r="L1109" s="3" t="inlineStr">
        <is>
          <t>Kefir, plain — 300 g (10.6 oz)
Mixed berries, frozen — 150 g (5.3 oz)
Ground flaxseed — 15 g (0.5 oz)
Vanilla extract — 3 g (0.1 oz)</t>
        </is>
      </c>
      <c r="M1109" s="4" t="inlineStr">
        <is>
          <t>[{"ingredient_id": "kefir", "name": "Kefir, plain", "grams": 300.0, "note": ""}, {"ingredient_id": "mixed_berries", "name": "Mixed berries, frozen", "grams": 150.0, "note": ""}, {"ingredient_id": "flaxseed", "name": "Ground flaxseed", "grams": 15.0, "note": ""}, {"ingredient_id": "vanilla_extract", "name": "Vanilla extract", "grams": 3.0, "note": ""}]</t>
        </is>
      </c>
      <c r="N1109" s="2" t="n">
        <v>140</v>
      </c>
      <c r="O1109" s="5" t="n">
        <v>6.9</v>
      </c>
      <c r="P1109" s="5" t="n">
        <v>5</v>
      </c>
      <c r="Q1109" s="5" t="n">
        <v>16.6</v>
      </c>
      <c r="R1109" s="5" t="n">
        <v>5</v>
      </c>
      <c r="S1109" s="5" t="n">
        <v>11.6</v>
      </c>
      <c r="T1109" s="2" t="n">
        <v>37</v>
      </c>
      <c r="U1109" s="2" t="inlineStr">
        <is>
          <t>low</t>
        </is>
      </c>
      <c r="V1109" s="5" t="n">
        <v>4.3</v>
      </c>
      <c r="W1109" s="2" t="inlineStr">
        <is>
          <t>low</t>
        </is>
      </c>
      <c r="X1109" s="3" t="inlineStr"/>
      <c r="Y1109" s="3" t="inlineStr">
        <is>
          <t>52% of this dish's available carbohydrate comes from ingredients with a published, measured GI; the rest uses conventional placeholders (see Ingredients sheet)</t>
        </is>
      </c>
      <c r="Z1109" s="2" t="n">
        <v>52</v>
      </c>
      <c r="AA1109" s="3" t="inlineStr">
        <is>
          <t>vegetarian, gluten-free, nut-free, low-carb, no-cook</t>
        </is>
      </c>
      <c r="AB1109" s="3" t="inlineStr">
        <is>
          <t>1. Blend everything until smooth.</t>
        </is>
      </c>
      <c r="AC1109" s="4" t="inlineStr">
        <is>
          <t>["Blend everything until smooth."]</t>
        </is>
      </c>
    </row>
    <row r="1110" ht="96" customHeight="1">
      <c r="A1110" s="2" t="inlineStr">
        <is>
          <t>DB-1109</t>
        </is>
      </c>
      <c r="B1110" s="3" t="inlineStr">
        <is>
          <t>Iced Green Tea with Lemon and Mint</t>
        </is>
      </c>
      <c r="C1110" s="4" t="inlineStr">
        <is>
          <t>Drinks &amp; Smoothies</t>
        </is>
      </c>
      <c r="D1110" s="4" t="inlineStr">
        <is>
          <t>American</t>
        </is>
      </c>
      <c r="E1110" s="2" t="n">
        <v>4</v>
      </c>
      <c r="F1110" s="2" t="n">
        <v>5</v>
      </c>
      <c r="G1110" s="2" t="n">
        <v>5</v>
      </c>
      <c r="H1110" s="2" t="n">
        <v>10</v>
      </c>
      <c r="I1110" s="4" t="inlineStr">
        <is>
          <t>iced-green-tea-with-lemon-and-mint.jpg</t>
        </is>
      </c>
      <c r="J1110" s="3" t="inlineStr">
        <is>
          <t>Iced Green Tea with Lemon and Mint, healthy food photography, plated, natural light</t>
        </is>
      </c>
      <c r="K1110" s="4" t="inlineStr"/>
      <c r="L1110" s="3" t="inlineStr">
        <is>
          <t>Brewed green tea — 1000 g (35.3 oz)
Lemon juice — 40 g (1.4 oz)
Fresh mint — 6 g (0.2 oz)
Stevia (liquid) — 1 g (0.0 oz)</t>
        </is>
      </c>
      <c r="M1110" s="4" t="inlineStr">
        <is>
          <t>[{"ingredient_id": "green_tea", "name": "Brewed green tea", "grams": 1000.0, "note": ""}, {"ingredient_id": "lemon_juice", "name": "Lemon juice", "grams": 40.0, "note": ""}, {"ingredient_id": "mint", "name": "Fresh mint", "grams": 6.0, "note": ""}, {"ingredient_id": "stevia", "name": "Stevia (liquid)", "grams": 1.0, "note": ""}]</t>
        </is>
      </c>
      <c r="N1110" s="2" t="n">
        <v>3</v>
      </c>
      <c r="O1110" s="5" t="n">
        <v>0.1</v>
      </c>
      <c r="P1110" s="5" t="n">
        <v>0</v>
      </c>
      <c r="Q1110" s="5" t="n">
        <v>0.8</v>
      </c>
      <c r="R1110" s="5" t="n">
        <v>0.1</v>
      </c>
      <c r="S1110" s="5" t="n">
        <v>0.7</v>
      </c>
      <c r="T1110" s="2" t="n">
        <v>20</v>
      </c>
      <c r="U1110" s="2" t="inlineStr">
        <is>
          <t>low</t>
        </is>
      </c>
      <c r="V1110" s="5" t="n">
        <v>0.1</v>
      </c>
      <c r="W1110" s="2" t="inlineStr">
        <is>
          <t>low</t>
        </is>
      </c>
      <c r="X1110" s="3" t="inlineStr">
        <is>
          <t>Negligible carbohydrate (&lt;5 g net/serving): GI has little practical meaning, glycemic load is what matters.</t>
        </is>
      </c>
      <c r="Y1110" s="3" t="inlineStr">
        <is>
          <t>0% of this dish's available carbohydrate comes from ingredients with a published, measured GI; the rest uses conventional placeholders (see Ingredients sheet)</t>
        </is>
      </c>
      <c r="Z1110" s="2" t="n">
        <v>0</v>
      </c>
      <c r="AA1110" s="3" t="inlineStr">
        <is>
          <t>vegan, gluten-free, dairy-free, nut-free, low-carb, no-cook</t>
        </is>
      </c>
      <c r="AB1110" s="3" t="inlineStr">
        <is>
          <t>1. Steep the tea and chill.
2. Add lemon, mint and a pinch of stevia.
3. Serve over ice.</t>
        </is>
      </c>
      <c r="AC1110" s="4" t="inlineStr">
        <is>
          <t>["Steep the tea and chill.", "Add lemon, mint and a pinch of stevia.", "Serve over ice."]</t>
        </is>
      </c>
    </row>
    <row r="1111" ht="96" customHeight="1">
      <c r="A1111" s="2" t="inlineStr">
        <is>
          <t>DB-1110</t>
        </is>
      </c>
      <c r="B1111" s="3" t="inlineStr">
        <is>
          <t>Golden Turmeric Latte</t>
        </is>
      </c>
      <c r="C1111" s="4" t="inlineStr">
        <is>
          <t>Drinks &amp; Smoothies</t>
        </is>
      </c>
      <c r="D1111" s="4" t="inlineStr">
        <is>
          <t>American</t>
        </is>
      </c>
      <c r="E1111" s="2" t="n">
        <v>2</v>
      </c>
      <c r="F1111" s="2" t="n">
        <v>3</v>
      </c>
      <c r="G1111" s="2" t="n">
        <v>5</v>
      </c>
      <c r="H1111" s="2" t="n">
        <v>8</v>
      </c>
      <c r="I1111" s="4" t="inlineStr">
        <is>
          <t>golden-turmeric-latte.jpg</t>
        </is>
      </c>
      <c r="J1111" s="3" t="inlineStr">
        <is>
          <t>Golden Turmeric Latte, healthy food photography, plated, natural light</t>
        </is>
      </c>
      <c r="K1111" s="4" t="inlineStr"/>
      <c r="L1111" s="3" t="inlineStr">
        <is>
          <t>Almond milk, unsweetened — 400 g (14.1 oz)
Ground turmeric — 2 g (0.1 oz)
Ground cinnamon — 1 g (0.0 oz)
Fresh ginger — 3 g (0.1 oz)
Black pepper — 1 g (0.0 oz)
Vanilla extract — 2 g (0.1 oz)</t>
        </is>
      </c>
      <c r="M1111" s="4" t="inlineStr">
        <is>
          <t>[{"ingredient_id": "almond_milk", "name": "Almond milk, unsweetened", "grams": 400.0, "note": ""}, {"ingredient_id": "turmeric", "name": "Ground turmeric", "grams": 2.0, "note": ""}, {"ingredient_id": "cinnamon", "name": "Ground cinnamon", "grams": 1.0, "note": ""}, {"ingredient_id": "ginger", "name": "Fresh ginger", "grams": 3.0, "note": ""}, {"ingredient_id": "black_pepper", "name": "Black pepper", "grams": 1.0, "note": ""}, {"ingredient_id": "vanilla_extract", "name": "Vanilla extract", "grams": 2.0, "note": ""}]</t>
        </is>
      </c>
      <c r="N1111" s="2" t="n">
        <v>40</v>
      </c>
      <c r="O1111" s="5" t="n">
        <v>1.4</v>
      </c>
      <c r="P1111" s="5" t="n">
        <v>2.5</v>
      </c>
      <c r="Q1111" s="5" t="n">
        <v>3</v>
      </c>
      <c r="R1111" s="5" t="n">
        <v>0.6</v>
      </c>
      <c r="S1111" s="5" t="n">
        <v>2.3</v>
      </c>
      <c r="T1111" s="2" t="n">
        <v>19</v>
      </c>
      <c r="U1111" s="2" t="inlineStr">
        <is>
          <t>low</t>
        </is>
      </c>
      <c r="V1111" s="5" t="n">
        <v>0.4</v>
      </c>
      <c r="W1111" s="2" t="inlineStr">
        <is>
          <t>low</t>
        </is>
      </c>
      <c r="X1111" s="3" t="inlineStr">
        <is>
          <t>Negligible carbohydrate (&lt;5 g net/serving): GI has little practical meaning, glycemic load is what matters.</t>
        </is>
      </c>
      <c r="Y1111" s="3" t="inlineStr">
        <is>
          <t>0% of this dish's available carbohydrate comes from ingredients with a published, measured GI; the rest uses conventional placeholders (see Ingredients sheet)</t>
        </is>
      </c>
      <c r="Z1111" s="2" t="n">
        <v>0</v>
      </c>
      <c r="AA1111" s="3" t="inlineStr">
        <is>
          <t>vegan, gluten-free, dairy-free, low-carb</t>
        </is>
      </c>
      <c r="AB1111" s="3" t="inlineStr">
        <is>
          <t>1. Warm the almond milk with the spices.
2. Whisk until frothy and serve.</t>
        </is>
      </c>
      <c r="AC1111" s="4" t="inlineStr">
        <is>
          <t>["Warm the almond milk with the spices.", "Whisk until frothy and serve."]</t>
        </is>
      </c>
    </row>
    <row r="1112" ht="96" customHeight="1">
      <c r="A1112" s="2" t="inlineStr">
        <is>
          <t>DB-1111</t>
        </is>
      </c>
      <c r="B1112" s="3" t="inlineStr">
        <is>
          <t>Cucumber Mint Sparkling Cooler</t>
        </is>
      </c>
      <c r="C1112" s="4" t="inlineStr">
        <is>
          <t>Drinks &amp; Smoothies</t>
        </is>
      </c>
      <c r="D1112" s="4" t="inlineStr">
        <is>
          <t>American</t>
        </is>
      </c>
      <c r="E1112" s="2" t="n">
        <v>2</v>
      </c>
      <c r="F1112" s="2" t="n">
        <v>5</v>
      </c>
      <c r="G1112" s="2" t="n">
        <v>0</v>
      </c>
      <c r="H1112" s="2" t="n">
        <v>5</v>
      </c>
      <c r="I1112" s="4" t="inlineStr">
        <is>
          <t>cucumber-mint-sparkling-cooler.jpg</t>
        </is>
      </c>
      <c r="J1112" s="3" t="inlineStr">
        <is>
          <t>Cucumber Mint Sparkling Cooler, healthy food photography, plated, natural light</t>
        </is>
      </c>
      <c r="K1112" s="4" t="inlineStr"/>
      <c r="L1112" s="3" t="inlineStr">
        <is>
          <t>Sparkling water — 500 g (17.6 oz)
Cucumber — 100 g (3.5 oz)
Fresh mint — 6 g (0.2 oz)
Lime juice — 20 g (0.7 oz)</t>
        </is>
      </c>
      <c r="M1112" s="4" t="inlineStr">
        <is>
          <t>[{"ingredient_id": "sparkling_water", "name": "Sparkling water", "grams": 500.0, "note": ""}, {"ingredient_id": "cucumber", "name": "Cucumber", "grams": 100.0, "note": ""}, {"ingredient_id": "mint", "name": "Fresh mint", "grams": 6.0, "note": ""}, {"ingredient_id": "lime_juice", "name": "Lime juice", "grams": 20.0, "note": ""}]</t>
        </is>
      </c>
      <c r="N1112" s="2" t="n">
        <v>11</v>
      </c>
      <c r="O1112" s="5" t="n">
        <v>0.5</v>
      </c>
      <c r="P1112" s="5" t="n">
        <v>0.1</v>
      </c>
      <c r="Q1112" s="5" t="n">
        <v>2.9</v>
      </c>
      <c r="R1112" s="5" t="n">
        <v>0.5</v>
      </c>
      <c r="S1112" s="5" t="n">
        <v>2.4</v>
      </c>
      <c r="T1112" s="2" t="n">
        <v>17</v>
      </c>
      <c r="U1112" s="2" t="inlineStr">
        <is>
          <t>low</t>
        </is>
      </c>
      <c r="V1112" s="5" t="n">
        <v>0.4</v>
      </c>
      <c r="W1112" s="2" t="inlineStr">
        <is>
          <t>low</t>
        </is>
      </c>
      <c r="X1112" s="3" t="inlineStr">
        <is>
          <t>Negligible carbohydrate (&lt;5 g net/serving): GI has little practical meaning, glycemic load is what matters.</t>
        </is>
      </c>
      <c r="Y1112" s="3" t="inlineStr">
        <is>
          <t>0% of this dish's available carbohydrate comes from ingredients with a published, measured GI; the rest uses conventional placeholders (see Ingredients sheet)</t>
        </is>
      </c>
      <c r="Z1112" s="2" t="n">
        <v>0</v>
      </c>
      <c r="AA1112" s="3" t="inlineStr">
        <is>
          <t>vegan, gluten-free, dairy-free, nut-free, low-carb, no-cook</t>
        </is>
      </c>
      <c r="AB1112" s="3" t="inlineStr">
        <is>
          <t>1. Muddle the cucumber and mint with the lime juice.
2. Top with sparkling water over ice.</t>
        </is>
      </c>
      <c r="AC1112" s="4" t="inlineStr">
        <is>
          <t>["Muddle the cucumber and mint with the lime juice.", "Top with sparkling water over ice."]</t>
        </is>
      </c>
    </row>
    <row r="1113" ht="96" customHeight="1">
      <c r="A1113" s="2" t="inlineStr">
        <is>
          <t>DB-1112</t>
        </is>
      </c>
      <c r="B1113" s="3" t="inlineStr">
        <is>
          <t>French Toast with Cinnamon and Berries</t>
        </is>
      </c>
      <c r="C1113" s="4" t="inlineStr">
        <is>
          <t>Breakfast</t>
        </is>
      </c>
      <c r="D1113" s="4" t="inlineStr">
        <is>
          <t>American</t>
        </is>
      </c>
      <c r="E1113" s="2" t="n">
        <v>4</v>
      </c>
      <c r="F1113" s="2" t="n">
        <v>10</v>
      </c>
      <c r="G1113" s="2" t="n">
        <v>10</v>
      </c>
      <c r="H1113" s="2" t="n">
        <v>20</v>
      </c>
      <c r="I1113" s="4" t="inlineStr">
        <is>
          <t>french-toast-with-cinnamon-and-berries.jpg</t>
        </is>
      </c>
      <c r="J1113" s="3" t="inlineStr">
        <is>
          <t>French Toast with Cinnamon and Berries, healthy food photography, plated, natural light</t>
        </is>
      </c>
      <c r="K1113" s="4" t="inlineStr"/>
      <c r="L1113" s="3" t="inlineStr">
        <is>
          <t>White bread — 200 g (7.1 oz)
Egg, large (50 g each) — 200 g (7.1 oz)
Milk, 2% — 120 g (4.2 oz)
Ground cinnamon — 2 g (0.1 oz)
Vanilla extract — 5 g (0.2 oz)
Butter — 15 g (0.5 oz)
Mixed berries, frozen — 200 g (7.1 oz)</t>
        </is>
      </c>
      <c r="M1113" s="4" t="inlineStr">
        <is>
          <t>[{"ingredient_id": "white_bread", "name": "White bread", "grams": 200.0, "note": ""}, {"ingredient_id": "egg", "name": "Egg, large (50 g each)", "grams": 200.0, "note": ""}, {"ingredient_id": "milk", "name": "Milk, 2%", "grams": 120.0, "note": ""}, {"ingredient_id": "cinnamon", "name": "Ground cinnamon", "grams": 2.0, "note": ""}, {"ingredient_id": "vanilla_extract", "name": "Vanilla extract", "grams": 5.0, "note": ""}, {"ingredient_id": "butter", "name": "Butter", "grams": 15.0, "note": ""}, {"ingredient_id": "mixed_berries", "name": "Mixed berries, frozen", "grams": 200.0, "note": ""}]</t>
        </is>
      </c>
      <c r="N1113" s="2" t="n">
        <v>274</v>
      </c>
      <c r="O1113" s="5" t="n">
        <v>12.5</v>
      </c>
      <c r="P1113" s="5" t="n">
        <v>10.4</v>
      </c>
      <c r="Q1113" s="5" t="n">
        <v>32.5</v>
      </c>
      <c r="R1113" s="5" t="n">
        <v>3.4</v>
      </c>
      <c r="S1113" s="5" t="n">
        <v>29</v>
      </c>
      <c r="T1113" s="2" t="n">
        <v>64</v>
      </c>
      <c r="U1113" s="2" t="inlineStr">
        <is>
          <t>medium</t>
        </is>
      </c>
      <c r="V1113" s="5" t="n">
        <v>18.6</v>
      </c>
      <c r="W1113" s="2" t="inlineStr">
        <is>
          <t>medium</t>
        </is>
      </c>
      <c r="X1113" s="3" t="inlineStr">
        <is>
          <t>Medium-GI dish: keep to the stated portion and pair with the protein/fat in the recipe; GL per serving is the better guide.</t>
        </is>
      </c>
      <c r="Y1113" s="3" t="inlineStr">
        <is>
          <t>86% of this dish's available carbohydrate comes from ingredients with a published, measured GI; the rest uses conventional placeholders (see Ingredients sheet)</t>
        </is>
      </c>
      <c r="Z1113" s="2" t="n">
        <v>86</v>
      </c>
      <c r="AA1113" s="3" t="inlineStr">
        <is>
          <t>vegetarian, nut-free</t>
        </is>
      </c>
      <c r="AB1113" s="3" t="inlineStr">
        <is>
          <t>1. Whisk the eggs, milk, cinnamon and vanilla in a shallow dish.
2. Dip the bread slices until soaked through.
3. Brown in butter, 2 to 3 minutes a side.
4. Serve topped with berries.</t>
        </is>
      </c>
      <c r="AC1113" s="4" t="inlineStr">
        <is>
          <t>["Whisk the eggs, milk, cinnamon and vanilla in a shallow dish.", "Dip the bread slices until soaked through.", "Brown in butter, 2 to 3 minutes a side.", "Serve topped with berries."]</t>
        </is>
      </c>
    </row>
    <row r="1114" ht="96" customHeight="1">
      <c r="A1114" s="2" t="inlineStr">
        <is>
          <t>DB-1113</t>
        </is>
      </c>
      <c r="B1114" s="3" t="inlineStr">
        <is>
          <t>Egg in a Hole</t>
        </is>
      </c>
      <c r="C1114" s="4" t="inlineStr">
        <is>
          <t>Breakfast</t>
        </is>
      </c>
      <c r="D1114" s="4" t="inlineStr">
        <is>
          <t>American</t>
        </is>
      </c>
      <c r="E1114" s="2" t="n">
        <v>2</v>
      </c>
      <c r="F1114" s="2" t="n">
        <v>3</v>
      </c>
      <c r="G1114" s="2" t="n">
        <v>6</v>
      </c>
      <c r="H1114" s="2" t="n">
        <v>9</v>
      </c>
      <c r="I1114" s="4" t="inlineStr">
        <is>
          <t>egg-in-a-hole.jpg</t>
        </is>
      </c>
      <c r="J1114" s="3" t="inlineStr">
        <is>
          <t>Egg in a Hole, healthy food photography, plated, natural light</t>
        </is>
      </c>
      <c r="K1114" s="4" t="inlineStr"/>
      <c r="L1114" s="3" t="inlineStr">
        <is>
          <t>White bread — 80 g (2.8 oz)
Egg, large (50 g each) — 100 g (3.5 oz)
Butter — 10 g (0.4 oz)
Black pepper — 1 g (0.0 oz)</t>
        </is>
      </c>
      <c r="M1114" s="4" t="inlineStr">
        <is>
          <t>[{"ingredient_id": "white_bread", "name": "White bread", "grams": 80.0, "note": ""}, {"ingredient_id": "egg", "name": "Egg, large (50 g each)", "grams": 100.0, "note": ""}, {"ingredient_id": "butter", "name": "Butter", "grams": 10.0, "note": ""}, {"ingredient_id": "black_pepper", "name": "Black pepper", "grams": 1.0, "note": ""}]</t>
        </is>
      </c>
      <c r="N1114" s="2" t="n">
        <v>215</v>
      </c>
      <c r="O1114" s="5" t="n">
        <v>10.2</v>
      </c>
      <c r="P1114" s="5" t="n">
        <v>10.3</v>
      </c>
      <c r="Q1114" s="5" t="n">
        <v>20.4</v>
      </c>
      <c r="R1114" s="5" t="n">
        <v>1</v>
      </c>
      <c r="S1114" s="5" t="n">
        <v>19.3</v>
      </c>
      <c r="T1114" s="2" t="n">
        <v>70</v>
      </c>
      <c r="U1114" s="2" t="inlineStr">
        <is>
          <t>high</t>
        </is>
      </c>
      <c r="V1114" s="5" t="n">
        <v>13.5</v>
      </c>
      <c r="W1114" s="2" t="inlineStr">
        <is>
          <t>medium</t>
        </is>
      </c>
      <c r="X1114" s="3" t="inlineStr">
        <is>
          <t>Medium-GI dish: keep to the stated portion and pair with the protein/fat in the recipe; GL per serving is the better guide.</t>
        </is>
      </c>
      <c r="Y1114" s="3" t="inlineStr">
        <is>
          <t>97% of this dish's available carbohydrate comes from ingredients with a published, measured GI; the rest uses conventional placeholders (see Ingredients sheet)</t>
        </is>
      </c>
      <c r="Z1114" s="2" t="n">
        <v>97</v>
      </c>
      <c r="AA1114" s="3" t="inlineStr">
        <is>
          <t>vegetarian, nut-free</t>
        </is>
      </c>
      <c r="AB1114" s="3" t="inlineStr">
        <is>
          <t>1. Cut a round hole in each slice of bread.
2. Butter the pan and toast the bread on one side.
3. Flip, crack an egg into each hole and cook until set.
4. Season with pepper.</t>
        </is>
      </c>
      <c r="AC1114" s="4" t="inlineStr">
        <is>
          <t>["Cut a round hole in each slice of bread.", "Butter the pan and toast the bread on one side.", "Flip, crack an egg into each hole and cook until set.", "Season with pepper."]</t>
        </is>
      </c>
    </row>
    <row r="1115" ht="96" customHeight="1">
      <c r="A1115" s="2" t="inlineStr">
        <is>
          <t>DB-1114</t>
        </is>
      </c>
      <c r="B1115" s="3" t="inlineStr">
        <is>
          <t>Bagel with Cream Cheese and Lox</t>
        </is>
      </c>
      <c r="C1115" s="4" t="inlineStr">
        <is>
          <t>Breakfast</t>
        </is>
      </c>
      <c r="D1115" s="4" t="inlineStr">
        <is>
          <t>American</t>
        </is>
      </c>
      <c r="E1115" s="2" t="n">
        <v>2</v>
      </c>
      <c r="F1115" s="2" t="n">
        <v>5</v>
      </c>
      <c r="G1115" s="2" t="n">
        <v>0</v>
      </c>
      <c r="H1115" s="2" t="n">
        <v>5</v>
      </c>
      <c r="I1115" s="4" t="inlineStr">
        <is>
          <t>bagel-with-cream-cheese-and-lox.jpg</t>
        </is>
      </c>
      <c r="J1115" s="3" t="inlineStr">
        <is>
          <t>Bagel with Cream Cheese and Lox, healthy food photography, plated, natural light</t>
        </is>
      </c>
      <c r="K1115" s="4" t="inlineStr"/>
      <c r="L1115" s="3" t="inlineStr">
        <is>
          <t>Bagel, plain — 100 g (3.5 oz)
Cream cheese — 50 g (1.8 oz)
Smoked salmon — 80 g (2.8 oz)
Red onion — 20 g (0.7 oz)
Capers — 10 g (0.4 oz)
Tomato — 80 g (2.8 oz)
Fresh dill — 2 g (0.1 oz)</t>
        </is>
      </c>
      <c r="M1115" s="4" t="inlineStr">
        <is>
          <t>[{"ingredient_id": "bagel", "name": "Bagel, plain", "grams": 100.0, "note": ""}, {"ingredient_id": "cream_cheese", "name": "Cream cheese", "grams": 50.0, "note": ""}, {"ingredient_id": "smoked_salmon", "name": "Smoked salmon", "grams": 80.0, "note": ""}, {"ingredient_id": "red_onion", "name": "Red onion", "grams": 20.0, "note": ""}, {"ingredient_id": "capers", "name": "Capers", "grams": 10.0, "note": ""}, {"ingredient_id": "tomato", "name": "Tomato", "grams": 80.0, "note": ""}, {"ingredient_id": "dill", "name": "Fresh dill", "grams": 2.0, "note": ""}]</t>
        </is>
      </c>
      <c r="N1115" s="2" t="n">
        <v>277</v>
      </c>
      <c r="O1115" s="5" t="n">
        <v>14.6</v>
      </c>
      <c r="P1115" s="5" t="n">
        <v>11</v>
      </c>
      <c r="Q1115" s="5" t="n">
        <v>30</v>
      </c>
      <c r="R1115" s="5" t="n">
        <v>1.6</v>
      </c>
      <c r="S1115" s="5" t="n">
        <v>28.4</v>
      </c>
      <c r="T1115" s="2" t="n">
        <v>68</v>
      </c>
      <c r="U1115" s="2" t="inlineStr">
        <is>
          <t>medium</t>
        </is>
      </c>
      <c r="V1115" s="5" t="n">
        <v>19.3</v>
      </c>
      <c r="W1115" s="2" t="inlineStr">
        <is>
          <t>medium</t>
        </is>
      </c>
      <c r="X1115" s="3" t="inlineStr">
        <is>
          <t>Medium-GI dish: keep to the stated portion and pair with the protein/fat in the recipe; GL per serving is the better guide.</t>
        </is>
      </c>
      <c r="Y1115" s="3" t="inlineStr">
        <is>
          <t>90% of this dish's available carbohydrate comes from ingredients with a published, measured GI; the rest uses conventional placeholders (see Ingredients sheet)</t>
        </is>
      </c>
      <c r="Z1115" s="2" t="n">
        <v>90</v>
      </c>
      <c r="AA1115" s="3" t="inlineStr">
        <is>
          <t>pescatarian, nut-free, no-cook</t>
        </is>
      </c>
      <c r="AB1115" s="3" t="inlineStr">
        <is>
          <t>1. Split and toast the bagel.
2. Spread with cream cheese.
3. Top with salmon, tomato, red onion, capers and dill.</t>
        </is>
      </c>
      <c r="AC1115" s="4" t="inlineStr">
        <is>
          <t>["Split and toast the bagel.", "Spread with cream cheese.", "Top with salmon, tomato, red onion, capers and dill."]</t>
        </is>
      </c>
    </row>
    <row r="1116" ht="96" customHeight="1">
      <c r="A1116" s="2" t="inlineStr">
        <is>
          <t>DB-1115</t>
        </is>
      </c>
      <c r="B1116" s="3" t="inlineStr">
        <is>
          <t>Bacon, Egg and Cheese Bagel Sandwich</t>
        </is>
      </c>
      <c r="C1116" s="4" t="inlineStr">
        <is>
          <t>Breakfast</t>
        </is>
      </c>
      <c r="D1116" s="4" t="inlineStr">
        <is>
          <t>American</t>
        </is>
      </c>
      <c r="E1116" s="2" t="n">
        <v>2</v>
      </c>
      <c r="F1116" s="2" t="n">
        <v>5</v>
      </c>
      <c r="G1116" s="2" t="n">
        <v>10</v>
      </c>
      <c r="H1116" s="2" t="n">
        <v>15</v>
      </c>
      <c r="I1116" s="4" t="inlineStr">
        <is>
          <t>bacon-egg-and-cheese-bagel-sandwich.jpg</t>
        </is>
      </c>
      <c r="J1116" s="3" t="inlineStr">
        <is>
          <t>Bacon, Egg and Cheese Bagel Sandwich, healthy food photography, plated, natural light</t>
        </is>
      </c>
      <c r="K1116" s="4" t="inlineStr"/>
      <c r="L1116" s="3" t="inlineStr">
        <is>
          <t>Bagel, plain — 100 g (3.5 oz)
Egg, large (50 g each) — 100 g (3.5 oz)
Bacon — 30 g (1.1 oz)
Cheddar cheese — 30 g (1.1 oz)
Spinach — 30 g (1.1 oz)</t>
        </is>
      </c>
      <c r="M1116" s="4" t="inlineStr">
        <is>
          <t>[{"ingredient_id": "bagel", "name": "Bagel, plain", "grams": 100.0, "note": ""}, {"ingredient_id": "egg", "name": "Egg, large (50 g each)", "grams": 100.0, "note": ""}, {"ingredient_id": "bacon", "name": "Bacon", "grams": 30.0, "note": ""}, {"ingredient_id": "cheddar", "name": "Cheddar cheese", "grams": 30.0, "note": ""}, {"ingredient_id": "spinach", "name": "Spinach", "grams": 30.0, "note": ""}]</t>
        </is>
      </c>
      <c r="N1116" s="2" t="n">
        <v>349</v>
      </c>
      <c r="O1116" s="5" t="n">
        <v>21</v>
      </c>
      <c r="P1116" s="5" t="n">
        <v>16.7</v>
      </c>
      <c r="Q1116" s="5" t="n">
        <v>27.5</v>
      </c>
      <c r="R1116" s="5" t="n">
        <v>1.1</v>
      </c>
      <c r="S1116" s="5" t="n">
        <v>26.4</v>
      </c>
      <c r="T1116" s="2" t="n">
        <v>72</v>
      </c>
      <c r="U1116" s="2" t="inlineStr">
        <is>
          <t>high</t>
        </is>
      </c>
      <c r="V1116" s="5" t="n">
        <v>19</v>
      </c>
      <c r="W1116" s="2" t="inlineStr">
        <is>
          <t>medium</t>
        </is>
      </c>
      <c r="X1116" s="3" t="inlineStr">
        <is>
          <t>Medium-GI dish: keep to the stated portion and pair with the protein/fat in the recipe; GL per serving is the better guide.</t>
        </is>
      </c>
      <c r="Y1116" s="3" t="inlineStr">
        <is>
          <t>96% of this dish's available carbohydrate comes from ingredients with a published, measured GI; the rest uses conventional placeholders (see Ingredients sheet)</t>
        </is>
      </c>
      <c r="Z1116" s="2" t="n">
        <v>96</v>
      </c>
      <c r="AA1116" s="3" t="inlineStr">
        <is>
          <t>nut-free</t>
        </is>
      </c>
      <c r="AB1116" s="3" t="inlineStr">
        <is>
          <t>1. Crisp the bacon.
2. Fry the eggs.
3. Toast the bagel.
4. Layer bacon, egg, cheddar and spinach and close.</t>
        </is>
      </c>
      <c r="AC1116" s="4" t="inlineStr">
        <is>
          <t>["Crisp the bacon.", "Fry the eggs.", "Toast the bagel.", "Layer bacon, egg, cheddar and spinach and close."]</t>
        </is>
      </c>
    </row>
    <row r="1117" ht="96" customHeight="1">
      <c r="A1117" s="2" t="inlineStr">
        <is>
          <t>DB-1116</t>
        </is>
      </c>
      <c r="B1117" s="3" t="inlineStr">
        <is>
          <t>Shrimp and Grits</t>
        </is>
      </c>
      <c r="C1117" s="4" t="inlineStr">
        <is>
          <t>Breakfast</t>
        </is>
      </c>
      <c r="D1117" s="4" t="inlineStr">
        <is>
          <t>American</t>
        </is>
      </c>
      <c r="E1117" s="2" t="n">
        <v>4</v>
      </c>
      <c r="F1117" s="2" t="n">
        <v>10</v>
      </c>
      <c r="G1117" s="2" t="n">
        <v>25</v>
      </c>
      <c r="H1117" s="2" t="n">
        <v>35</v>
      </c>
      <c r="I1117" s="4" t="inlineStr">
        <is>
          <t>shrimp-and-grits.jpg</t>
        </is>
      </c>
      <c r="J1117" s="3" t="inlineStr">
        <is>
          <t>Shrimp and Grits, healthy food photography, plated, natural light</t>
        </is>
      </c>
      <c r="K1117" s="4" t="inlineStr"/>
      <c r="L1117" s="3" t="inlineStr">
        <is>
          <t>Grits, cooked with water — 500 g (17.6 oz)
Shrimp, peeled — 400 g (14.1 oz)
Cheddar cheese — 50 g (1.8 oz)
Bacon — 40 g (1.4 oz)
Bell pepper — 100 g (3.5 oz)
Green onions (scallions) — 30 g (1.1 oz)
Garlic — 6 g (0.2 oz)
Cajun seasoning — 5 g (0.2 oz)
Lemon juice — 15 g (0.5 oz)</t>
        </is>
      </c>
      <c r="M1117" s="4" t="inlineStr">
        <is>
          <t>[{"ingredient_id": "grits", "name": "Grits, cooked with water", "grams": 500.0, "note": ""}, {"ingredient_id": "shrimp", "name": "Shrimp, peeled", "grams": 400.0, "note": ""}, {"ingredient_id": "cheddar", "name": "Cheddar cheese", "grams": 50.0, "note": ""}, {"ingredient_id": "bacon", "name": "Bacon", "grams": 40.0, "note": ""}, {"ingredient_id": "bell_pepper", "name": "Bell pepper", "grams": 100.0, "note": ""}, {"ingredient_id": "green_onion", "name": "Green onions (scallions)", "grams": 30.0, "note": ""}, {"ingredient_id": "garlic", "name": "Garlic", "grams": 6.0, "note": ""}, {"ingredient_id": "cajun_seasoning", "name": "Cajun seasoning", "grams": 5.0, "note": ""}, {"ingredient_id": "lemon_juice", "name": "Lemon juice", "grams": 15.0, "note": ""}]</t>
        </is>
      </c>
      <c r="N1117" s="2" t="n">
        <v>279</v>
      </c>
      <c r="O1117" s="5" t="n">
        <v>28.7</v>
      </c>
      <c r="P1117" s="5" t="n">
        <v>9.4</v>
      </c>
      <c r="Q1117" s="5" t="n">
        <v>19.3</v>
      </c>
      <c r="R1117" s="5" t="n">
        <v>2</v>
      </c>
      <c r="S1117" s="5" t="n">
        <v>17.3</v>
      </c>
      <c r="T1117" s="2" t="n">
        <v>60</v>
      </c>
      <c r="U1117" s="2" t="inlineStr">
        <is>
          <t>medium</t>
        </is>
      </c>
      <c r="V1117" s="5" t="n">
        <v>10.4</v>
      </c>
      <c r="W1117" s="2" t="inlineStr">
        <is>
          <t>medium</t>
        </is>
      </c>
      <c r="X1117" s="3" t="inlineStr">
        <is>
          <t>Medium-GI dish: keep to the stated portion and pair with the protein/fat in the recipe; GL per serving is the better guide.</t>
        </is>
      </c>
      <c r="Y1117" s="3" t="inlineStr">
        <is>
          <t>84% of this dish's available carbohydrate comes from ingredients with a published, measured GI; the rest uses conventional placeholders (see Ingredients sheet)</t>
        </is>
      </c>
      <c r="Z1117" s="2" t="n">
        <v>84</v>
      </c>
      <c r="AA1117" s="3" t="inlineStr">
        <is>
          <t>gluten-free, nut-free, high-protein</t>
        </is>
      </c>
      <c r="AB1117" s="3" t="inlineStr">
        <is>
          <t>1. Cook the grits in water until creamy and stir in the cheddar.
2. Crisp the chopped bacon and keep a spoonful of fat.
3. Sauté the pepper and garlic in the fat, add the seasoned shrimp and cook 3 minutes.
4. Finish with lemon and green onion over the grits.</t>
        </is>
      </c>
      <c r="AC1117" s="4" t="inlineStr">
        <is>
          <t>["Cook the grits in water until creamy and stir in the cheddar.", "Crisp the chopped bacon and keep a spoonful of fat.", "Sauté the pepper and garlic in the fat, add the seasoned shrimp and cook 3 minutes.", "Finish with lemon and green onion over the grits."]</t>
        </is>
      </c>
    </row>
    <row r="1118" ht="96" customHeight="1">
      <c r="A1118" s="2" t="inlineStr">
        <is>
          <t>DB-1117</t>
        </is>
      </c>
      <c r="B1118" s="3" t="inlineStr">
        <is>
          <t>Cheese Grits with a Fried Egg</t>
        </is>
      </c>
      <c r="C1118" s="4" t="inlineStr">
        <is>
          <t>Breakfast</t>
        </is>
      </c>
      <c r="D1118" s="4" t="inlineStr">
        <is>
          <t>American</t>
        </is>
      </c>
      <c r="E1118" s="2" t="n">
        <v>3</v>
      </c>
      <c r="F1118" s="2" t="n">
        <v>5</v>
      </c>
      <c r="G1118" s="2" t="n">
        <v>20</v>
      </c>
      <c r="H1118" s="2" t="n">
        <v>25</v>
      </c>
      <c r="I1118" s="4" t="inlineStr">
        <is>
          <t>cheese-grits-with-a-fried-egg.jpg</t>
        </is>
      </c>
      <c r="J1118" s="3" t="inlineStr">
        <is>
          <t>Cheese Grits with a Fried Egg, healthy food photography, plated, natural light</t>
        </is>
      </c>
      <c r="K1118" s="4" t="inlineStr"/>
      <c r="L1118" s="3" t="inlineStr">
        <is>
          <t>Grits, cooked with water — 450 g (15.9 oz)
Cheddar cheese — 45 g (1.6 oz)
Egg, large (50 g each) — 150 g (5.3 oz)
Butter — 10 g (0.4 oz)
Black pepper — 1 g (0.0 oz)
Fresh chives — 3 g (0.1 oz)</t>
        </is>
      </c>
      <c r="M1118" s="4" t="inlineStr">
        <is>
          <t>[{"ingredient_id": "grits", "name": "Grits, cooked with water", "grams": 450.0, "note": ""}, {"ingredient_id": "cheddar", "name": "Cheddar cheese", "grams": 45.0, "note": ""}, {"ingredient_id": "egg", "name": "Egg, large (50 g each)", "grams": 150.0, "note": ""}, {"ingredient_id": "butter", "name": "Butter", "grams": 10.0, "note": ""}, {"ingredient_id": "black_pepper", "name": "Black pepper", "grams": 1.0, "note": ""}, {"ingredient_id": "chives", "name": "Fresh chives", "grams": 3.0, "note": ""}]</t>
        </is>
      </c>
      <c r="N1118" s="2" t="n">
        <v>244</v>
      </c>
      <c r="O1118" s="5" t="n">
        <v>11.6</v>
      </c>
      <c r="P1118" s="5" t="n">
        <v>12.8</v>
      </c>
      <c r="Q1118" s="5" t="n">
        <v>19.4</v>
      </c>
      <c r="R1118" s="5" t="n">
        <v>1.2</v>
      </c>
      <c r="S1118" s="5" t="n">
        <v>18.2</v>
      </c>
      <c r="T1118" s="2" t="n">
        <v>66</v>
      </c>
      <c r="U1118" s="2" t="inlineStr">
        <is>
          <t>medium</t>
        </is>
      </c>
      <c r="V1118" s="5" t="n">
        <v>12</v>
      </c>
      <c r="W1118" s="2" t="inlineStr">
        <is>
          <t>medium</t>
        </is>
      </c>
      <c r="X1118" s="3" t="inlineStr">
        <is>
          <t>Medium-GI dish: keep to the stated portion and pair with the protein/fat in the recipe; GL per serving is the better guide.</t>
        </is>
      </c>
      <c r="Y1118" s="3" t="inlineStr">
        <is>
          <t>96% of this dish's available carbohydrate comes from ingredients with a published, measured GI; the rest uses conventional placeholders (see Ingredients sheet)</t>
        </is>
      </c>
      <c r="Z1118" s="2" t="n">
        <v>96</v>
      </c>
      <c r="AA1118" s="3" t="inlineStr">
        <is>
          <t>vegetarian, gluten-free, nut-free</t>
        </is>
      </c>
      <c r="AB1118" s="3" t="inlineStr">
        <is>
          <t>1. Cook the grits in water until thick.
2. Stir in cheddar and pepper.
3. Fry the eggs in butter.
4. Top the grits with an egg and chives.</t>
        </is>
      </c>
      <c r="AC1118" s="4" t="inlineStr">
        <is>
          <t>["Cook the grits in water until thick.", "Stir in cheddar and pepper.", "Fry the eggs in butter.", "Top the grits with an egg and chives."]</t>
        </is>
      </c>
    </row>
    <row r="1119" ht="96" customHeight="1">
      <c r="A1119" s="2" t="inlineStr">
        <is>
          <t>DB-1118</t>
        </is>
      </c>
      <c r="B1119" s="3" t="inlineStr">
        <is>
          <t>Breakfast Hash with Potatoes and Peppers</t>
        </is>
      </c>
      <c r="C1119" s="4" t="inlineStr">
        <is>
          <t>Breakfast</t>
        </is>
      </c>
      <c r="D1119" s="4" t="inlineStr">
        <is>
          <t>American</t>
        </is>
      </c>
      <c r="E1119" s="2" t="n">
        <v>3</v>
      </c>
      <c r="F1119" s="2" t="n">
        <v>15</v>
      </c>
      <c r="G1119" s="2" t="n">
        <v>20</v>
      </c>
      <c r="H1119" s="2" t="n">
        <v>35</v>
      </c>
      <c r="I1119" s="4" t="inlineStr">
        <is>
          <t>breakfast-hash-with-potatoes-and-peppers.jpg</t>
        </is>
      </c>
      <c r="J1119" s="3" t="inlineStr">
        <is>
          <t>Breakfast Hash with Potatoes and Peppers, healthy food photography, plated, natural light</t>
        </is>
      </c>
      <c r="K1119" s="4" t="inlineStr"/>
      <c r="L1119" s="3" t="inlineStr">
        <is>
          <t>Potato, boiled, peeled — 360 g (12.7 oz)
Turkey sausage — 150 g (5.3 oz)
Bell pepper — 120 g (4.2 oz)
Yellow onion — 80 g (2.8 oz)
Egg, large (50 g each) — 150 g (5.3 oz)
Extra-virgin olive oil — 15 g (0.5 oz)
Paprika — 2 g (0.1 oz)
Salt — 2 g (0.1 oz)</t>
        </is>
      </c>
      <c r="M1119" s="4" t="inlineStr">
        <is>
          <t>[{"ingredient_id": "potato_boiled", "name": "Potato, boiled, peeled", "grams": 360.0, "note": ""}, {"ingredient_id": "turkey_sausage", "name": "Turkey sausage", "grams": 150.0, "note": ""}, {"ingredient_id": "bell_pepper", "name": "Bell pepper", "grams": 120.0, "note": ""}, {"ingredient_id": "onion", "name": "Yellow onion", "grams": 80.0, "note": ""}, {"ingredient_id": "egg", "name": "Egg, large (50 g each)", "grams": 150.0, "note": ""}, {"ingredient_id": "olive_oil", "name": "Extra-virgin olive oil", "grams": 15.0, "note": ""}, {"ingredient_id": "paprika", "name": "Paprika", "grams": 2.0, "note": ""}, {"ingredient_id": "salt", "name": "Salt", "grams": 2.0, "note": ""}]</t>
        </is>
      </c>
      <c r="N1119" s="2" t="n">
        <v>330</v>
      </c>
      <c r="O1119" s="5" t="n">
        <v>16.9</v>
      </c>
      <c r="P1119" s="5" t="n">
        <v>15.1</v>
      </c>
      <c r="Q1119" s="5" t="n">
        <v>32.4</v>
      </c>
      <c r="R1119" s="5" t="n">
        <v>3.3</v>
      </c>
      <c r="S1119" s="5" t="n">
        <v>29.1</v>
      </c>
      <c r="T1119" s="2" t="n">
        <v>56</v>
      </c>
      <c r="U1119" s="2" t="inlineStr">
        <is>
          <t>medium</t>
        </is>
      </c>
      <c r="V1119" s="5" t="n">
        <v>16.3</v>
      </c>
      <c r="W1119" s="2" t="inlineStr">
        <is>
          <t>medium</t>
        </is>
      </c>
      <c r="X1119" s="3" t="inlineStr">
        <is>
          <t>Medium-GI dish: keep to the stated portion and pair with the protein/fat in the recipe; GL per serving is the better guide.</t>
        </is>
      </c>
      <c r="Y1119" s="3" t="inlineStr">
        <is>
          <t>83% of this dish's available carbohydrate comes from ingredients with a published, measured GI; the rest uses conventional placeholders (see Ingredients sheet)</t>
        </is>
      </c>
      <c r="Z1119" s="2" t="n">
        <v>83</v>
      </c>
      <c r="AA1119" s="3" t="inlineStr">
        <is>
          <t>gluten-free, dairy-free, nut-free, one-pan</t>
        </is>
      </c>
      <c r="AB1119" s="3" t="inlineStr">
        <is>
          <t>1. Dice the cooked potatoes small.
2. Brown the sausage with the onion and pepper in oil.
3. Add the potatoes and paprika and crisp 8 minutes.
4. Make wells, crack in the eggs and cover until set.</t>
        </is>
      </c>
      <c r="AC1119" s="4" t="inlineStr">
        <is>
          <t>["Dice the cooked potatoes small.", "Brown the sausage with the onion and pepper in oil.", "Add the potatoes and paprika and crisp 8 minutes.", "Make wells, crack in the eggs and cover until set."]</t>
        </is>
      </c>
    </row>
    <row r="1120" ht="96" customHeight="1">
      <c r="A1120" s="2" t="inlineStr">
        <is>
          <t>DB-1119</t>
        </is>
      </c>
      <c r="B1120" s="3" t="inlineStr">
        <is>
          <t>Diner Home Fries with Eggs</t>
        </is>
      </c>
      <c r="C1120" s="4" t="inlineStr">
        <is>
          <t>Breakfast</t>
        </is>
      </c>
      <c r="D1120" s="4" t="inlineStr">
        <is>
          <t>American</t>
        </is>
      </c>
      <c r="E1120" s="2" t="n">
        <v>3</v>
      </c>
      <c r="F1120" s="2" t="n">
        <v>10</v>
      </c>
      <c r="G1120" s="2" t="n">
        <v>20</v>
      </c>
      <c r="H1120" s="2" t="n">
        <v>30</v>
      </c>
      <c r="I1120" s="4" t="inlineStr">
        <is>
          <t>diner-home-fries-with-eggs.jpg</t>
        </is>
      </c>
      <c r="J1120" s="3" t="inlineStr">
        <is>
          <t>Diner Home Fries with Eggs, healthy food photography, plated, natural light</t>
        </is>
      </c>
      <c r="K1120" s="4" t="inlineStr"/>
      <c r="L1120" s="3" t="inlineStr">
        <is>
          <t>Potato, boiled, peeled — 360 g (12.7 oz)
Yellow onion — 80 g (2.8 oz)
Egg, large (50 g each) — 150 g (5.3 oz)
Extra-virgin olive oil — 15 g (0.5 oz)
Smoked paprika — 2 g (0.1 oz)
Salt — 2 g (0.1 oz)
Fresh parsley — 3 g (0.1 oz)</t>
        </is>
      </c>
      <c r="M1120" s="4" t="inlineStr">
        <is>
          <t>[{"ingredient_id": "potato_boiled", "name": "Potato, boiled, peeled", "grams": 360.0,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 {"ingredient_id": "parsley", "name": "Fresh parsley", "grams": 3.0, "note": ""}]</t>
        </is>
      </c>
      <c r="N1120" s="2" t="n">
        <v>240</v>
      </c>
      <c r="O1120" s="5" t="n">
        <v>9.1</v>
      </c>
      <c r="P1120" s="5" t="n">
        <v>10</v>
      </c>
      <c r="Q1120" s="5" t="n">
        <v>29.1</v>
      </c>
      <c r="R1120" s="5" t="n">
        <v>2.5</v>
      </c>
      <c r="S1120" s="5" t="n">
        <v>26.5</v>
      </c>
      <c r="T1120" s="2" t="n">
        <v>61</v>
      </c>
      <c r="U1120" s="2" t="inlineStr">
        <is>
          <t>medium</t>
        </is>
      </c>
      <c r="V1120" s="5" t="n">
        <v>16.2</v>
      </c>
      <c r="W1120" s="2" t="inlineStr">
        <is>
          <t>medium</t>
        </is>
      </c>
      <c r="X1120" s="3" t="inlineStr">
        <is>
          <t>Medium-GI dish: keep to the stated portion and pair with the protein/fat in the recipe; GL per serving is the better guide.</t>
        </is>
      </c>
      <c r="Y1120" s="3" t="inlineStr">
        <is>
          <t>90% of this dish's available carbohydrate comes from ingredients with a published, measured GI; the rest uses conventional placeholders (see Ingredients sheet)</t>
        </is>
      </c>
      <c r="Z1120" s="2" t="n">
        <v>90</v>
      </c>
      <c r="AA1120" s="3" t="inlineStr">
        <is>
          <t>vegetarian, gluten-free, dairy-free, nut-free</t>
        </is>
      </c>
      <c r="AB1120" s="3" t="inlineStr">
        <is>
          <t>1. Dice the potatoes and onion.
2. Pan-fry in oil with paprika and salt until crisp, about 15 minutes.
3. Fry or scramble the eggs.
4. Serve together with parsley.</t>
        </is>
      </c>
      <c r="AC1120" s="4" t="inlineStr">
        <is>
          <t>["Dice the potatoes and onion.", "Pan-fry in oil with paprika and salt until crisp, about 15 minutes.", "Fry or scramble the eggs.", "Serve together with parsley."]</t>
        </is>
      </c>
    </row>
    <row r="1121" ht="96" customHeight="1">
      <c r="A1121" s="2" t="inlineStr">
        <is>
          <t>DB-1120</t>
        </is>
      </c>
      <c r="B1121" s="3" t="inlineStr">
        <is>
          <t>Egg and Cheese Breakfast Quesadilla</t>
        </is>
      </c>
      <c r="C1121" s="4" t="inlineStr">
        <is>
          <t>Breakfast</t>
        </is>
      </c>
      <c r="D1121" s="4" t="inlineStr">
        <is>
          <t>Tex-Mex</t>
        </is>
      </c>
      <c r="E1121" s="2" t="n">
        <v>2</v>
      </c>
      <c r="F1121" s="2" t="n">
        <v>5</v>
      </c>
      <c r="G1121" s="2" t="n">
        <v>8</v>
      </c>
      <c r="H1121" s="2" t="n">
        <v>13</v>
      </c>
      <c r="I1121" s="4" t="inlineStr">
        <is>
          <t>egg-and-cheese-breakfast-quesadilla.jpg</t>
        </is>
      </c>
      <c r="J1121" s="3" t="inlineStr">
        <is>
          <t>Egg and Cheese Breakfast Quesadilla, healthy food photography, plated, natural light</t>
        </is>
      </c>
      <c r="K1121" s="4" t="inlineStr"/>
      <c r="L1121" s="3" t="inlineStr">
        <is>
          <t>Flour tortilla, 8-inch — 80 g (2.8 oz)
Egg, large (50 g each) — 100 g (3.5 oz)
Cheddar cheese — 40 g (1.4 oz)
Salsa, no sugar added — 60 g (2.1 oz)
Spinach — 30 g (1.1 oz)
Extra-virgin olive oil — 5 g (0.2 oz)</t>
        </is>
      </c>
      <c r="M1121" s="4" t="inlineStr">
        <is>
          <t>[{"ingredient_id": "flour_tortilla", "name": "Flour tortilla, 8-inch", "grams": 80.0, "note": ""}, {"ingredient_id": "egg", "name": "Egg, large (50 g each)", "grams": 100.0, "note": ""}, {"ingredient_id": "cheddar", "name": "Cheddar cheese", "grams": 40.0, "note": ""}, {"ingredient_id": "salsa", "name": "Salsa, no sugar added", "grams": 60.0, "note": ""}, {"ingredient_id": "spinach", "name": "Spinach", "grams": 30.0, "note": ""}, {"ingredient_id": "olive_oil", "name": "Extra-virgin olive oil", "grams": 5.0, "note": ""}]</t>
        </is>
      </c>
      <c r="N1121" s="2" t="n">
        <v>311</v>
      </c>
      <c r="O1121" s="5" t="n">
        <v>15.1</v>
      </c>
      <c r="P1121" s="5" t="n">
        <v>17.2</v>
      </c>
      <c r="Q1121" s="5" t="n">
        <v>23</v>
      </c>
      <c r="R1121" s="5" t="n">
        <v>2.2</v>
      </c>
      <c r="S1121" s="5" t="n">
        <v>20.8</v>
      </c>
      <c r="T1121" s="2" t="n">
        <v>32</v>
      </c>
      <c r="U1121" s="2" t="inlineStr">
        <is>
          <t>low</t>
        </is>
      </c>
      <c r="V1121" s="5" t="n">
        <v>6.7</v>
      </c>
      <c r="W1121" s="2" t="inlineStr">
        <is>
          <t>low</t>
        </is>
      </c>
      <c r="X1121" s="3" t="inlineStr"/>
      <c r="Y1121" s="3" t="inlineStr">
        <is>
          <t>88% of this dish's available carbohydrate comes from ingredients with a published, measured GI; the rest uses conventional placeholders (see Ingredients sheet)</t>
        </is>
      </c>
      <c r="Z1121" s="2" t="n">
        <v>88</v>
      </c>
      <c r="AA1121" s="3" t="inlineStr">
        <is>
          <t>vegetarian, nut-free</t>
        </is>
      </c>
      <c r="AB1121" s="3" t="inlineStr">
        <is>
          <t>1. Scramble the eggs with the spinach.
2. Fill half of each tortilla with eggs and cheddar and fold.
3. Crisp in a pan with oil, 2 minutes a side.
4. Serve with salsa.</t>
        </is>
      </c>
      <c r="AC1121" s="4" t="inlineStr">
        <is>
          <t>["Scramble the eggs with the spinach.", "Fill half of each tortilla with eggs and cheddar and fold.", "Crisp in a pan with oil, 2 minutes a side.", "Serve with salsa."]</t>
        </is>
      </c>
    </row>
    <row r="1122" ht="96" customHeight="1">
      <c r="A1122" s="2" t="inlineStr">
        <is>
          <t>DB-1121</t>
        </is>
      </c>
      <c r="B1122" s="3" t="inlineStr">
        <is>
          <t>Ham and Cheese Western Omelet</t>
        </is>
      </c>
      <c r="C1122" s="4" t="inlineStr">
        <is>
          <t>Breakfast</t>
        </is>
      </c>
      <c r="D1122" s="4" t="inlineStr">
        <is>
          <t>American</t>
        </is>
      </c>
      <c r="E1122" s="2" t="n">
        <v>2</v>
      </c>
      <c r="F1122" s="2" t="n">
        <v>10</v>
      </c>
      <c r="G1122" s="2" t="n">
        <v>8</v>
      </c>
      <c r="H1122" s="2" t="n">
        <v>18</v>
      </c>
      <c r="I1122" s="4" t="inlineStr">
        <is>
          <t>ham-and-cheese-western-omelet.jpg</t>
        </is>
      </c>
      <c r="J1122" s="3" t="inlineStr">
        <is>
          <t>Ham and Cheese Western Omelet, healthy food photography, plated, natural light</t>
        </is>
      </c>
      <c r="K1122" s="4" t="inlineStr"/>
      <c r="L1122" s="3" t="inlineStr">
        <is>
          <t>Egg, large (50 g each) — 300 g (10.6 oz)
Ham, lean — 80 g (2.8 oz)
Swiss cheese — 40 g (1.4 oz)
Bell pepper — 80 g (2.8 oz)
Yellow onion — 40 g (1.4 oz)
Butter — 10 g (0.4 oz)</t>
        </is>
      </c>
      <c r="M1122" s="4" t="inlineStr">
        <is>
          <t>[{"ingredient_id": "egg", "name": "Egg, large (50 g each)", "grams": 300.0, "note": ""}, {"ingredient_id": "ham", "name": "Ham, lean", "grams": 80.0, "note": ""}, {"ingredient_id": "swiss_cheese", "name": "Swiss cheese", "grams": 40.0, "note": ""}, {"ingredient_id": "bell_pepper", "name": "Bell pepper", "grams": 80.0, "note": ""}, {"ingredient_id": "onion", "name": "Yellow onion", "grams": 40.0, "note": ""}, {"ingredient_id": "butter", "name": "Butter", "grams": 10.0, "note": ""}]</t>
        </is>
      </c>
      <c r="N1122" s="2" t="n">
        <v>405</v>
      </c>
      <c r="O1122" s="5" t="n">
        <v>33.4</v>
      </c>
      <c r="P1122" s="5" t="n">
        <v>26.4</v>
      </c>
      <c r="Q1122" s="5" t="n">
        <v>6.2</v>
      </c>
      <c r="R1122" s="5" t="n">
        <v>1.2</v>
      </c>
      <c r="S1122" s="5" t="n">
        <v>5</v>
      </c>
      <c r="T1122" s="2" t="n">
        <v>9</v>
      </c>
      <c r="U1122" s="2" t="inlineStr">
        <is>
          <t>low</t>
        </is>
      </c>
      <c r="V1122" s="5" t="n">
        <v>0.5</v>
      </c>
      <c r="W1122" s="2" t="inlineStr">
        <is>
          <t>low</t>
        </is>
      </c>
      <c r="X1122" s="3" t="inlineStr"/>
      <c r="Y1122" s="3" t="inlineStr">
        <is>
          <t>0% of this dish's available carbohydrate comes from ingredients with a published, measured GI; the rest uses conventional placeholders (see Ingredients sheet)</t>
        </is>
      </c>
      <c r="Z1122" s="2" t="n">
        <v>0</v>
      </c>
      <c r="AA1122" s="3" t="inlineStr">
        <is>
          <t>gluten-free, nut-free, low-carb, high-protein</t>
        </is>
      </c>
      <c r="AB1122" s="3" t="inlineStr">
        <is>
          <t>1. Dice the ham, pepper and onion and sauté in half the butter.
2. Cook the beaten eggs in the rest of the butter.
3. Add the filling and Swiss and fold.</t>
        </is>
      </c>
      <c r="AC1122" s="4" t="inlineStr">
        <is>
          <t>["Dice the ham, pepper and onion and sauté in half the butter.", "Cook the beaten eggs in the rest of the butter.", "Add the filling and Swiss and fold."]</t>
        </is>
      </c>
    </row>
    <row r="1123" ht="96" customHeight="1">
      <c r="A1123" s="2" t="inlineStr">
        <is>
          <t>DB-1122</t>
        </is>
      </c>
      <c r="B1123" s="3" t="inlineStr">
        <is>
          <t>Cheesy Potato and Egg Breakfast Skillet</t>
        </is>
      </c>
      <c r="C1123" s="4" t="inlineStr">
        <is>
          <t>Breakfast</t>
        </is>
      </c>
      <c r="D1123" s="4" t="inlineStr">
        <is>
          <t>American</t>
        </is>
      </c>
      <c r="E1123" s="2" t="n">
        <v>4</v>
      </c>
      <c r="F1123" s="2" t="n">
        <v>10</v>
      </c>
      <c r="G1123" s="2" t="n">
        <v>25</v>
      </c>
      <c r="H1123" s="2" t="n">
        <v>35</v>
      </c>
      <c r="I1123" s="4" t="inlineStr">
        <is>
          <t>cheesy-potato-and-egg-breakfast-skillet.jpg</t>
        </is>
      </c>
      <c r="J1123" s="3" t="inlineStr">
        <is>
          <t>Cheesy Potato and Egg Breakfast Skillet, healthy food photography, plated, natural light</t>
        </is>
      </c>
      <c r="K1123" s="4" t="inlineStr"/>
      <c r="L1123" s="3" t="inlineStr">
        <is>
          <t>Potato, boiled, peeled — 480 g (16.9 oz)
Egg, large (50 g each) — 250 g (8.8 oz)
Cheddar cheese — 60 g (2.1 oz)
Green onions (scallions) — 30 g (1.1 oz)
Bacon — 40 g (1.4 oz)
Extra-virgin olive oil — 10 g (0.4 oz)
Black pepper — 1 g (0.0 oz)</t>
        </is>
      </c>
      <c r="M1123" s="4" t="inlineStr">
        <is>
          <t>[{"ingredient_id": "potato_boiled", "name": "Potato, boiled, peeled", "grams": 480.0, "note": ""}, {"ingredient_id": "egg", "name": "Egg, large (50 g each)", "grams": 250.0, "note": ""}, {"ingredient_id": "cheddar", "name": "Cheddar cheese", "grams": 60.0, "note": ""}, {"ingredient_id": "green_onion", "name": "Green onions (scallions)", "grams": 30.0, "note": ""}, {"ingredient_id": "bacon", "name": "Bacon", "grams": 40.0, "note": ""}, {"ingredient_id": "olive_oil", "name": "Extra-virgin olive oil", "grams": 10.0, "note": ""}, {"ingredient_id": "black_pepper", "name": "Black pepper", "grams": 1.0, "note": ""}]</t>
        </is>
      </c>
      <c r="N1123" s="2" t="n">
        <v>341</v>
      </c>
      <c r="O1123" s="5" t="n">
        <v>17.5</v>
      </c>
      <c r="P1123" s="5" t="n">
        <v>17.7</v>
      </c>
      <c r="Q1123" s="5" t="n">
        <v>27.3</v>
      </c>
      <c r="R1123" s="5" t="n">
        <v>2.1</v>
      </c>
      <c r="S1123" s="5" t="n">
        <v>25.2</v>
      </c>
      <c r="T1123" s="2" t="n">
        <v>63</v>
      </c>
      <c r="U1123" s="2" t="inlineStr">
        <is>
          <t>medium</t>
        </is>
      </c>
      <c r="V1123" s="5" t="n">
        <v>15.9</v>
      </c>
      <c r="W1123" s="2" t="inlineStr">
        <is>
          <t>medium</t>
        </is>
      </c>
      <c r="X1123" s="3" t="inlineStr">
        <is>
          <t>Medium-GI dish: keep to the stated portion and pair with the protein/fat in the recipe; GL per serving is the better guide.</t>
        </is>
      </c>
      <c r="Y1123" s="3" t="inlineStr">
        <is>
          <t>95% of this dish's available carbohydrate comes from ingredients with a published, measured GI; the rest uses conventional placeholders (see Ingredients sheet)</t>
        </is>
      </c>
      <c r="Z1123" s="2" t="n">
        <v>95</v>
      </c>
      <c r="AA1123" s="3" t="inlineStr">
        <is>
          <t>gluten-free, nut-free, one-pan</t>
        </is>
      </c>
      <c r="AB1123" s="3" t="inlineStr">
        <is>
          <t>1. Crisp the bacon in a skillet and set aside.
2. Brown the diced potatoes in oil.
3. Pour in the beaten eggs and cook gently.
4. Top with cheddar, bacon and green onion and cover to melt.</t>
        </is>
      </c>
      <c r="AC1123" s="4" t="inlineStr">
        <is>
          <t>["Crisp the bacon in a skillet and set aside.", "Brown the diced potatoes in oil.", "Pour in the beaten eggs and cook gently.", "Top with cheddar, bacon and green onion and cover to melt."]</t>
        </is>
      </c>
    </row>
    <row r="1124" ht="96" customHeight="1">
      <c r="A1124" s="2" t="inlineStr">
        <is>
          <t>DB-1123</t>
        </is>
      </c>
      <c r="B1124" s="3" t="inlineStr">
        <is>
          <t>Peanut Butter and Banana Toast</t>
        </is>
      </c>
      <c r="C1124" s="4" t="inlineStr">
        <is>
          <t>Breakfast</t>
        </is>
      </c>
      <c r="D1124" s="4" t="inlineStr">
        <is>
          <t>American</t>
        </is>
      </c>
      <c r="E1124" s="2" t="n">
        <v>2</v>
      </c>
      <c r="F1124" s="2" t="n">
        <v>3</v>
      </c>
      <c r="G1124" s="2" t="n">
        <v>3</v>
      </c>
      <c r="H1124" s="2" t="n">
        <v>6</v>
      </c>
      <c r="I1124" s="4" t="inlineStr">
        <is>
          <t>peanut-butter-and-banana-toast.jpg</t>
        </is>
      </c>
      <c r="J1124" s="3" t="inlineStr">
        <is>
          <t>Peanut Butter and Banana Toast, healthy food photography, plated, natural light</t>
        </is>
      </c>
      <c r="K1124" s="4" t="inlineStr"/>
      <c r="L1124" s="3" t="inlineStr">
        <is>
          <t>White bread — 80 g (2.8 oz)
Peanut butter, natural — 30 g (1.1 oz)
Banana (small amount) — 100 g (3.5 oz)
Ground cinnamon — 1 g (0.0 oz)</t>
        </is>
      </c>
      <c r="M1124" s="4" t="inlineStr">
        <is>
          <t>[{"ingredient_id": "white_bread", "name": "White bread", "grams": 80.0, "note": ""}, {"ingredient_id": "peanut_butter", "name": "Peanut butter, natural", "grams": 30.0, "note": ""}, {"ingredient_id": "banana", "name": "Banana (small amount)", "grams": 100.0, "note": ""}, {"ingredient_id": "cinnamon", "name": "Ground cinnamon", "grams": 1.0, "note": ""}]</t>
        </is>
      </c>
      <c r="N1124" s="2" t="n">
        <v>241</v>
      </c>
      <c r="O1124" s="5" t="n">
        <v>8.1</v>
      </c>
      <c r="P1124" s="5" t="n">
        <v>9.1</v>
      </c>
      <c r="Q1124" s="5" t="n">
        <v>34.6</v>
      </c>
      <c r="R1124" s="5" t="n">
        <v>3.4</v>
      </c>
      <c r="S1124" s="5" t="n">
        <v>31.2</v>
      </c>
      <c r="T1124" s="2" t="n">
        <v>61</v>
      </c>
      <c r="U1124" s="2" t="inlineStr">
        <is>
          <t>medium</t>
        </is>
      </c>
      <c r="V1124" s="5" t="n">
        <v>19</v>
      </c>
      <c r="W1124" s="2" t="inlineStr">
        <is>
          <t>medium</t>
        </is>
      </c>
      <c r="X1124" s="3" t="inlineStr">
        <is>
          <t>Medium-GI dish: keep to the stated portion and pair with the protein/fat in the recipe; GL per serving is the better guide.</t>
        </is>
      </c>
      <c r="Y1124" s="3" t="inlineStr">
        <is>
          <t>93% of this dish's available carbohydrate comes from ingredients with a published, measured GI; the rest uses conventional placeholders (see Ingredients sheet)</t>
        </is>
      </c>
      <c r="Z1124" s="2" t="n">
        <v>93</v>
      </c>
      <c r="AA1124" s="3" t="inlineStr">
        <is>
          <t>vegan, dairy-free</t>
        </is>
      </c>
      <c r="AB1124" s="3" t="inlineStr">
        <is>
          <t>1. Toast the bread.
2. Spread with peanut butter.
3. Top with sliced banana and cinnamon.</t>
        </is>
      </c>
      <c r="AC1124" s="4" t="inlineStr">
        <is>
          <t>["Toast the bread.", "Spread with peanut butter.", "Top with sliced banana and cinnamon."]</t>
        </is>
      </c>
    </row>
    <row r="1125" ht="96" customHeight="1">
      <c r="A1125" s="2" t="inlineStr">
        <is>
          <t>DB-1124</t>
        </is>
      </c>
      <c r="B1125" s="3" t="inlineStr">
        <is>
          <t>Biscuit-Style Egg Muffin with Sausage</t>
        </is>
      </c>
      <c r="C1125" s="4" t="inlineStr">
        <is>
          <t>Breakfast</t>
        </is>
      </c>
      <c r="D1125" s="4" t="inlineStr">
        <is>
          <t>American</t>
        </is>
      </c>
      <c r="E1125" s="2" t="n">
        <v>4</v>
      </c>
      <c r="F1125" s="2" t="n">
        <v>10</v>
      </c>
      <c r="G1125" s="2" t="n">
        <v>12</v>
      </c>
      <c r="H1125" s="2" t="n">
        <v>22</v>
      </c>
      <c r="I1125" s="4" t="inlineStr">
        <is>
          <t>biscuit-style-egg-muffin-with-sausage.jpg</t>
        </is>
      </c>
      <c r="J1125" s="3" t="inlineStr">
        <is>
          <t>Biscuit-Style Egg Muffin with Sausage, healthy food photography, plated, natural light</t>
        </is>
      </c>
      <c r="K1125" s="4" t="inlineStr"/>
      <c r="L1125" s="3" t="inlineStr">
        <is>
          <t>White bread — 160 g (5.6 oz)
Turkey sausage — 200 g (7.1 oz)
Egg, large (50 g each) — 200 g (7.1 oz)
Cheddar cheese — 40 g (1.4 oz)
Butter — 10 g (0.4 oz)</t>
        </is>
      </c>
      <c r="M1125" s="4" t="inlineStr">
        <is>
          <t>[{"ingredient_id": "white_bread", "name": "White bread", "grams": 160.0, "note": ""}, {"ingredient_id": "turkey_sausage", "name": "Turkey sausage", "grams": 200.0, "note": ""}, {"ingredient_id": "egg", "name": "Egg, large (50 g each)", "grams": 200.0, "note": ""}, {"ingredient_id": "cheddar", "name": "Cheddar cheese", "grams": 40.0, "note": ""}, {"ingredient_id": "butter", "name": "Butter", "grams": 10.0, "note": ""}]</t>
        </is>
      </c>
      <c r="N1125" s="2" t="n">
        <v>314</v>
      </c>
      <c r="O1125" s="5" t="n">
        <v>19.9</v>
      </c>
      <c r="P1125" s="5" t="n">
        <v>16.5</v>
      </c>
      <c r="Q1125" s="5" t="n">
        <v>21.2</v>
      </c>
      <c r="R1125" s="5" t="n">
        <v>0.9</v>
      </c>
      <c r="S1125" s="5" t="n">
        <v>20.2</v>
      </c>
      <c r="T1125" s="2" t="n">
        <v>67</v>
      </c>
      <c r="U1125" s="2" t="inlineStr">
        <is>
          <t>medium</t>
        </is>
      </c>
      <c r="V1125" s="5" t="n">
        <v>13.6</v>
      </c>
      <c r="W1125" s="2" t="inlineStr">
        <is>
          <t>medium</t>
        </is>
      </c>
      <c r="X1125" s="3" t="inlineStr">
        <is>
          <t>Medium-GI dish: keep to the stated portion and pair with the protein/fat in the recipe; GL per serving is the better guide.</t>
        </is>
      </c>
      <c r="Y1125" s="3" t="inlineStr">
        <is>
          <t>93% of this dish's available carbohydrate comes from ingredients with a published, measured GI; the rest uses conventional placeholders (see Ingredients sheet)</t>
        </is>
      </c>
      <c r="Z1125" s="2" t="n">
        <v>93</v>
      </c>
      <c r="AA1125" s="3" t="inlineStr">
        <is>
          <t>nut-free</t>
        </is>
      </c>
      <c r="AB1125" s="3" t="inlineStr">
        <is>
          <t>1. Shape the sausage into four thin patties and brown.
2. Fry the eggs in butter.
3. Toast the bread.
4. Stack sausage, egg and cheddar between slices.</t>
        </is>
      </c>
      <c r="AC1125" s="4" t="inlineStr">
        <is>
          <t>["Shape the sausage into four thin patties and brown.", "Fry the eggs in butter.", "Toast the bread.", "Stack sausage, egg and cheddar between slices."]</t>
        </is>
      </c>
    </row>
    <row r="1126" ht="96" customHeight="1">
      <c r="A1126" s="2" t="inlineStr">
        <is>
          <t>DB-1125</t>
        </is>
      </c>
      <c r="B1126" s="3" t="inlineStr">
        <is>
          <t>Hash Brown-Style Potato Cakes</t>
        </is>
      </c>
      <c r="C1126" s="4" t="inlineStr">
        <is>
          <t>Breakfast</t>
        </is>
      </c>
      <c r="D1126" s="4" t="inlineStr">
        <is>
          <t>American</t>
        </is>
      </c>
      <c r="E1126" s="2" t="n">
        <v>4</v>
      </c>
      <c r="F1126" s="2" t="n">
        <v>15</v>
      </c>
      <c r="G1126" s="2" t="n">
        <v>15</v>
      </c>
      <c r="H1126" s="2" t="n">
        <v>30</v>
      </c>
      <c r="I1126" s="4" t="inlineStr">
        <is>
          <t>hash-brown-style-potato-cakes.jpg</t>
        </is>
      </c>
      <c r="J1126" s="3" t="inlineStr">
        <is>
          <t>Hash Brown-Style Potato Cakes, healthy food photography, plated, natural light</t>
        </is>
      </c>
      <c r="K1126" s="4" t="inlineStr"/>
      <c r="L1126" s="3" t="inlineStr">
        <is>
          <t>Potato, boiled, peeled — 400 g (14.1 oz)
Egg, large (50 g each) — 50 g (1.8 oz)
Yellow onion — 50 g (1.8 oz)
Extra-virgin olive oil — 20 g (0.7 oz)
Salt — 2 g (0.1 oz)
Black pepper — 1 g (0.0 oz)</t>
        </is>
      </c>
      <c r="M1126" s="4" t="inlineStr">
        <is>
          <t>[{"ingredient_id": "potato_boiled", "name": "Potato, boiled, peeled", "grams": 400.0, "note": ""}, {"ingredient_id": "egg", "name": "Egg, large (50 g each)", "grams": 50.0, "note": ""}, {"ingredient_id": "onion", "name": "Yellow onion", "grams": 50.0, "note": ""}, {"ingredient_id": "olive_oil", "name": "Extra-virgin olive oil", "grams": 20.0, "note": ""}, {"ingredient_id": "salt", "name": "Salt", "grams": 2.0, "note": ""}, {"ingredient_id": "black_pepper", "name": "Black pepper", "grams": 1.0, "note": ""}]</t>
        </is>
      </c>
      <c r="N1126" s="2" t="n">
        <v>161</v>
      </c>
      <c r="O1126" s="5" t="n">
        <v>3.7</v>
      </c>
      <c r="P1126" s="5" t="n">
        <v>6.3</v>
      </c>
      <c r="Q1126" s="5" t="n">
        <v>22.9</v>
      </c>
      <c r="R1126" s="5" t="n">
        <v>1.8</v>
      </c>
      <c r="S1126" s="5" t="n">
        <v>21.1</v>
      </c>
      <c r="T1126" s="2" t="n">
        <v>63</v>
      </c>
      <c r="U1126" s="2" t="inlineStr">
        <is>
          <t>medium</t>
        </is>
      </c>
      <c r="V1126" s="5" t="n">
        <v>13.3</v>
      </c>
      <c r="W1126" s="2" t="inlineStr">
        <is>
          <t>medium</t>
        </is>
      </c>
      <c r="X1126" s="3" t="inlineStr">
        <is>
          <t>Medium-GI dish: keep to the stated portion and pair with the protein/fat in the recipe; GL per serving is the better guide.</t>
        </is>
      </c>
      <c r="Y1126" s="3" t="inlineStr">
        <is>
          <t>95% of this dish's available carbohydrate comes from ingredients with a published, measured GI; the rest uses conventional placeholders (see Ingredients sheet)</t>
        </is>
      </c>
      <c r="Z1126" s="2" t="n">
        <v>95</v>
      </c>
      <c r="AA1126" s="3" t="inlineStr">
        <is>
          <t>vegetarian, gluten-free, dairy-free, nut-free</t>
        </is>
      </c>
      <c r="AB1126" s="3" t="inlineStr">
        <is>
          <t>1. Grate the cooked potato and onion.
2. Mix with the egg and seasoning.
3. Shape into patties.
4. Pan-fry in oil until golden, 5 minutes a side.</t>
        </is>
      </c>
      <c r="AC1126" s="4" t="inlineStr">
        <is>
          <t>["Grate the cooked potato and onion.", "Mix with the egg and seasoning.", "Shape into patties.", "Pan-fry in oil until golden, 5 minutes a side."]</t>
        </is>
      </c>
    </row>
    <row r="1127" ht="96" customHeight="1">
      <c r="A1127" s="2" t="inlineStr">
        <is>
          <t>DB-1126</t>
        </is>
      </c>
      <c r="B1127" s="3" t="inlineStr">
        <is>
          <t>Cinnamon Oatmeal with Peanut Butter</t>
        </is>
      </c>
      <c r="C1127" s="4" t="inlineStr">
        <is>
          <t>Breakfast</t>
        </is>
      </c>
      <c r="D1127" s="4" t="inlineStr">
        <is>
          <t>American</t>
        </is>
      </c>
      <c r="E1127" s="2" t="n">
        <v>2</v>
      </c>
      <c r="F1127" s="2" t="n">
        <v>3</v>
      </c>
      <c r="G1127" s="2" t="n">
        <v>5</v>
      </c>
      <c r="H1127" s="2" t="n">
        <v>8</v>
      </c>
      <c r="I1127" s="4" t="inlineStr">
        <is>
          <t>cinnamon-oatmeal-with-peanut-butter.jpg</t>
        </is>
      </c>
      <c r="J1127" s="3" t="inlineStr">
        <is>
          <t>Cinnamon Oatmeal with Peanut Butter, healthy food photography, plated, natural light</t>
        </is>
      </c>
      <c r="K1127" s="4" t="inlineStr"/>
      <c r="L1127" s="3" t="inlineStr">
        <is>
          <t>Rolled oats, dry — 60 g (2.1 oz)
Milk, 2% — 300 g (10.6 oz)
Peanut butter, natural — 24 g (0.8 oz)
Ground cinnamon — 2 g (0.1 oz)
Apple — 100 g (3.5 oz)</t>
        </is>
      </c>
      <c r="M1127" s="4" t="inlineStr">
        <is>
          <t>[{"ingredient_id": "rolled_oats", "name": "Rolled oats, dry", "grams": 60.0, "note": ""}, {"ingredient_id": "milk", "name": "Milk, 2%", "grams": 300.0, "note": ""}, {"ingredient_id": "peanut_butter", "name": "Peanut butter, natural", "grams": 24.0, "note": ""}, {"ingredient_id": "cinnamon", "name": "Ground cinnamon", "grams": 2.0, "note": ""}, {"ingredient_id": "apple", "name": "Apple", "grams": 100.0, "note": ""}]</t>
        </is>
      </c>
      <c r="N1127" s="2" t="n">
        <v>288</v>
      </c>
      <c r="O1127" s="5" t="n">
        <v>12</v>
      </c>
      <c r="P1127" s="5" t="n">
        <v>11.1</v>
      </c>
      <c r="Q1127" s="5" t="n">
        <v>37.8</v>
      </c>
      <c r="R1127" s="5" t="n">
        <v>5.5</v>
      </c>
      <c r="S1127" s="5" t="n">
        <v>32.4</v>
      </c>
      <c r="T1127" s="2" t="n">
        <v>44</v>
      </c>
      <c r="U1127" s="2" t="inlineStr">
        <is>
          <t>low</t>
        </is>
      </c>
      <c r="V1127" s="5" t="n">
        <v>14.2</v>
      </c>
      <c r="W1127" s="2" t="inlineStr">
        <is>
          <t>medium</t>
        </is>
      </c>
      <c r="X1127" s="3" t="inlineStr"/>
      <c r="Y1127" s="3" t="inlineStr">
        <is>
          <t>94% of this dish's available carbohydrate comes from ingredients with a published, measured GI; the rest uses conventional placeholders (see Ingredients sheet)</t>
        </is>
      </c>
      <c r="Z1127" s="2" t="n">
        <v>94</v>
      </c>
      <c r="AA1127" s="3" t="inlineStr">
        <is>
          <t>vegetarian</t>
        </is>
      </c>
      <c r="AB1127" s="3" t="inlineStr">
        <is>
          <t>1. Simmer the oats in the milk for 5 minutes.
2. Stir in peanut butter and cinnamon.
3. Top with diced apple.</t>
        </is>
      </c>
      <c r="AC1127" s="4" t="inlineStr">
        <is>
          <t>["Simmer the oats in the milk for 5 minutes.", "Stir in peanut butter and cinnamon.", "Top with diced apple."]</t>
        </is>
      </c>
    </row>
    <row r="1128" ht="96" customHeight="1">
      <c r="A1128" s="2" t="inlineStr">
        <is>
          <t>DB-1127</t>
        </is>
      </c>
      <c r="B1128" s="3" t="inlineStr">
        <is>
          <t>Greek Yogurt with Walnuts and Honey Drizzle</t>
        </is>
      </c>
      <c r="C1128" s="4" t="inlineStr">
        <is>
          <t>Breakfast</t>
        </is>
      </c>
      <c r="D1128" s="4" t="inlineStr">
        <is>
          <t>American</t>
        </is>
      </c>
      <c r="E1128" s="2" t="n">
        <v>2</v>
      </c>
      <c r="F1128" s="2" t="n">
        <v>3</v>
      </c>
      <c r="G1128" s="2" t="n">
        <v>0</v>
      </c>
      <c r="H1128" s="2" t="n">
        <v>3</v>
      </c>
      <c r="I1128" s="4" t="inlineStr">
        <is>
          <t>greek-yogurt-with-walnuts-and-honey-drizzle.jpg</t>
        </is>
      </c>
      <c r="J1128" s="3" t="inlineStr">
        <is>
          <t>Greek Yogurt with Walnuts and Honey Drizzle, healthy food photography, plated, natural light</t>
        </is>
      </c>
      <c r="K1128" s="4" t="inlineStr"/>
      <c r="L1128" s="3" t="inlineStr">
        <is>
          <t>Greek yogurt, plain 2% — 300 g (10.6 oz)
Walnuts — 24 g (0.8 oz)
Honey (small amount) — 8 g (0.3 oz)
Ground cinnamon — 1 g (0.0 oz)</t>
        </is>
      </c>
      <c r="M1128" s="4" t="inlineStr">
        <is>
          <t>[{"ingredient_id": "greek_yogurt", "name": "Greek yogurt, plain 2%", "grams": 300.0, "note": ""}, {"ingredient_id": "walnuts", "name": "Walnuts", "grams": 24.0, "note": ""}, {"ingredient_id": "honey", "name": "Honey (small amount)", "grams": 8.0, "note": ""}, {"ingredient_id": "cinnamon", "name": "Ground cinnamon", "grams": 1.0, "note": ""}]</t>
        </is>
      </c>
      <c r="N1128" s="2" t="n">
        <v>201</v>
      </c>
      <c r="O1128" s="5" t="n">
        <v>16.8</v>
      </c>
      <c r="P1128" s="5" t="n">
        <v>10.8</v>
      </c>
      <c r="Q1128" s="5" t="n">
        <v>11.4</v>
      </c>
      <c r="R1128" s="5" t="n">
        <v>1.1</v>
      </c>
      <c r="S1128" s="5" t="n">
        <v>10.3</v>
      </c>
      <c r="T1128" s="2" t="n">
        <v>25</v>
      </c>
      <c r="U1128" s="2" t="inlineStr">
        <is>
          <t>low</t>
        </is>
      </c>
      <c r="V1128" s="5" t="n">
        <v>2.6</v>
      </c>
      <c r="W1128" s="2" t="inlineStr">
        <is>
          <t>low</t>
        </is>
      </c>
      <c r="X1128" s="3" t="inlineStr"/>
      <c r="Y1128" s="3" t="inlineStr">
        <is>
          <t>90% of this dish's available carbohydrate comes from ingredients with a published, measured GI; the rest uses conventional placeholders (see Ingredients sheet)</t>
        </is>
      </c>
      <c r="Z1128" s="2" t="n">
        <v>90</v>
      </c>
      <c r="AA1128" s="3" t="inlineStr">
        <is>
          <t>vegetarian, gluten-free, low-carb, no-cook</t>
        </is>
      </c>
      <c r="AB1128" s="3" t="inlineStr">
        <is>
          <t>1. Spoon the yogurt into bowls.
2. Top with walnuts and a thin drizzle of honey.
3. Dust with cinnamon.</t>
        </is>
      </c>
      <c r="AC1128" s="4" t="inlineStr">
        <is>
          <t>["Spoon the yogurt into bowls.", "Top with walnuts and a thin drizzle of honey.", "Dust with cinnamon."]</t>
        </is>
      </c>
    </row>
    <row r="1129" ht="96" customHeight="1">
      <c r="A1129" s="2" t="inlineStr">
        <is>
          <t>DB-1128</t>
        </is>
      </c>
      <c r="B1129" s="3" t="inlineStr">
        <is>
          <t>Turkey Bacon, Egg and Tomato Breakfast Wrap</t>
        </is>
      </c>
      <c r="C1129" s="4" t="inlineStr">
        <is>
          <t>Breakfast</t>
        </is>
      </c>
      <c r="D1129" s="4" t="inlineStr">
        <is>
          <t>American</t>
        </is>
      </c>
      <c r="E1129" s="2" t="n">
        <v>2</v>
      </c>
      <c r="F1129" s="2" t="n">
        <v>5</v>
      </c>
      <c r="G1129" s="2" t="n">
        <v>8</v>
      </c>
      <c r="H1129" s="2" t="n">
        <v>13</v>
      </c>
      <c r="I1129" s="4" t="inlineStr">
        <is>
          <t>turkey-bacon-egg-and-tomato-breakfast-wrap.jpg</t>
        </is>
      </c>
      <c r="J1129" s="3" t="inlineStr">
        <is>
          <t>Turkey Bacon, Egg and Tomato Breakfast Wrap, healthy food photography, plated, natural light</t>
        </is>
      </c>
      <c r="K1129" s="4" t="inlineStr"/>
      <c r="L1129" s="3" t="inlineStr">
        <is>
          <t>Flour tortilla, 8-inch — 80 g (2.8 oz)
Egg, large (50 g each) — 150 g (5.3 oz)
Turkey bacon — 40 g (1.4 oz)
Tomato — 80 g (2.8 oz)
Spinach — 30 g (1.1 oz)
Cheddar cheese — 20 g (0.7 oz)</t>
        </is>
      </c>
      <c r="M1129" s="4" t="inlineStr">
        <is>
          <t>[{"ingredient_id": "flour_tortilla", "name": "Flour tortilla, 8-inch", "grams": 80.0, "note": ""}, {"ingredient_id": "egg", "name": "Egg, large (50 g each)", "grams": 150.0, "note": ""}, {"ingredient_id": "turkey_bacon", "name": "Turkey bacon", "grams": 40.0, "note": ""}, {"ingredient_id": "tomato", "name": "Tomato", "grams": 80.0, "note": ""}, {"ingredient_id": "spinach", "name": "Spinach", "grams": 30.0, "note": ""}, {"ingredient_id": "cheddar", "name": "Cheddar cheese", "grams": 20.0, "note": ""}]</t>
        </is>
      </c>
      <c r="N1129" s="2" t="n">
        <v>324</v>
      </c>
      <c r="O1129" s="5" t="n">
        <v>19.4</v>
      </c>
      <c r="P1129" s="5" t="n">
        <v>16.8</v>
      </c>
      <c r="Q1129" s="5" t="n">
        <v>22.9</v>
      </c>
      <c r="R1129" s="5" t="n">
        <v>2.2</v>
      </c>
      <c r="S1129" s="5" t="n">
        <v>20.7</v>
      </c>
      <c r="T1129" s="2" t="n">
        <v>31</v>
      </c>
      <c r="U1129" s="2" t="inlineStr">
        <is>
          <t>low</t>
        </is>
      </c>
      <c r="V1129" s="5" t="n">
        <v>6.4</v>
      </c>
      <c r="W1129" s="2" t="inlineStr">
        <is>
          <t>low</t>
        </is>
      </c>
      <c r="X1129" s="3" t="inlineStr"/>
      <c r="Y1129" s="3" t="inlineStr">
        <is>
          <t>89% of this dish's available carbohydrate comes from ingredients with a published, measured GI; the rest uses conventional placeholders (see Ingredients sheet)</t>
        </is>
      </c>
      <c r="Z1129" s="2" t="n">
        <v>89</v>
      </c>
      <c r="AA1129" s="3" t="inlineStr">
        <is>
          <t>nut-free</t>
        </is>
      </c>
      <c r="AB1129" s="3" t="inlineStr">
        <is>
          <t>1. Crisp the turkey bacon.
2. Scramble the eggs.
3. Fill the tortillas with eggs, bacon, tomato, spinach and cheddar.
4. Roll and halve.</t>
        </is>
      </c>
      <c r="AC1129" s="4" t="inlineStr">
        <is>
          <t>["Crisp the turkey bacon.", "Scramble the eggs.", "Fill the tortillas with eggs, bacon, tomato, spinach and cheddar.", "Roll and halve."]</t>
        </is>
      </c>
    </row>
    <row r="1130" ht="96" customHeight="1">
      <c r="A1130" s="2" t="inlineStr">
        <is>
          <t>DB-1129</t>
        </is>
      </c>
      <c r="B1130" s="3" t="inlineStr">
        <is>
          <t>Classic Grilled Cheese Sandwich</t>
        </is>
      </c>
      <c r="C1130" s="4" t="inlineStr">
        <is>
          <t>Sandwiches &amp; Wraps</t>
        </is>
      </c>
      <c r="D1130" s="4" t="inlineStr">
        <is>
          <t>American</t>
        </is>
      </c>
      <c r="E1130" s="2" t="n">
        <v>2</v>
      </c>
      <c r="F1130" s="2" t="n">
        <v>3</v>
      </c>
      <c r="G1130" s="2" t="n">
        <v>8</v>
      </c>
      <c r="H1130" s="2" t="n">
        <v>11</v>
      </c>
      <c r="I1130" s="4" t="inlineStr">
        <is>
          <t>classic-grilled-cheese-sandwich.jpg</t>
        </is>
      </c>
      <c r="J1130" s="3" t="inlineStr">
        <is>
          <t>Classic Grilled Cheese Sandwich, healthy food photography, plated, natural light</t>
        </is>
      </c>
      <c r="K1130" s="4" t="inlineStr"/>
      <c r="L1130" s="3" t="inlineStr">
        <is>
          <t>White bread — 100 g (3.5 oz)
Cheddar cheese — 60 g (2.1 oz)
Butter — 10 g (0.4 oz)</t>
        </is>
      </c>
      <c r="M1130" s="4" t="inlineStr">
        <is>
          <t>[{"ingredient_id": "white_bread", "name": "White bread", "grams": 100.0, "note": ""}, {"ingredient_id": "cheddar", "name": "Cheddar cheese", "grams": 60.0, "note": ""}, {"ingredient_id": "butter", "name": "Butter", "grams": 10.0, "note": ""}]</t>
        </is>
      </c>
      <c r="N1130" s="2" t="n">
        <v>290</v>
      </c>
      <c r="O1130" s="5" t="n">
        <v>11.7</v>
      </c>
      <c r="P1130" s="5" t="n">
        <v>15.7</v>
      </c>
      <c r="Q1130" s="5" t="n">
        <v>25</v>
      </c>
      <c r="R1130" s="5" t="n">
        <v>1.1</v>
      </c>
      <c r="S1130" s="5" t="n">
        <v>23.8</v>
      </c>
      <c r="T1130" s="2" t="n">
        <v>71</v>
      </c>
      <c r="U1130" s="2" t="inlineStr">
        <is>
          <t>high</t>
        </is>
      </c>
      <c r="V1130" s="5" t="n">
        <v>16.9</v>
      </c>
      <c r="W1130" s="2" t="inlineStr">
        <is>
          <t>medium</t>
        </is>
      </c>
      <c r="X1130" s="3" t="inlineStr">
        <is>
          <t>Medium-GI dish: keep to the stated portion and pair with the protein/fat in the recipe; GL per serving is the better guide.</t>
        </is>
      </c>
      <c r="Y1130" s="3" t="inlineStr">
        <is>
          <t>98% of this dish's available carbohydrate comes from ingredients with a published, measured GI; the rest uses conventional placeholders (see Ingredients sheet)</t>
        </is>
      </c>
      <c r="Z1130" s="2" t="n">
        <v>98</v>
      </c>
      <c r="AA1130" s="3" t="inlineStr">
        <is>
          <t>vegetarian, nut-free</t>
        </is>
      </c>
      <c r="AB1130" s="3" t="inlineStr">
        <is>
          <t>1. Butter one side of each slice.
2. Assemble with cheddar between, butter sides out.
3. Grill in a pan until golden, 3 to 4 minutes a side.</t>
        </is>
      </c>
      <c r="AC1130" s="4" t="inlineStr">
        <is>
          <t>["Butter one side of each slice.", "Assemble with cheddar between, butter sides out.", "Grill in a pan until golden, 3 to 4 minutes a side."]</t>
        </is>
      </c>
    </row>
    <row r="1131" ht="96" customHeight="1">
      <c r="A1131" s="2" t="inlineStr">
        <is>
          <t>DB-1130</t>
        </is>
      </c>
      <c r="B1131" s="3" t="inlineStr">
        <is>
          <t>Turkey, Bacon and Avocado Club Sandwich</t>
        </is>
      </c>
      <c r="C1131" s="4" t="inlineStr">
        <is>
          <t>Sandwiches &amp; Wraps</t>
        </is>
      </c>
      <c r="D1131" s="4" t="inlineStr">
        <is>
          <t>American</t>
        </is>
      </c>
      <c r="E1131" s="2" t="n">
        <v>2</v>
      </c>
      <c r="F1131" s="2" t="n">
        <v>10</v>
      </c>
      <c r="G1131" s="2" t="n">
        <v>0</v>
      </c>
      <c r="H1131" s="2" t="n">
        <v>10</v>
      </c>
      <c r="I1131" s="4" t="inlineStr">
        <is>
          <t>turkey-bacon-and-avocado-club-sandwich.jpg</t>
        </is>
      </c>
      <c r="J1131" s="3" t="inlineStr">
        <is>
          <t>Turkey, Bacon and Avocado Club Sandwich, healthy food photography, plated, natural light</t>
        </is>
      </c>
      <c r="K1131" s="4" t="inlineStr"/>
      <c r="L1131" s="3" t="inlineStr">
        <is>
          <t>White bread — 120 g (4.2 oz)
Deli turkey breast, low sodium — 100 g (3.5 oz)
Turkey bacon — 40 g (1.4 oz)
Avocado — 70 g (2.5 oz)
Tomato — 80 g (2.8 oz)
Romaine lettuce — 30 g (1.1 oz)
Mayonnaise (avocado oil) — 15 g (0.5 oz)</t>
        </is>
      </c>
      <c r="M1131" s="4" t="inlineStr">
        <is>
          <t>[{"ingredient_id": "white_bread", "name": "White bread", "grams": 120.0, "note": ""}, {"ingredient_id": "deli_turkey", "name": "Deli turkey breast, low sodium", "grams": 100.0, "note": ""}, {"ingredient_id": "turkey_bacon", "name": "Turkey bacon", "grams": 40.0, "note": ""}, {"ingredient_id": "avocado", "name": "Avocado", "grams": 70.0, "note": ""}, {"ingredient_id": "tomato", "name": "Tomato", "grams": 80.0, "note": ""}, {"ingredient_id": "romaine", "name": "Romaine lettuce", "grams": 30.0, "note": ""}, {"ingredient_id": "mayo", "name": "Mayonnaise (avocado oil)", "grams": 15.0, "note": ""}]</t>
        </is>
      </c>
      <c r="N1131" s="2" t="n">
        <v>374</v>
      </c>
      <c r="O1131" s="5" t="n">
        <v>19</v>
      </c>
      <c r="P1131" s="5" t="n">
        <v>17.1</v>
      </c>
      <c r="Q1131" s="5" t="n">
        <v>36.9</v>
      </c>
      <c r="R1131" s="5" t="n">
        <v>4.5</v>
      </c>
      <c r="S1131" s="5" t="n">
        <v>32.4</v>
      </c>
      <c r="T1131" s="2" t="n">
        <v>63</v>
      </c>
      <c r="U1131" s="2" t="inlineStr">
        <is>
          <t>medium</t>
        </is>
      </c>
      <c r="V1131" s="5" t="n">
        <v>20.4</v>
      </c>
      <c r="W1131" s="2" t="inlineStr">
        <is>
          <t>high</t>
        </is>
      </c>
      <c r="X1131" s="3" t="inlineStr">
        <is>
          <t>Medium-GI dish: keep to the stated portion and pair with the protein/fat in the recipe; GL per serving is the better guide.</t>
        </is>
      </c>
      <c r="Y1131" s="3" t="inlineStr">
        <is>
          <t>87% of this dish's available carbohydrate comes from ingredients with a published, measured GI; the rest uses conventional placeholders (see Ingredients sheet)</t>
        </is>
      </c>
      <c r="Z1131" s="2" t="n">
        <v>87</v>
      </c>
      <c r="AA1131" s="3" t="inlineStr">
        <is>
          <t>dairy-free, nut-free</t>
        </is>
      </c>
      <c r="AB1131" s="3" t="inlineStr">
        <is>
          <t>1. Toast the bread.
2. Spread with mayo.
3. Layer turkey, bacon, avocado, tomato and romaine.
4. Cut into triangles.</t>
        </is>
      </c>
      <c r="AC1131" s="4" t="inlineStr">
        <is>
          <t>["Toast the bread.", "Spread with mayo.", "Layer turkey, bacon, avocado, tomato and romaine.", "Cut into triangles."]</t>
        </is>
      </c>
    </row>
    <row r="1132" ht="96" customHeight="1">
      <c r="A1132" s="2" t="inlineStr">
        <is>
          <t>DB-1131</t>
        </is>
      </c>
      <c r="B1132" s="3" t="inlineStr">
        <is>
          <t>BLT Sandwich with Avocado</t>
        </is>
      </c>
      <c r="C1132" s="4" t="inlineStr">
        <is>
          <t>Sandwiches &amp; Wraps</t>
        </is>
      </c>
      <c r="D1132" s="4" t="inlineStr">
        <is>
          <t>American</t>
        </is>
      </c>
      <c r="E1132" s="2" t="n">
        <v>2</v>
      </c>
      <c r="F1132" s="2" t="n">
        <v>5</v>
      </c>
      <c r="G1132" s="2" t="n">
        <v>8</v>
      </c>
      <c r="H1132" s="2" t="n">
        <v>13</v>
      </c>
      <c r="I1132" s="4" t="inlineStr">
        <is>
          <t>blt-sandwich-with-avocado.jpg</t>
        </is>
      </c>
      <c r="J1132" s="3" t="inlineStr">
        <is>
          <t>BLT Sandwich with Avocado, healthy food photography, plated, natural light</t>
        </is>
      </c>
      <c r="K1132" s="4" t="inlineStr"/>
      <c r="L1132" s="3" t="inlineStr">
        <is>
          <t>White bread — 100 g (3.5 oz)
Bacon — 50 g (1.8 oz)
Tomato — 120 g (4.2 oz)
Romaine lettuce — 40 g (1.4 oz)
Avocado — 70 g (2.5 oz)
Mayonnaise (avocado oil) — 10 g (0.4 oz)</t>
        </is>
      </c>
      <c r="M1132" s="4" t="inlineStr">
        <is>
          <t>[{"ingredient_id": "white_bread", "name": "White bread", "grams": 100.0, "note": ""}, {"ingredient_id": "bacon", "name": "Bacon", "grams": 50.0, "note": ""}, {"ingredient_id": "tomato", "name": "Tomato", "grams": 120.0, "note": ""}, {"ingredient_id": "romaine", "name": "Romaine lettuce", "grams": 40.0, "note": ""}, {"ingredient_id": "avocado", "name": "Avocado", "grams": 70.0, "note": ""}, {"ingredient_id": "mayo", "name": "Mayonnaise (avocado oil)", "grams": 10.0, "note": ""}]</t>
        </is>
      </c>
      <c r="N1132" s="2" t="n">
        <v>374</v>
      </c>
      <c r="O1132" s="5" t="n">
        <v>15.4</v>
      </c>
      <c r="P1132" s="5" t="n">
        <v>21.6</v>
      </c>
      <c r="Q1132" s="5" t="n">
        <v>30.9</v>
      </c>
      <c r="R1132" s="5" t="n">
        <v>4.6</v>
      </c>
      <c r="S1132" s="5" t="n">
        <v>26.3</v>
      </c>
      <c r="T1132" s="2" t="n">
        <v>66</v>
      </c>
      <c r="U1132" s="2" t="inlineStr">
        <is>
          <t>medium</t>
        </is>
      </c>
      <c r="V1132" s="5" t="n">
        <v>17.4</v>
      </c>
      <c r="W1132" s="2" t="inlineStr">
        <is>
          <t>medium</t>
        </is>
      </c>
      <c r="X1132" s="3" t="inlineStr">
        <is>
          <t>Medium-GI dish: keep to the stated portion and pair with the protein/fat in the recipe; GL per serving is the better guide.</t>
        </is>
      </c>
      <c r="Y1132" s="3" t="inlineStr">
        <is>
          <t>89% of this dish's available carbohydrate comes from ingredients with a published, measured GI; the rest uses conventional placeholders (see Ingredients sheet)</t>
        </is>
      </c>
      <c r="Z1132" s="2" t="n">
        <v>89</v>
      </c>
      <c r="AA1132" s="3" t="inlineStr">
        <is>
          <t>dairy-free, nut-free</t>
        </is>
      </c>
      <c r="AB1132" s="3" t="inlineStr">
        <is>
          <t>1. Cook the bacon until crisp.
2. Toast the bread and spread with mayo and mashed avocado.
3. Layer bacon, tomato and romaine.</t>
        </is>
      </c>
      <c r="AC1132" s="4" t="inlineStr">
        <is>
          <t>["Cook the bacon until crisp.", "Toast the bread and spread with mayo and mashed avocado.", "Layer bacon, tomato and romaine."]</t>
        </is>
      </c>
    </row>
    <row r="1133" ht="96" customHeight="1">
      <c r="A1133" s="2" t="inlineStr">
        <is>
          <t>DB-1132</t>
        </is>
      </c>
      <c r="B1133" s="3" t="inlineStr">
        <is>
          <t>Cheeseburger on a Bun</t>
        </is>
      </c>
      <c r="C1133" s="4" t="inlineStr">
        <is>
          <t>Sandwiches &amp; Wraps</t>
        </is>
      </c>
      <c r="D1133" s="4" t="inlineStr">
        <is>
          <t>American</t>
        </is>
      </c>
      <c r="E1133" s="2" t="n">
        <v>4</v>
      </c>
      <c r="F1133" s="2" t="n">
        <v>10</v>
      </c>
      <c r="G1133" s="2" t="n">
        <v>12</v>
      </c>
      <c r="H1133" s="2" t="n">
        <v>22</v>
      </c>
      <c r="I1133" s="4" t="inlineStr">
        <is>
          <t>cheeseburger-on-a-bun.jpg</t>
        </is>
      </c>
      <c r="J1133" s="3" t="inlineStr">
        <is>
          <t>Cheeseburger on a Bun, healthy food photography, plated, natural light</t>
        </is>
      </c>
      <c r="K1133" s="4" t="inlineStr"/>
      <c r="L1133" s="3" t="inlineStr">
        <is>
          <t>Ground beef 90% lean — 450 g (15.9 oz)
Hamburger bun, white — 240 g (8.5 oz)
Cheddar cheese — 60 g (2.1 oz)
Tomato — 120 g (4.2 oz)
Romaine lettuce — 60 g (2.1 oz)
Red onion — 40 g (1.4 oz)
Dill pickles — 40 g (1.4 oz)
Yellow mustard — 10 g (0.4 oz)
Salt — 2 g (0.1 oz)</t>
        </is>
      </c>
      <c r="M1133" s="4" t="inlineStr">
        <is>
          <t>[{"ingredient_id": "ground_beef", "name": "Ground beef 90% lean", "grams": 450.0, "note": ""}, {"ingredient_id": "hamburger_bun", "name": "Hamburger bun, white", "grams": 240.0, "note": ""}, {"ingredient_id": "cheddar", "name": "Cheddar cheese", "grams": 60.0, "note": ""}, {"ingredient_id": "tomato", "name": "Tomato", "grams": 120.0, "note": ""}, {"ingredient_id": "romaine", "name": "Romaine lettuce", "grams": 60.0, "note": ""}, {"ingredient_id": "red_onion", "name": "Red onion", "grams": 40.0, "note": ""}, {"ingredient_id": "dill_pickle", "name": "Dill pickles", "grams": 40.0, "note": ""}, {"ingredient_id": "yellow_mustard", "name": "Yellow mustard", "grams": 10.0, "note": ""}, {"ingredient_id": "salt", "name": "Salt", "grams": 2.0, "note": ""}]</t>
        </is>
      </c>
      <c r="N1133" s="2" t="n">
        <v>433</v>
      </c>
      <c r="O1133" s="5" t="n">
        <v>32.3</v>
      </c>
      <c r="P1133" s="5" t="n">
        <v>18.6</v>
      </c>
      <c r="Q1133" s="5" t="n">
        <v>32.7</v>
      </c>
      <c r="R1133" s="5" t="n">
        <v>2.4</v>
      </c>
      <c r="S1133" s="5" t="n">
        <v>30.3</v>
      </c>
      <c r="T1133" s="2" t="n">
        <v>59</v>
      </c>
      <c r="U1133" s="2" t="inlineStr">
        <is>
          <t>medium</t>
        </is>
      </c>
      <c r="V1133" s="5" t="n">
        <v>17.9</v>
      </c>
      <c r="W1133" s="2" t="inlineStr">
        <is>
          <t>medium</t>
        </is>
      </c>
      <c r="X1133" s="3" t="inlineStr">
        <is>
          <t>Medium-GI dish: keep to the stated portion and pair with the protein/fat in the recipe; GL per serving is the better guide.</t>
        </is>
      </c>
      <c r="Y1133" s="3" t="inlineStr">
        <is>
          <t>93% of this dish's available carbohydrate comes from ingredients with a published, measured GI; the rest uses conventional placeholders (see Ingredients sheet)</t>
        </is>
      </c>
      <c r="Z1133" s="2" t="n">
        <v>93</v>
      </c>
      <c r="AA1133" s="3" t="inlineStr">
        <is>
          <t>nut-free, high-protein</t>
        </is>
      </c>
      <c r="AB1133" s="3" t="inlineStr">
        <is>
          <t>1. Shape the beef into four patties and season with salt.
2. Grill or pan-sear 4 minutes a side; add cheddar for the last minute.
3. Toast the buns.
4. Build with lettuce, tomato, onion, pickle and mustard.</t>
        </is>
      </c>
      <c r="AC1133" s="4" t="inlineStr">
        <is>
          <t>["Shape the beef into four patties and season with salt.", "Grill or pan-sear 4 minutes a side; add cheddar for the last minute.", "Toast the buns.", "Build with lettuce, tomato, onion, pickle and mustard."]</t>
        </is>
      </c>
    </row>
    <row r="1134" ht="96" customHeight="1">
      <c r="A1134" s="2" t="inlineStr">
        <is>
          <t>DB-1133</t>
        </is>
      </c>
      <c r="B1134" s="3" t="inlineStr">
        <is>
          <t>Turkey Burger on a Whole Bun with Avocado</t>
        </is>
      </c>
      <c r="C1134" s="4" t="inlineStr">
        <is>
          <t>Sandwiches &amp; Wraps</t>
        </is>
      </c>
      <c r="D1134" s="4" t="inlineStr">
        <is>
          <t>American</t>
        </is>
      </c>
      <c r="E1134" s="2" t="n">
        <v>4</v>
      </c>
      <c r="F1134" s="2" t="n">
        <v>10</v>
      </c>
      <c r="G1134" s="2" t="n">
        <v>12</v>
      </c>
      <c r="H1134" s="2" t="n">
        <v>22</v>
      </c>
      <c r="I1134" s="4" t="inlineStr">
        <is>
          <t>turkey-burger-on-a-whole-bun-with-avocado.jpg</t>
        </is>
      </c>
      <c r="J1134" s="3" t="inlineStr">
        <is>
          <t>Turkey Burger on a Whole Bun with Avocado, healthy food photography, plated, natural light</t>
        </is>
      </c>
      <c r="K1134" s="4" t="inlineStr"/>
      <c r="L1134" s="3" t="inlineStr">
        <is>
          <t>Ground turkey 93% lean — 500 g (17.6 oz)
Hamburger bun, white — 240 g (8.5 oz)
Avocado — 100 g (3.5 oz)
Tomato — 120 g (4.2 oz)
Romaine lettuce — 60 g (2.1 oz)
Red onion — 30 g (1.1 oz)
Smoked paprika — 2 g (0.1 oz)
Salt — 2 g (0.1 oz)</t>
        </is>
      </c>
      <c r="M1134" s="4" t="inlineStr">
        <is>
          <t>[{"ingredient_id": "ground_turkey", "name": "Ground turkey 93% lean", "grams": 500.0, "note": ""}, {"ingredient_id": "hamburger_bun", "name": "Hamburger bun, white", "grams": 240.0, "note": ""}, {"ingredient_id": "avocado", "name": "Avocado", "grams": 100.0, "note": ""}, {"ingredient_id": "tomato", "name": "Tomato", "grams": 120.0, "note": ""}, {"ingredient_id": "romaine", "name": "Romaine lettuce", "grams": 60.0, "note": ""}, {"ingredient_id": "red_onion", "name": "Red onion", "grams": 30.0, "note": ""}, {"ingredient_id": "smoked_paprika", "name": "Smoked paprika", "grams": 2.0, "note": ""}, {"ingredient_id": "salt", "name": "Salt", "grams": 2.0, "note": ""}]</t>
        </is>
      </c>
      <c r="N1134" s="2" t="n">
        <v>400</v>
      </c>
      <c r="O1134" s="5" t="n">
        <v>30.1</v>
      </c>
      <c r="P1134" s="5" t="n">
        <v>16.1</v>
      </c>
      <c r="Q1134" s="5" t="n">
        <v>34.3</v>
      </c>
      <c r="R1134" s="5" t="n">
        <v>4</v>
      </c>
      <c r="S1134" s="5" t="n">
        <v>30.2</v>
      </c>
      <c r="T1134" s="2" t="n">
        <v>59</v>
      </c>
      <c r="U1134" s="2" t="inlineStr">
        <is>
          <t>medium</t>
        </is>
      </c>
      <c r="V1134" s="5" t="n">
        <v>17.8</v>
      </c>
      <c r="W1134" s="2" t="inlineStr">
        <is>
          <t>medium</t>
        </is>
      </c>
      <c r="X1134" s="3" t="inlineStr">
        <is>
          <t>Medium-GI dish: keep to the stated portion and pair with the protein/fat in the recipe; GL per serving is the better guide.</t>
        </is>
      </c>
      <c r="Y1134" s="3" t="inlineStr">
        <is>
          <t>93% of this dish's available carbohydrate comes from ingredients with a published, measured GI; the rest uses conventional placeholders (see Ingredients sheet)</t>
        </is>
      </c>
      <c r="Z1134" s="2" t="n">
        <v>93</v>
      </c>
      <c r="AA1134" s="3" t="inlineStr">
        <is>
          <t>dairy-free, nut-free, high-protein</t>
        </is>
      </c>
      <c r="AB1134" s="3" t="inlineStr">
        <is>
          <t>1. Mix the turkey with paprika and salt and shape four patties.
2. Pan-sear 5 to 6 minutes a side.
3. Toast the buns.
4. Build with avocado, tomato, lettuce and onion.</t>
        </is>
      </c>
      <c r="AC1134" s="4" t="inlineStr">
        <is>
          <t>["Mix the turkey with paprika and salt and shape four patties.", "Pan-sear 5 to 6 minutes a side.", "Toast the buns.", "Build with avocado, tomato, lettuce and onion."]</t>
        </is>
      </c>
    </row>
    <row r="1135" ht="96" customHeight="1">
      <c r="A1135" s="2" t="inlineStr">
        <is>
          <t>DB-1134</t>
        </is>
      </c>
      <c r="B1135" s="3" t="inlineStr">
        <is>
          <t>Patty Melt</t>
        </is>
      </c>
      <c r="C1135" s="4" t="inlineStr">
        <is>
          <t>Sandwiches &amp; Wraps</t>
        </is>
      </c>
      <c r="D1135" s="4" t="inlineStr">
        <is>
          <t>American</t>
        </is>
      </c>
      <c r="E1135" s="2" t="n">
        <v>2</v>
      </c>
      <c r="F1135" s="2" t="n">
        <v>10</v>
      </c>
      <c r="G1135" s="2" t="n">
        <v>15</v>
      </c>
      <c r="H1135" s="2" t="n">
        <v>25</v>
      </c>
      <c r="I1135" s="4" t="inlineStr">
        <is>
          <t>patty-melt.jpg</t>
        </is>
      </c>
      <c r="J1135" s="3" t="inlineStr">
        <is>
          <t>Patty Melt, healthy food photography, plated, natural light</t>
        </is>
      </c>
      <c r="K1135" s="4" t="inlineStr"/>
      <c r="L1135" s="3" t="inlineStr">
        <is>
          <t>Ground beef 90% lean — 250 g (8.8 oz)
White bread — 100 g (3.5 oz)
Swiss cheese — 50 g (1.8 oz)
Yellow onion — 120 g (4.2 oz)
Butter — 10 g (0.4 oz)
Extra-virgin olive oil — 5 g (0.2 oz)</t>
        </is>
      </c>
      <c r="M1135" s="4" t="inlineStr">
        <is>
          <t>[{"ingredient_id": "ground_beef", "name": "Ground beef 90% lean", "grams": 250.0, "note": ""}, {"ingredient_id": "white_bread", "name": "White bread", "grams": 100.0, "note": ""}, {"ingredient_id": "swiss_cheese", "name": "Swiss cheese", "grams": 50.0, "note": ""}, {"ingredient_id": "onion", "name": "Yellow onion", "grams": 120.0, "note": ""}, {"ingredient_id": "butter", "name": "Butter", "grams": 10.0, "note": ""}, {"ingredient_id": "olive_oil", "name": "Extra-virgin olive oil", "grams": 5.0, "note": ""}]</t>
        </is>
      </c>
      <c r="N1135" s="2" t="n">
        <v>530</v>
      </c>
      <c r="O1135" s="5" t="n">
        <v>37.2</v>
      </c>
      <c r="P1135" s="5" t="n">
        <v>27.9</v>
      </c>
      <c r="Q1135" s="5" t="n">
        <v>30.6</v>
      </c>
      <c r="R1135" s="5" t="n">
        <v>2.2</v>
      </c>
      <c r="S1135" s="5" t="n">
        <v>28.4</v>
      </c>
      <c r="T1135" s="2" t="n">
        <v>62</v>
      </c>
      <c r="U1135" s="2" t="inlineStr">
        <is>
          <t>medium</t>
        </is>
      </c>
      <c r="V1135" s="5" t="n">
        <v>17.6</v>
      </c>
      <c r="W1135" s="2" t="inlineStr">
        <is>
          <t>medium</t>
        </is>
      </c>
      <c r="X1135" s="3" t="inlineStr">
        <is>
          <t>Medium-GI dish: keep to the stated portion and pair with the protein/fat in the recipe; GL per serving is the better guide.</t>
        </is>
      </c>
      <c r="Y1135" s="3" t="inlineStr">
        <is>
          <t>83% of this dish's available carbohydrate comes from ingredients with a published, measured GI; the rest uses conventional placeholders (see Ingredients sheet)</t>
        </is>
      </c>
      <c r="Z1135" s="2" t="n">
        <v>83</v>
      </c>
      <c r="AA1135" s="3" t="inlineStr">
        <is>
          <t>nut-free, high-protein</t>
        </is>
      </c>
      <c r="AB1135" s="3" t="inlineStr">
        <is>
          <t>1. Caramelise the onion slowly in oil.
2. Form two oval patties and sear.
3. Layer patty, onion and Swiss between buttered bread.
4. Grill until crisp and melted.</t>
        </is>
      </c>
      <c r="AC1135" s="4" t="inlineStr">
        <is>
          <t>["Caramelise the onion slowly in oil.", "Form two oval patties and sear.", "Layer patty, onion and Swiss between buttered bread.", "Grill until crisp and melted."]</t>
        </is>
      </c>
    </row>
    <row r="1136" ht="96" customHeight="1">
      <c r="A1136" s="2" t="inlineStr">
        <is>
          <t>DB-1135</t>
        </is>
      </c>
      <c r="B1136" s="3" t="inlineStr">
        <is>
          <t>Hot Dog with Sauerkraut and Mustard</t>
        </is>
      </c>
      <c r="C1136" s="4" t="inlineStr">
        <is>
          <t>Sandwiches &amp; Wraps</t>
        </is>
      </c>
      <c r="D1136" s="4" t="inlineStr">
        <is>
          <t>American</t>
        </is>
      </c>
      <c r="E1136" s="2" t="n">
        <v>4</v>
      </c>
      <c r="F1136" s="2" t="n">
        <v>5</v>
      </c>
      <c r="G1136" s="2" t="n">
        <v>8</v>
      </c>
      <c r="H1136" s="2" t="n">
        <v>13</v>
      </c>
      <c r="I1136" s="4" t="inlineStr">
        <is>
          <t>hot-dog-with-sauerkraut-and-mustard.jpg</t>
        </is>
      </c>
      <c r="J1136" s="3" t="inlineStr">
        <is>
          <t>Hot Dog with Sauerkraut and Mustard, healthy food photography, plated, natural light</t>
        </is>
      </c>
      <c r="K1136" s="4" t="inlineStr"/>
      <c r="L1136" s="3" t="inlineStr">
        <is>
          <t>Turkey sausage — 400 g (14.1 oz)
Hamburger bun, white — 160 g (5.6 oz)
Sauerkraut — 120 g (4.2 oz)
Yellow mustard — 20 g (0.7 oz)
Red onion — 30 g (1.1 oz)</t>
        </is>
      </c>
      <c r="M1136" s="4" t="inlineStr">
        <is>
          <t>[{"ingredient_id": "turkey_sausage", "name": "Turkey sausage", "grams": 400.0, "note": ""}, {"ingredient_id": "hamburger_bun", "name": "Hamburger bun, white", "grams": 160.0, "note": ""}, {"ingredient_id": "sauerkraut", "name": "Sauerkraut", "grams": 120.0, "note": ""}, {"ingredient_id": "yellow_mustard", "name": "Yellow mustard", "grams": 20.0, "note": ""}, {"ingredient_id": "red_onion", "name": "Red onion", "grams": 30.0, "note": ""}]</t>
        </is>
      </c>
      <c r="N1136" s="2" t="n">
        <v>274</v>
      </c>
      <c r="O1136" s="5" t="n">
        <v>19.3</v>
      </c>
      <c r="P1136" s="5" t="n">
        <v>11.6</v>
      </c>
      <c r="Q1136" s="5" t="n">
        <v>23.9</v>
      </c>
      <c r="R1136" s="5" t="n">
        <v>2.1</v>
      </c>
      <c r="S1136" s="5" t="n">
        <v>21.9</v>
      </c>
      <c r="T1136" s="2" t="n">
        <v>54</v>
      </c>
      <c r="U1136" s="2" t="inlineStr">
        <is>
          <t>low</t>
        </is>
      </c>
      <c r="V1136" s="5" t="n">
        <v>11.8</v>
      </c>
      <c r="W1136" s="2" t="inlineStr">
        <is>
          <t>medium</t>
        </is>
      </c>
      <c r="X1136" s="3" t="inlineStr"/>
      <c r="Y1136" s="3" t="inlineStr">
        <is>
          <t>86% of this dish's available carbohydrate comes from ingredients with a published, measured GI; the rest uses conventional placeholders (see Ingredients sheet)</t>
        </is>
      </c>
      <c r="Z1136" s="2" t="n">
        <v>86</v>
      </c>
      <c r="AA1136" s="3" t="inlineStr">
        <is>
          <t>dairy-free, nut-free</t>
        </is>
      </c>
      <c r="AB1136" s="3" t="inlineStr">
        <is>
          <t>1. Grill or pan-sear the sausages.
2. Warm the buns.
3. Fill with sausage, sauerkraut, mustard and onion.</t>
        </is>
      </c>
      <c r="AC1136" s="4" t="inlineStr">
        <is>
          <t>["Grill or pan-sear the sausages.", "Warm the buns.", "Fill with sausage, sauerkraut, mustard and onion."]</t>
        </is>
      </c>
    </row>
    <row r="1137" ht="96" customHeight="1">
      <c r="A1137" s="2" t="inlineStr">
        <is>
          <t>DB-1136</t>
        </is>
      </c>
      <c r="B1137" s="3" t="inlineStr">
        <is>
          <t>Chicken Salad Sandwich</t>
        </is>
      </c>
      <c r="C1137" s="4" t="inlineStr">
        <is>
          <t>Sandwiches &amp; Wraps</t>
        </is>
      </c>
      <c r="D1137" s="4" t="inlineStr">
        <is>
          <t>American</t>
        </is>
      </c>
      <c r="E1137" s="2" t="n">
        <v>3</v>
      </c>
      <c r="F1137" s="2" t="n">
        <v>15</v>
      </c>
      <c r="G1137" s="2" t="n">
        <v>0</v>
      </c>
      <c r="H1137" s="2" t="n">
        <v>15</v>
      </c>
      <c r="I1137" s="4" t="inlineStr">
        <is>
          <t>chicken-salad-sandwich.jpg</t>
        </is>
      </c>
      <c r="J1137" s="3" t="inlineStr">
        <is>
          <t>Chicken Salad Sandwich, healthy food photography, plated, natural light</t>
        </is>
      </c>
      <c r="K1137" s="4" t="inlineStr"/>
      <c r="L1137" s="3" t="inlineStr">
        <is>
          <t>Rotisserie chicken, skin removed — 250 g (8.8 oz)
White bread — 150 g (5.3 oz)
Celery — 50 g (1.8 oz)
Greek yogurt, plain 2% — 70 g (2.5 oz)
Mayonnaise (avocado oil) — 15 g (0.5 oz)
Dijon mustard — 5 g (0.2 oz)
Lemon juice — 10 g (0.4 oz)
Romaine lettuce — 40 g (1.4 oz)</t>
        </is>
      </c>
      <c r="M1137" s="4" t="inlineStr">
        <is>
          <t>[{"ingredient_id": "rotisserie_chicken", "name": "Rotisserie chicken, skin removed", "grams": 250.0, "note": ""}, {"ingredient_id": "white_bread", "name": "White bread", "grams": 150.0, "note": ""}, {"ingredient_id": "celery", "name": "Celery", "grams": 50.0, "note": ""}, {"ingredient_id": "greek_yogurt", "name": "Greek yogurt, plain 2%", "grams": 70.0, "note": ""}, {"ingredient_id": "mayo", "name": "Mayonnaise (avocado oil)", "grams": 15.0, "note": ""}, {"ingredient_id": "dijon", "name": "Dijon mustard", "grams": 5.0, "note": ""}, {"ingredient_id": "lemon_juice", "name": "Lemon juice", "grams": 10.0, "note": ""}, {"ingredient_id": "romaine", "name": "Romaine lettuce", "grams": 40.0, "note": ""}]</t>
        </is>
      </c>
      <c r="N1137" s="2" t="n">
        <v>326</v>
      </c>
      <c r="O1137" s="5" t="n">
        <v>26.6</v>
      </c>
      <c r="P1137" s="5" t="n">
        <v>12.1</v>
      </c>
      <c r="Q1137" s="5" t="n">
        <v>26.8</v>
      </c>
      <c r="R1137" s="5" t="n">
        <v>1.8</v>
      </c>
      <c r="S1137" s="5" t="n">
        <v>25</v>
      </c>
      <c r="T1137" s="2" t="n">
        <v>68</v>
      </c>
      <c r="U1137" s="2" t="inlineStr">
        <is>
          <t>medium</t>
        </is>
      </c>
      <c r="V1137" s="5" t="n">
        <v>17</v>
      </c>
      <c r="W1137" s="2" t="inlineStr">
        <is>
          <t>medium</t>
        </is>
      </c>
      <c r="X1137" s="3" t="inlineStr">
        <is>
          <t>Medium-GI dish: keep to the stated portion and pair with the protein/fat in the recipe; GL per serving is the better guide.</t>
        </is>
      </c>
      <c r="Y1137" s="3" t="inlineStr">
        <is>
          <t>97% of this dish's available carbohydrate comes from ingredients with a published, measured GI; the rest uses conventional placeholders (see Ingredients sheet)</t>
        </is>
      </c>
      <c r="Z1137" s="2" t="n">
        <v>97</v>
      </c>
      <c r="AA1137" s="3" t="inlineStr">
        <is>
          <t>nut-free, high-protein, no-cook</t>
        </is>
      </c>
      <c r="AB1137" s="3" t="inlineStr">
        <is>
          <t>1. Shred the chicken and mix with celery, yogurt, mayo, mustard and lemon.
2. Pile onto bread with lettuce.</t>
        </is>
      </c>
      <c r="AC1137" s="4" t="inlineStr">
        <is>
          <t>["Shred the chicken and mix with celery, yogurt, mayo, mustard and lemon.", "Pile onto bread with lettuce."]</t>
        </is>
      </c>
    </row>
    <row r="1138" ht="96" customHeight="1">
      <c r="A1138" s="2" t="inlineStr">
        <is>
          <t>DB-1137</t>
        </is>
      </c>
      <c r="B1138" s="3" t="inlineStr">
        <is>
          <t>Tuna Salad Sandwich on White</t>
        </is>
      </c>
      <c r="C1138" s="4" t="inlineStr">
        <is>
          <t>Sandwiches &amp; Wraps</t>
        </is>
      </c>
      <c r="D1138" s="4" t="inlineStr">
        <is>
          <t>American</t>
        </is>
      </c>
      <c r="E1138" s="2" t="n">
        <v>2</v>
      </c>
      <c r="F1138" s="2" t="n">
        <v>10</v>
      </c>
      <c r="G1138" s="2" t="n">
        <v>0</v>
      </c>
      <c r="H1138" s="2" t="n">
        <v>10</v>
      </c>
      <c r="I1138" s="4" t="inlineStr">
        <is>
          <t>tuna-salad-sandwich-on-white.jpg</t>
        </is>
      </c>
      <c r="J1138" s="3" t="inlineStr">
        <is>
          <t>Tuna Salad Sandwich on White, healthy food photography, plated, natural light</t>
        </is>
      </c>
      <c r="K1138" s="4" t="inlineStr"/>
      <c r="L1138" s="3" t="inlineStr">
        <is>
          <t>Tuna, canned in water — 180 g (6.3 oz)
White bread — 100 g (3.5 oz)
Celery — 40 g (1.4 oz)
Mayonnaise (avocado oil) — 20 g (0.7 oz)
Dill pickles — 30 g (1.1 oz)
Romaine lettuce — 30 g (1.1 oz)</t>
        </is>
      </c>
      <c r="M1138" s="4" t="inlineStr">
        <is>
          <t>[{"ingredient_id": "tuna_canned", "name": "Tuna, canned in water", "grams": 180.0, "note": ""}, {"ingredient_id": "white_bread", "name": "White bread", "grams": 100.0, "note": ""}, {"ingredient_id": "celery", "name": "Celery", "grams": 40.0, "note": ""}, {"ingredient_id": "mayo", "name": "Mayonnaise (avocado oil)", "grams": 20.0, "note": ""}, {"ingredient_id": "dill_pickle", "name": "Dill pickles", "grams": 30.0, "note": ""}, {"ingredient_id": "romaine", "name": "Romaine lettuce", "grams": 30.0, "note": ""}]</t>
        </is>
      </c>
      <c r="N1138" s="2" t="n">
        <v>315</v>
      </c>
      <c r="O1138" s="5" t="n">
        <v>28.5</v>
      </c>
      <c r="P1138" s="5" t="n">
        <v>10.6</v>
      </c>
      <c r="Q1138" s="5" t="n">
        <v>26.1</v>
      </c>
      <c r="R1138" s="5" t="n">
        <v>2</v>
      </c>
      <c r="S1138" s="5" t="n">
        <v>24.1</v>
      </c>
      <c r="T1138" s="2" t="n">
        <v>70</v>
      </c>
      <c r="U1138" s="2" t="inlineStr">
        <is>
          <t>high</t>
        </is>
      </c>
      <c r="V1138" s="5" t="n">
        <v>16.9</v>
      </c>
      <c r="W1138" s="2" t="inlineStr">
        <is>
          <t>medium</t>
        </is>
      </c>
      <c r="X1138" s="3" t="inlineStr">
        <is>
          <t>Medium-GI dish: keep to the stated portion and pair with the protein/fat in the recipe; GL per serving is the better guide.</t>
        </is>
      </c>
      <c r="Y1138" s="3" t="inlineStr">
        <is>
          <t>97% of this dish's available carbohydrate comes from ingredients with a published, measured GI; the rest uses conventional placeholders (see Ingredients sheet)</t>
        </is>
      </c>
      <c r="Z1138" s="2" t="n">
        <v>97</v>
      </c>
      <c r="AA1138" s="3" t="inlineStr">
        <is>
          <t>pescatarian, dairy-free, nut-free, high-protein, no-cook</t>
        </is>
      </c>
      <c r="AB1138" s="3" t="inlineStr">
        <is>
          <t>1. Flake the tuna and mix with celery, chopped pickle and mayo.
2. Spread on bread with lettuce.</t>
        </is>
      </c>
      <c r="AC1138" s="4" t="inlineStr">
        <is>
          <t>["Flake the tuna and mix with celery, chopped pickle and mayo.", "Spread on bread with lettuce."]</t>
        </is>
      </c>
    </row>
    <row r="1139" ht="96" customHeight="1">
      <c r="A1139" s="2" t="inlineStr">
        <is>
          <t>DB-1138</t>
        </is>
      </c>
      <c r="B1139" s="3" t="inlineStr">
        <is>
          <t>Philly Cheesesteak Sandwich</t>
        </is>
      </c>
      <c r="C1139" s="4" t="inlineStr">
        <is>
          <t>Sandwiches &amp; Wraps</t>
        </is>
      </c>
      <c r="D1139" s="4" t="inlineStr">
        <is>
          <t>American</t>
        </is>
      </c>
      <c r="E1139" s="2" t="n">
        <v>3</v>
      </c>
      <c r="F1139" s="2" t="n">
        <v>15</v>
      </c>
      <c r="G1139" s="2" t="n">
        <v>12</v>
      </c>
      <c r="H1139" s="2" t="n">
        <v>27</v>
      </c>
      <c r="I1139" s="4" t="inlineStr">
        <is>
          <t>philly-cheesesteak-sandwich.jpg</t>
        </is>
      </c>
      <c r="J1139" s="3" t="inlineStr">
        <is>
          <t>Philly Cheesesteak Sandwich, healthy food photography, plated, natural light</t>
        </is>
      </c>
      <c r="K1139" s="4" t="inlineStr"/>
      <c r="L1139" s="3" t="inlineStr">
        <is>
          <t>Flank steak — 360 g (12.7 oz)
Hamburger bun, white — 180 g (6.3 oz)
Bell pepper — 120 g (4.2 oz)
Yellow onion — 120 g (4.2 oz)
Mushrooms (cremini/white) — 100 g (3.5 oz)
Swiss cheese — 60 g (2.1 oz)
Extra-virgin olive oil — 15 g (0.5 oz)</t>
        </is>
      </c>
      <c r="M1139" s="4" t="inlineStr">
        <is>
          <t>[{"ingredient_id": "flank_steak", "name": "Flank steak", "grams": 360.0, "note": ""}, {"ingredient_id": "hamburger_bun", "name": "Hamburger bun, white", "grams": 180.0, "note": ""}, {"ingredient_id": "bell_pepper", "name": "Bell pepper", "grams": 120.0, "note": ""}, {"ingredient_id": "onion", "name": "Yellow onion", "grams": 120.0, "note": ""}, {"ingredient_id": "mushrooms", "name": "Mushrooms (cremini/white)", "grams": 100.0, "note": ""}, {"ingredient_id": "swiss_cheese", "name": "Swiss cheese", "grams": 60.0, "note": ""}, {"ingredient_id": "olive_oil", "name": "Extra-virgin olive oil", "grams": 15.0, "note": ""}]</t>
        </is>
      </c>
      <c r="N1139" s="2" t="n">
        <v>496</v>
      </c>
      <c r="O1139" s="5" t="n">
        <v>38.1</v>
      </c>
      <c r="P1139" s="5" t="n">
        <v>21.4</v>
      </c>
      <c r="Q1139" s="5" t="n">
        <v>37</v>
      </c>
      <c r="R1139" s="5" t="n">
        <v>3.2</v>
      </c>
      <c r="S1139" s="5" t="n">
        <v>33.8</v>
      </c>
      <c r="T1139" s="2" t="n">
        <v>54</v>
      </c>
      <c r="U1139" s="2" t="inlineStr">
        <is>
          <t>low</t>
        </is>
      </c>
      <c r="V1139" s="5" t="n">
        <v>18.3</v>
      </c>
      <c r="W1139" s="2" t="inlineStr">
        <is>
          <t>medium</t>
        </is>
      </c>
      <c r="X1139" s="3" t="inlineStr"/>
      <c r="Y1139" s="3" t="inlineStr">
        <is>
          <t>83% of this dish's available carbohydrate comes from ingredients with a published, measured GI; the rest uses conventional placeholders (see Ingredients sheet)</t>
        </is>
      </c>
      <c r="Z1139" s="2" t="n">
        <v>83</v>
      </c>
      <c r="AA1139" s="3" t="inlineStr">
        <is>
          <t>nut-free, high-protein</t>
        </is>
      </c>
      <c r="AB1139" s="3" t="inlineStr">
        <is>
          <t>1. Slice the steak very thin.
2. Sauté the onion, pepper and mushrooms in oil.
3. Sear the steak, combine and top with Swiss to melt.
4. Pile into toasted buns.</t>
        </is>
      </c>
      <c r="AC1139" s="4" t="inlineStr">
        <is>
          <t>["Slice the steak very thin.", "Sauté the onion, pepper and mushrooms in oil.", "Sear the steak, combine and top with Swiss to melt.", "Pile into toasted buns."]</t>
        </is>
      </c>
    </row>
    <row r="1140" ht="96" customHeight="1">
      <c r="A1140" s="2" t="inlineStr">
        <is>
          <t>DB-1139</t>
        </is>
      </c>
      <c r="B1140" s="3" t="inlineStr">
        <is>
          <t>Meatball Sub</t>
        </is>
      </c>
      <c r="C1140" s="4" t="inlineStr">
        <is>
          <t>Sandwiches &amp; Wraps</t>
        </is>
      </c>
      <c r="D1140" s="4" t="inlineStr">
        <is>
          <t>Italian</t>
        </is>
      </c>
      <c r="E1140" s="2" t="n">
        <v>4</v>
      </c>
      <c r="F1140" s="2" t="n">
        <v>15</v>
      </c>
      <c r="G1140" s="2" t="n">
        <v>25</v>
      </c>
      <c r="H1140" s="2" t="n">
        <v>40</v>
      </c>
      <c r="I1140" s="4" t="inlineStr">
        <is>
          <t>meatball-sub.jpg</t>
        </is>
      </c>
      <c r="J1140" s="3" t="inlineStr">
        <is>
          <t>Meatball Sub, healthy food photography, plated, natural light</t>
        </is>
      </c>
      <c r="K1140" s="4" t="inlineStr"/>
      <c r="L1140" s="3" t="inlineStr">
        <is>
          <t>Ground turkey 93% lean — 400 g (14.1 oz)
Egg, large (50 g each) — 50 g (1.8 oz)
Parmesan, grated — 30 g (1.1 oz)
Marinara sauce, no sugar added — 300 g (10.6 oz)
Hamburger bun, white — 240 g (8.5 oz)
Mozzarella, part-skim — 80 g (2.8 oz)
Italian seasoning — 3 g (0.1 oz)
Garlic — 6 g (0.2 oz)</t>
        </is>
      </c>
      <c r="M1140" s="4" t="inlineStr">
        <is>
          <t>[{"ingredient_id": "ground_turkey", "name": "Ground turkey 93% lean", "grams": 400.0, "note": ""}, {"ingredient_id": "egg", "name": "Egg, large (50 g each)", "grams": 50.0, "note": ""}, {"ingredient_id": "parmesan", "name": "Parmesan, grated", "grams": 30.0, "note": ""}, {"ingredient_id": "marinara", "name": "Marinara sauce, no sugar added", "grams": 300.0, "note": ""}, {"ingredient_id": "hamburger_bun", "name": "Hamburger bun, white", "grams": 240.0, "note": ""}, {"ingredient_id": "mozzarella", "name": "Mozzarella, part-skim", "grams": 80.0, "note": ""}, {"ingredient_id": "italian_seasoning", "name": "Italian seasoning", "grams": 3.0, "note": ""}, {"ingredient_id": "garlic", "name": "Garlic", "grams": 6.0, "note": ""}]</t>
        </is>
      </c>
      <c r="N1140" s="2" t="n">
        <v>449</v>
      </c>
      <c r="O1140" s="5" t="n">
        <v>34.9</v>
      </c>
      <c r="P1140" s="5" t="n">
        <v>18.6</v>
      </c>
      <c r="Q1140" s="5" t="n">
        <v>35.3</v>
      </c>
      <c r="R1140" s="5" t="n">
        <v>2.9</v>
      </c>
      <c r="S1140" s="5" t="n">
        <v>32.4</v>
      </c>
      <c r="T1140" s="2" t="n">
        <v>57</v>
      </c>
      <c r="U1140" s="2" t="inlineStr">
        <is>
          <t>medium</t>
        </is>
      </c>
      <c r="V1140" s="5" t="n">
        <v>18.5</v>
      </c>
      <c r="W1140" s="2" t="inlineStr">
        <is>
          <t>medium</t>
        </is>
      </c>
      <c r="X1140" s="3" t="inlineStr">
        <is>
          <t>Medium-GI dish: keep to the stated portion and pair with the protein/fat in the recipe; GL per serving is the better guide.</t>
        </is>
      </c>
      <c r="Y1140" s="3" t="inlineStr">
        <is>
          <t>95% of this dish's available carbohydrate comes from ingredients with a published, measured GI; the rest uses conventional placeholders (see Ingredients sheet)</t>
        </is>
      </c>
      <c r="Z1140" s="2" t="n">
        <v>95</v>
      </c>
      <c r="AA1140" s="3" t="inlineStr">
        <is>
          <t>nut-free, high-protein</t>
        </is>
      </c>
      <c r="AB1140" s="3" t="inlineStr">
        <is>
          <t>1. Mix the turkey, egg, parmesan, seasoning and garlic and shape twelve meatballs.
2. Brown, then simmer in the marinara for 15 minutes.
3. Fill the buns, top with mozzarella and broil briefly.</t>
        </is>
      </c>
      <c r="AC1140" s="4" t="inlineStr">
        <is>
          <t>["Mix the turkey, egg, parmesan, seasoning and garlic and shape twelve meatballs.", "Brown, then simmer in the marinara for 15 minutes.", "Fill the buns, top with mozzarella and broil briefly."]</t>
        </is>
      </c>
    </row>
    <row r="1141" ht="96" customHeight="1">
      <c r="A1141" s="2" t="inlineStr">
        <is>
          <t>DB-1140</t>
        </is>
      </c>
      <c r="B1141" s="3" t="inlineStr">
        <is>
          <t>Pulled Pork Sandwich with Slaw</t>
        </is>
      </c>
      <c r="C1141" s="4" t="inlineStr">
        <is>
          <t>Sandwiches &amp; Wraps</t>
        </is>
      </c>
      <c r="D1141" s="4" t="inlineStr">
        <is>
          <t>American</t>
        </is>
      </c>
      <c r="E1141" s="2" t="n">
        <v>6</v>
      </c>
      <c r="F1141" s="2" t="n">
        <v>10</v>
      </c>
      <c r="G1141" s="2" t="n">
        <v>10</v>
      </c>
      <c r="H1141" s="2" t="n">
        <v>20</v>
      </c>
      <c r="I1141" s="4" t="inlineStr">
        <is>
          <t>pulled-pork-sandwich-with-slaw.jpg</t>
        </is>
      </c>
      <c r="J1141" s="3" t="inlineStr">
        <is>
          <t>Pulled Pork Sandwich with Slaw, healthy food photography, plated, natural light</t>
        </is>
      </c>
      <c r="K1141" s="4" t="inlineStr"/>
      <c r="L1141" s="3" t="inlineStr">
        <is>
          <t>Pork shoulder, trimmed — 600 g (21.2 oz)
Tomato paste — 50 g (1.8 oz)
Apple cider vinegar — 30 g (1.1 oz)
Smoked paprika — 4 g (0.1 oz)
Monk fruit/erythritol sweetener — 5 g (0.2 oz)
Hamburger bun, white — 360 g (12.7 oz)
Coleslaw mix (cabbage &amp; carrot) — 180 g (6.3 oz)
Greek yogurt, plain 2% — 60 g (2.1 oz)</t>
        </is>
      </c>
      <c r="M1141" s="4" t="inlineStr">
        <is>
          <t>[{"ingredient_id": "pork_shoulder", "name": "Pork shoulder, trimmed", "grams": 600.0,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"hamburger_bun", "name": "Hamburger bun, white", "grams": 360.0, "note": ""}, {"ingredient_id": "coleslaw_mix", "name": "Coleslaw mix (cabbage &amp; carrot)", "grams": 180.0, "note": ""}, {"ingredient_id": "greek_yogurt", "name": "Greek yogurt, plain 2%", "grams": 60.0, "note": ""}]</t>
        </is>
      </c>
      <c r="N1141" s="2" t="n">
        <v>385</v>
      </c>
      <c r="O1141" s="5" t="n">
        <v>26.5</v>
      </c>
      <c r="P1141" s="5" t="n">
        <v>16.5</v>
      </c>
      <c r="Q1141" s="5" t="n">
        <v>33.7</v>
      </c>
      <c r="R1141" s="5" t="n">
        <v>2.7</v>
      </c>
      <c r="S1141" s="5" t="n">
        <v>31</v>
      </c>
      <c r="T1141" s="2" t="n">
        <v>58</v>
      </c>
      <c r="U1141" s="2" t="inlineStr">
        <is>
          <t>medium</t>
        </is>
      </c>
      <c r="V1141" s="5" t="n">
        <v>18</v>
      </c>
      <c r="W1141" s="2" t="inlineStr">
        <is>
          <t>medium</t>
        </is>
      </c>
      <c r="X1141" s="3" t="inlineStr">
        <is>
          <t>Medium-GI dish: keep to the stated portion and pair with the protein/fat in the recipe; GL per serving is the better guide.</t>
        </is>
      </c>
      <c r="Y1141" s="3" t="inlineStr">
        <is>
          <t>92% of this dish's available carbohydrate comes from ingredients with a published, measured GI; the rest uses conventional placeholders (see Ingredients sheet)</t>
        </is>
      </c>
      <c r="Z1141" s="2" t="n">
        <v>92</v>
      </c>
      <c r="AA1141" s="3" t="inlineStr">
        <is>
          <t>nut-free, high-protein</t>
        </is>
      </c>
      <c r="AB1141" s="3" t="inlineStr">
        <is>
          <t>1. Use cooked, shredded pork shoulder.
2. Toss with the paste, vinegar, paprika and sweetener and warm.
3. Mix the slaw with the yogurt.
4. Pile pork and slaw into the buns.</t>
        </is>
      </c>
      <c r="AC1141" s="4" t="inlineStr">
        <is>
          <t>["Use cooked, shredded pork shoulder.", "Toss with the paste, vinegar, paprika and sweetener and warm.", "Mix the slaw with the yogurt.", "Pile pork and slaw into the buns."]</t>
        </is>
      </c>
    </row>
    <row r="1142" ht="96" customHeight="1">
      <c r="A1142" s="2" t="inlineStr">
        <is>
          <t>DB-1141</t>
        </is>
      </c>
      <c r="B1142" s="3" t="inlineStr">
        <is>
          <t>Chicken Quesadilla</t>
        </is>
      </c>
      <c r="C1142" s="4" t="inlineStr">
        <is>
          <t>Sandwiches &amp; Wraps</t>
        </is>
      </c>
      <c r="D1142" s="4" t="inlineStr">
        <is>
          <t>Tex-Mex</t>
        </is>
      </c>
      <c r="E1142" s="2" t="n">
        <v>3</v>
      </c>
      <c r="F1142" s="2" t="n">
        <v>10</v>
      </c>
      <c r="G1142" s="2" t="n">
        <v>10</v>
      </c>
      <c r="H1142" s="2" t="n">
        <v>20</v>
      </c>
      <c r="I1142" s="4" t="inlineStr">
        <is>
          <t>chicken-quesadilla.jpg</t>
        </is>
      </c>
      <c r="J1142" s="3" t="inlineStr">
        <is>
          <t>Chicken Quesadilla, healthy food photography, plated, natural light</t>
        </is>
      </c>
      <c r="K1142" s="4" t="inlineStr"/>
      <c r="L1142" s="3" t="inlineStr">
        <is>
          <t>Flour tortilla, 8-inch — 160 g (5.6 oz)
Rotisserie chicken, skin removed — 220 g (7.8 oz)
Pepper jack cheese — 90 g (3.2 oz)
Bell pepper — 80 g (2.8 oz)
Yellow onion — 50 g (1.8 oz)
Extra-virgin olive oil — 10 g (0.4 oz)
Salsa, no sugar added — 90 g (3.2 oz)</t>
        </is>
      </c>
      <c r="M1142" s="4" t="inlineStr">
        <is>
          <t>[{"ingredient_id": "flour_tortilla", "name": "Flour tortilla, 8-inch", "grams": 160.0, "note": ""}, {"ingredient_id": "rotisserie_chicken", "name": "Rotisserie chicken, skin removed", "grams": 220.0, "note": ""}, {"ingredient_id": "pepper_jack", "name": "Pepper jack cheese", "grams": 90.0, "note": ""}, {"ingredient_id": "bell_pepper", "name": "Bell pepper", "grams": 80.0, "note": ""}, {"ingredient_id": "onion", "name": "Yellow onion", "grams": 50.0, "note": ""}, {"ingredient_id": "olive_oil", "name": "Extra-virgin olive oil", "grams": 10.0, "note": ""}, {"ingredient_id": "salsa", "name": "Salsa, no sugar added", "grams": 90.0, "note": ""}]</t>
        </is>
      </c>
      <c r="N1142" s="2" t="n">
        <v>450</v>
      </c>
      <c r="O1142" s="5" t="n">
        <v>29.3</v>
      </c>
      <c r="P1142" s="5" t="n">
        <v>21.9</v>
      </c>
      <c r="Q1142" s="5" t="n">
        <v>32</v>
      </c>
      <c r="R1142" s="5" t="n">
        <v>3.2</v>
      </c>
      <c r="S1142" s="5" t="n">
        <v>28.9</v>
      </c>
      <c r="T1142" s="2" t="n">
        <v>32</v>
      </c>
      <c r="U1142" s="2" t="inlineStr">
        <is>
          <t>low</t>
        </is>
      </c>
      <c r="V1142" s="5" t="n">
        <v>9.199999999999999</v>
      </c>
      <c r="W1142" s="2" t="inlineStr">
        <is>
          <t>low</t>
        </is>
      </c>
      <c r="X1142" s="3" t="inlineStr"/>
      <c r="Y1142" s="3" t="inlineStr">
        <is>
          <t>85% of this dish's available carbohydrate comes from ingredients with a published, measured GI; the rest uses conventional placeholders (see Ingredients sheet)</t>
        </is>
      </c>
      <c r="Z1142" s="2" t="n">
        <v>85</v>
      </c>
      <c r="AA1142" s="3" t="inlineStr">
        <is>
          <t>nut-free, high-protein</t>
        </is>
      </c>
      <c r="AB1142" s="3" t="inlineStr">
        <is>
          <t>1. Sauté the pepper and onion in oil.
2. Fill half of each tortilla with chicken, vegetables and pepper jack and fold.
3. Crisp 2 to 3 minutes a side.
4. Serve with salsa.</t>
        </is>
      </c>
      <c r="AC1142" s="4" t="inlineStr">
        <is>
          <t>["Sauté the pepper and onion in oil.", "Fill half of each tortilla with chicken, vegetables and pepper jack and fold.", "Crisp 2 to 3 minutes a side.", "Serve with salsa."]</t>
        </is>
      </c>
    </row>
    <row r="1143" ht="96" customHeight="1">
      <c r="A1143" s="2" t="inlineStr">
        <is>
          <t>DB-1142</t>
        </is>
      </c>
      <c r="B1143" s="3" t="inlineStr">
        <is>
          <t>Steak and Bean Burrito</t>
        </is>
      </c>
      <c r="C1143" s="4" t="inlineStr">
        <is>
          <t>Sandwiches &amp; Wraps</t>
        </is>
      </c>
      <c r="D1143" s="4" t="inlineStr">
        <is>
          <t>Tex-Mex</t>
        </is>
      </c>
      <c r="E1143" s="2" t="n">
        <v>4</v>
      </c>
      <c r="F1143" s="2" t="n">
        <v>15</v>
      </c>
      <c r="G1143" s="2" t="n">
        <v>12</v>
      </c>
      <c r="H1143" s="2" t="n">
        <v>27</v>
      </c>
      <c r="I1143" s="4" t="inlineStr">
        <is>
          <t>steak-and-bean-burrito.jpg</t>
        </is>
      </c>
      <c r="J1143" s="3" t="inlineStr">
        <is>
          <t>Steak and Bean Burrito, healthy food photography, plated, natural light</t>
        </is>
      </c>
      <c r="K1143" s="4" t="inlineStr"/>
      <c r="L1143" s="3" t="inlineStr">
        <is>
          <t>Flank steak — 320 g (11.3 oz)
Flour tortilla, 8-inch — 240 g (8.5 oz)
Black beans, cooked — 200 g (7.1 oz)
White rice, long-grain, cooked — 200 g (7.1 oz)
Salsa, no sugar added — 100 g (3.5 oz)
Avocado — 100 g (3.5 oz)
Cheddar cheese — 40 g (1.4 oz)
Lime juice — 15 g (0.5 oz)</t>
        </is>
      </c>
      <c r="M1143" s="4" t="inlineStr">
        <is>
          <t>[{"ingredient_id": "flank_steak", "name": "Flank steak", "grams": 320.0, "note": ""}, {"ingredient_id": "flour_tortilla", "name": "Flour tortilla, 8-inch", "grams": 240.0, "note": ""}, {"ingredient_id": "black_beans", "name": "Black beans, cooked", "grams": 200.0, "note": ""}, {"ingredient_id": "white_rice", "name": "White rice, long-grain, cooked", "grams": 200.0, "note": ""}, {"ingredient_id": "salsa", "name": "Salsa, no sugar added", "grams": 100.0, "note": ""}, {"ingredient_id": "avocado", "name": "Avocado", "grams": 100.0, "note": ""}, {"ingredient_id": "cheddar", "name": "Cheddar cheese", "grams": 40.0, "note": ""}, {"ingredient_id": "lime_juice", "name": "Lime juice", "grams": 15.0, "note": ""}]</t>
        </is>
      </c>
      <c r="N1143" s="2" t="n">
        <v>524</v>
      </c>
      <c r="O1143" s="5" t="n">
        <v>30.7</v>
      </c>
      <c r="P1143" s="5" t="n">
        <v>17.9</v>
      </c>
      <c r="Q1143" s="5" t="n">
        <v>59.8</v>
      </c>
      <c r="R1143" s="5" t="n">
        <v>8.699999999999999</v>
      </c>
      <c r="S1143" s="5" t="n">
        <v>51.1</v>
      </c>
      <c r="T1143" s="2" t="n">
        <v>45</v>
      </c>
      <c r="U1143" s="2" t="inlineStr">
        <is>
          <t>low</t>
        </is>
      </c>
      <c r="V1143" s="5" t="n">
        <v>23</v>
      </c>
      <c r="W1143" s="2" t="inlineStr">
        <is>
          <t>high</t>
        </is>
      </c>
      <c r="X1143" s="3" t="inlineStr"/>
      <c r="Y1143" s="3" t="inlineStr">
        <is>
          <t>96% of this dish's available carbohydrate comes from ingredients with a published, measured GI; the rest uses conventional placeholders (see Ingredients sheet)</t>
        </is>
      </c>
      <c r="Z1143" s="2" t="n">
        <v>96</v>
      </c>
      <c r="AA1143" s="3" t="inlineStr">
        <is>
          <t>nut-free, high-protein, high-fiber</t>
        </is>
      </c>
      <c r="AB1143" s="3" t="inlineStr">
        <is>
          <t>1. Season and sear the steak; slice.
2. Warm the beans and rice.
3. Fill each tortilla with steak, rice, beans, cheddar and salsa.
4. Roll tight and serve with avocado and lime.</t>
        </is>
      </c>
      <c r="AC1143" s="4" t="inlineStr">
        <is>
          <t>["Season and sear the steak; slice.", "Warm the beans and rice.", "Fill each tortilla with steak, rice, beans, cheddar and salsa.", "Roll tight and serve with avocado and lime."]</t>
        </is>
      </c>
    </row>
    <row r="1144" ht="96" customHeight="1">
      <c r="A1144" s="2" t="inlineStr">
        <is>
          <t>DB-1143</t>
        </is>
      </c>
      <c r="B1144" s="3" t="inlineStr">
        <is>
          <t>Chicken Burrito Bowl</t>
        </is>
      </c>
      <c r="C1144" s="4" t="inlineStr">
        <is>
          <t>Sandwiches &amp; Wraps</t>
        </is>
      </c>
      <c r="D1144" s="4" t="inlineStr">
        <is>
          <t>Tex-Mex</t>
        </is>
      </c>
      <c r="E1144" s="2" t="n">
        <v>4</v>
      </c>
      <c r="F1144" s="2" t="n">
        <v>15</v>
      </c>
      <c r="G1144" s="2" t="n">
        <v>15</v>
      </c>
      <c r="H1144" s="2" t="n">
        <v>30</v>
      </c>
      <c r="I1144" s="4" t="inlineStr">
        <is>
          <t>chicken-burrito-bowl.jpg</t>
        </is>
      </c>
      <c r="J1144" s="3" t="inlineStr">
        <is>
          <t>Chicken Burrito Bowl, healthy food photography, plated, natural light</t>
        </is>
      </c>
      <c r="K1144" s="4" t="inlineStr"/>
      <c r="L1144" s="3" t="inlineStr">
        <is>
          <t>Chicken breast, skinless — 500 g (17.6 oz)
White rice, long-grain, cooked — 360 g (12.7 oz)
Black beans, cooked — 200 g (7.1 oz)
Sweet corn kernels — 100 g (3.5 oz)
Pico de gallo — 120 g (4.2 oz)
Avocado — 100 g (3.5 oz)
Romaine lettuce — 80 g (2.8 oz)
Taco seasoning, low sodium — 12 g (0.4 oz)
Lime juice — 20 g (0.7 oz)
Extra-virgin olive oil — 10 g (0.4 oz)</t>
        </is>
      </c>
      <c r="M1144" s="4" t="inlineStr">
        <is>
          <t>[{"ingredient_id": "chicken_breast", "name": "Chicken breast, skinless", "grams": 500.0, "note": ""}, {"ingredient_id": "white_rice", "name": "White rice, long-grain, cooked", "grams": 360.0, "note": ""}, {"ingredient_id": "black_beans", "name": "Black beans, cooked", "grams": 200.0, "note": ""}, {"ingredient_id": "corn", "name": "Sweet corn kernels", "grams": 100.0, "note": ""}, {"ingredient_id": "pico_de_gallo", "name": "Pico de gallo", "grams": 120.0, "note": ""}, {"ingredient_id": "avocado", "name": "Avocado", "grams": 100.0, "note": ""}, {"ingredient_id": "romaine", "name": "Romaine lettuce", "grams": 80.0, "note": ""}, {"ingredient_id": "taco_seasoning", "name": "Taco seasoning, low sodium", "grams": 12.0, "note": ""}, {"ingredient_id": "lime_juice", "name": "Lime juice", "grams": 20.0, "note": ""}, {"ingredient_id": "olive_oil", "name": "Extra-virgin olive oil", "grams": 10.0, "note": ""}]</t>
        </is>
      </c>
      <c r="N1144" s="2" t="n">
        <v>435</v>
      </c>
      <c r="O1144" s="5" t="n">
        <v>37.1</v>
      </c>
      <c r="P1144" s="5" t="n">
        <v>10.7</v>
      </c>
      <c r="Q1144" s="5" t="n">
        <v>48</v>
      </c>
      <c r="R1144" s="5" t="n">
        <v>8.6</v>
      </c>
      <c r="S1144" s="5" t="n">
        <v>39.4</v>
      </c>
      <c r="T1144" s="2" t="n">
        <v>61</v>
      </c>
      <c r="U1144" s="2" t="inlineStr">
        <is>
          <t>medium</t>
        </is>
      </c>
      <c r="V1144" s="5" t="n">
        <v>24</v>
      </c>
      <c r="W1144" s="2" t="inlineStr">
        <is>
          <t>high</t>
        </is>
      </c>
      <c r="X1144" s="3" t="inlineStr">
        <is>
          <t>Medium-GI dish: keep to the stated portion and pair with the protein/fat in the recipe; GL per serving is the better guide.</t>
        </is>
      </c>
      <c r="Y1144" s="3" t="inlineStr">
        <is>
          <t>92% of this dish's available carbohydrate comes from ingredients with a published, measured GI; the rest uses conventional placeholders (see Ingredients sheet)</t>
        </is>
      </c>
      <c r="Z1144" s="2" t="n">
        <v>92</v>
      </c>
      <c r="AA1144" s="3" t="inlineStr">
        <is>
          <t>gluten-free, dairy-free, nut-free, high-protein, high-fiber</t>
        </is>
      </c>
      <c r="AB1144" s="3" t="inlineStr">
        <is>
          <t>1. Season the chicken and sear in oil, then slice.
2. Build bowls from rice, beans, corn and romaine.
3. Top with chicken, pico and avocado, with lime.</t>
        </is>
      </c>
      <c r="AC1144" s="4" t="inlineStr">
        <is>
          <t>["Season the chicken and sear in oil, then slice.", "Build bowls from rice, beans, corn and romaine.", "Top with chicken, pico and avocado, with lime."]</t>
        </is>
      </c>
    </row>
    <row r="1145" ht="96" customHeight="1">
      <c r="A1145" s="2" t="inlineStr">
        <is>
          <t>DB-1144</t>
        </is>
      </c>
      <c r="B1145" s="3" t="inlineStr">
        <is>
          <t>Turkey and Swiss on White with Mustard</t>
        </is>
      </c>
      <c r="C1145" s="4" t="inlineStr">
        <is>
          <t>Sandwiches &amp; Wraps</t>
        </is>
      </c>
      <c r="D1145" s="4" t="inlineStr">
        <is>
          <t>American</t>
        </is>
      </c>
      <c r="E1145" s="2" t="n">
        <v>2</v>
      </c>
      <c r="F1145" s="2" t="n">
        <v>5</v>
      </c>
      <c r="G1145" s="2" t="n">
        <v>0</v>
      </c>
      <c r="H1145" s="2" t="n">
        <v>5</v>
      </c>
      <c r="I1145" s="4" t="inlineStr">
        <is>
          <t>turkey-and-swiss-on-white-with-mustard.jpg</t>
        </is>
      </c>
      <c r="J1145" s="3" t="inlineStr">
        <is>
          <t>Turkey and Swiss on White with Mustard, healthy food photography, plated, natural light</t>
        </is>
      </c>
      <c r="K1145" s="4" t="inlineStr"/>
      <c r="L1145" s="3" t="inlineStr">
        <is>
          <t>White bread — 100 g (3.5 oz)
Deli turkey breast, low sodium — 120 g (4.2 oz)
Swiss cheese — 40 g (1.4 oz)
Tomato — 80 g (2.8 oz)
Romaine lettuce — 30 g (1.1 oz)
Yellow mustard — 10 g (0.4 oz)</t>
        </is>
      </c>
      <c r="M1145" s="4" t="inlineStr">
        <is>
          <t>[{"ingredient_id": "white_bread", "name": "White bread", "grams": 100.0, "note": ""}, {"ingredient_id": "deli_turkey", "name": "Deli turkey breast, low sodium", "grams": 120.0, "note": ""}, {"ingredient_id": "swiss_cheese", "name": "Swiss cheese", "grams": 40.0, "note": ""}, {"ingredient_id": "tomato", "name": "Tomato", "grams": 80.0, "note": ""}, {"ingredient_id": "romaine", "name": "Romaine lettuce", "grams": 30.0, "note": ""}, {"ingredient_id": "yellow_mustard", "name": "Yellow mustard", "grams": 10.0, "note": ""}]</t>
        </is>
      </c>
      <c r="N1145" s="2" t="n">
        <v>285</v>
      </c>
      <c r="O1145" s="5" t="n">
        <v>21.1</v>
      </c>
      <c r="P1145" s="5" t="n">
        <v>8.6</v>
      </c>
      <c r="Q1145" s="5" t="n">
        <v>29.6</v>
      </c>
      <c r="R1145" s="5" t="n">
        <v>2.1</v>
      </c>
      <c r="S1145" s="5" t="n">
        <v>27.5</v>
      </c>
      <c r="T1145" s="2" t="n">
        <v>62</v>
      </c>
      <c r="U1145" s="2" t="inlineStr">
        <is>
          <t>medium</t>
        </is>
      </c>
      <c r="V1145" s="5" t="n">
        <v>17.1</v>
      </c>
      <c r="W1145" s="2" t="inlineStr">
        <is>
          <t>medium</t>
        </is>
      </c>
      <c r="X1145" s="3" t="inlineStr">
        <is>
          <t>Medium-GI dish: keep to the stated portion and pair with the protein/fat in the recipe; GL per serving is the better guide.</t>
        </is>
      </c>
      <c r="Y1145" s="3" t="inlineStr">
        <is>
          <t>85% of this dish's available carbohydrate comes from ingredients with a published, measured GI; the rest uses conventional placeholders (see Ingredients sheet)</t>
        </is>
      </c>
      <c r="Z1145" s="2" t="n">
        <v>85</v>
      </c>
      <c r="AA1145" s="3" t="inlineStr">
        <is>
          <t>nut-free, no-cook</t>
        </is>
      </c>
      <c r="AB1145" s="3" t="inlineStr">
        <is>
          <t>1. Spread the bread with mustard.
2. Layer turkey, Swiss, tomato and lettuce.</t>
        </is>
      </c>
      <c r="AC1145" s="4" t="inlineStr">
        <is>
          <t>["Spread the bread with mustard.", "Layer turkey, Swiss, tomato and lettuce."]</t>
        </is>
      </c>
    </row>
    <row r="1146" ht="96" customHeight="1">
      <c r="A1146" s="2" t="inlineStr">
        <is>
          <t>DB-1145</t>
        </is>
      </c>
      <c r="B1146" s="3" t="inlineStr">
        <is>
          <t>Ham and Cheddar Sandwich</t>
        </is>
      </c>
      <c r="C1146" s="4" t="inlineStr">
        <is>
          <t>Sandwiches &amp; Wraps</t>
        </is>
      </c>
      <c r="D1146" s="4" t="inlineStr">
        <is>
          <t>American</t>
        </is>
      </c>
      <c r="E1146" s="2" t="n">
        <v>2</v>
      </c>
      <c r="F1146" s="2" t="n">
        <v>5</v>
      </c>
      <c r="G1146" s="2" t="n">
        <v>0</v>
      </c>
      <c r="H1146" s="2" t="n">
        <v>5</v>
      </c>
      <c r="I1146" s="4" t="inlineStr">
        <is>
          <t>ham-and-cheddar-sandwich.jpg</t>
        </is>
      </c>
      <c r="J1146" s="3" t="inlineStr">
        <is>
          <t>Ham and Cheddar Sandwich, healthy food photography, plated, natural light</t>
        </is>
      </c>
      <c r="K1146" s="4" t="inlineStr"/>
      <c r="L1146" s="3" t="inlineStr">
        <is>
          <t>White bread — 100 g (3.5 oz)
Ham, lean — 100 g (3.5 oz)
Cheddar cheese — 40 g (1.4 oz)
Tomato — 80 g (2.8 oz)
Romaine lettuce — 30 g (1.1 oz)
Dijon mustard — 10 g (0.4 oz)</t>
        </is>
      </c>
      <c r="M1146" s="4" t="inlineStr">
        <is>
          <t>[{"ingredient_id": "white_bread", "name": "White bread", "grams": 100.0, "note": ""}, {"ingredient_id": "ham", "name": "Ham, lean", "grams": 100.0, "note": ""}, {"ingredient_id": "cheddar", "name": "Cheddar cheese", "grams": 40.0, "note": ""}, {"ingredient_id": "tomato", "name": "Tomato", "grams": 80.0, "note": ""}, {"ingredient_id": "romaine", "name": "Romaine lettuce", "grams": 30.0, "note": ""}, {"ingredient_id": "dijon", "name": "Dijon mustard", "grams": 10.0, "note": ""}]</t>
        </is>
      </c>
      <c r="N1146" s="2" t="n">
        <v>300</v>
      </c>
      <c r="O1146" s="5" t="n">
        <v>20.6</v>
      </c>
      <c r="P1146" s="5" t="n">
        <v>11.7</v>
      </c>
      <c r="Q1146" s="5" t="n">
        <v>27.9</v>
      </c>
      <c r="R1146" s="5" t="n">
        <v>2.1</v>
      </c>
      <c r="S1146" s="5" t="n">
        <v>25.8</v>
      </c>
      <c r="T1146" s="2" t="n">
        <v>66</v>
      </c>
      <c r="U1146" s="2" t="inlineStr">
        <is>
          <t>medium</t>
        </is>
      </c>
      <c r="V1146" s="5" t="n">
        <v>17</v>
      </c>
      <c r="W1146" s="2" t="inlineStr">
        <is>
          <t>medium</t>
        </is>
      </c>
      <c r="X1146" s="3" t="inlineStr">
        <is>
          <t>Medium-GI dish: keep to the stated portion and pair with the protein/fat in the recipe; GL per serving is the better guide.</t>
        </is>
      </c>
      <c r="Y1146" s="3" t="inlineStr">
        <is>
          <t>91% of this dish's available carbohydrate comes from ingredients with a published, measured GI; the rest uses conventional placeholders (see Ingredients sheet)</t>
        </is>
      </c>
      <c r="Z1146" s="2" t="n">
        <v>91</v>
      </c>
      <c r="AA1146" s="3" t="inlineStr">
        <is>
          <t>nut-free, no-cook</t>
        </is>
      </c>
      <c r="AB1146" s="3" t="inlineStr">
        <is>
          <t>1. Spread the bread with mustard.
2. Layer ham, cheddar, tomato and lettuce.</t>
        </is>
      </c>
      <c r="AC1146" s="4" t="inlineStr">
        <is>
          <t>["Spread the bread with mustard.", "Layer ham, cheddar, tomato and lettuce."]</t>
        </is>
      </c>
    </row>
    <row r="1147" ht="96" customHeight="1">
      <c r="A1147" s="2" t="inlineStr">
        <is>
          <t>DB-1146</t>
        </is>
      </c>
      <c r="B1147" s="3" t="inlineStr">
        <is>
          <t>Classic Macaroni and Cheese</t>
        </is>
      </c>
      <c r="C1147" s="4" t="inlineStr">
        <is>
          <t>Vegetarian &amp; Vegan</t>
        </is>
      </c>
      <c r="D1147" s="4" t="inlineStr">
        <is>
          <t>American</t>
        </is>
      </c>
      <c r="E1147" s="2" t="n">
        <v>6</v>
      </c>
      <c r="F1147" s="2" t="n">
        <v>10</v>
      </c>
      <c r="G1147" s="2" t="n">
        <v>25</v>
      </c>
      <c r="H1147" s="2" t="n">
        <v>35</v>
      </c>
      <c r="I1147" s="4" t="inlineStr">
        <is>
          <t>classic-macaroni-and-cheese.jpg</t>
        </is>
      </c>
      <c r="J1147" s="3" t="inlineStr">
        <is>
          <t>Classic Macaroni and Cheese, healthy food photography, plated, natural light</t>
        </is>
      </c>
      <c r="K1147" s="4" t="inlineStr"/>
      <c r="L1147" s="3" t="inlineStr">
        <is>
          <t>White pasta, cooked al dente — 600 g (21.2 oz)
Cheddar cheese — 180 g (6.3 oz)
Milk, 2% — 300 g (10.6 oz)
Butter — 20 g (0.7 oz)
Dijon mustard — 5 g (0.2 oz)
Smoked paprika — 2 g (0.1 oz)
Salt — 2 g (0.1 oz)</t>
        </is>
      </c>
      <c r="M1147" s="4" t="inlineStr">
        <is>
          <t>[{"ingredient_id": "white_pasta", "name": "White pasta, cooked al dente", "grams": 600.0, "note": ""}, {"ingredient_id": "cheddar", "name": "Cheddar cheese", "grams": 180.0, "note": ""}, {"ingredient_id": "milk", "name": "Milk, 2%", "grams": 300.0, "note": ""}, {"ingredient_id": "butter", "name": "Butter", "grams": 20.0, "note": ""}, {"ingredient_id": "dijon", "name": "Dijon mustard", "grams": 5.0, "note": ""}, {"ingredient_id": "smoked_paprika", "name": "Smoked paprika", "grams": 2.0, "note": ""}, {"ingredient_id": "salt", "name": "Salt", "grams": 2.0, "note": ""}]</t>
        </is>
      </c>
      <c r="N1147" s="2" t="n">
        <v>328</v>
      </c>
      <c r="O1147" s="5" t="n">
        <v>14.4</v>
      </c>
      <c r="P1147" s="5" t="n">
        <v>14.6</v>
      </c>
      <c r="Q1147" s="5" t="n">
        <v>33.7</v>
      </c>
      <c r="R1147" s="5" t="n">
        <v>1.9</v>
      </c>
      <c r="S1147" s="5" t="n">
        <v>31.8</v>
      </c>
      <c r="T1147" s="2" t="n">
        <v>47</v>
      </c>
      <c r="U1147" s="2" t="inlineStr">
        <is>
          <t>low</t>
        </is>
      </c>
      <c r="V1147" s="5" t="n">
        <v>14.9</v>
      </c>
      <c r="W1147" s="2" t="inlineStr">
        <is>
          <t>medium</t>
        </is>
      </c>
      <c r="X1147" s="3" t="inlineStr"/>
      <c r="Y1147" s="3" t="inlineStr">
        <is>
          <t>99% of this dish's available carbohydrate comes from ingredients with a published, measured GI; the rest uses conventional placeholders (see Ingredients sheet)</t>
        </is>
      </c>
      <c r="Z1147" s="2" t="n">
        <v>99</v>
      </c>
      <c r="AA1147" s="3" t="inlineStr">
        <is>
          <t>vegetarian, nut-free</t>
        </is>
      </c>
      <c r="AB1147" s="3" t="inlineStr">
        <is>
          <t>1. Cook the pasta al dente and drain.
2. Warm the milk with butter and mustard.
3. Melt in the cheddar until smooth.
4. Fold in the pasta and finish with paprika.</t>
        </is>
      </c>
      <c r="AC1147" s="4" t="inlineStr">
        <is>
          <t>["Cook the pasta al dente and drain.", "Warm the milk with butter and mustard.", "Melt in the cheddar until smooth.", "Fold in the pasta and finish with paprika."]</t>
        </is>
      </c>
    </row>
    <row r="1148" ht="96" customHeight="1">
      <c r="A1148" s="2" t="inlineStr">
        <is>
          <t>DB-1147</t>
        </is>
      </c>
      <c r="B1148" s="3" t="inlineStr">
        <is>
          <t>Baked Ziti with Turkey Sausage</t>
        </is>
      </c>
      <c r="C1148" s="4" t="inlineStr">
        <is>
          <t>Beef, Pork &amp; Lamb</t>
        </is>
      </c>
      <c r="D1148" s="4" t="inlineStr">
        <is>
          <t>Italian</t>
        </is>
      </c>
      <c r="E1148" s="2" t="n">
        <v>6</v>
      </c>
      <c r="F1148" s="2" t="n">
        <v>15</v>
      </c>
      <c r="G1148" s="2" t="n">
        <v>35</v>
      </c>
      <c r="H1148" s="2" t="n">
        <v>50</v>
      </c>
      <c r="I1148" s="4" t="inlineStr">
        <is>
          <t>baked-ziti-with-turkey-sausage.jpg</t>
        </is>
      </c>
      <c r="J1148" s="3" t="inlineStr">
        <is>
          <t>Baked Ziti with Turkey Sausage, healthy food photography, plated, natural light</t>
        </is>
      </c>
      <c r="K1148" s="4" t="inlineStr"/>
      <c r="L1148" s="3" t="inlineStr">
        <is>
          <t>White pasta, cooked al dente — 720 g (25.4 oz)
Turkey sausage — 300 g (10.6 oz)
Marinara sauce, no sugar added — 400 g (14.1 oz)
Ricotta, part-skim — 150 g (5.3 oz)
Mozzarella, part-skim — 120 g (4.2 oz)
Parmesan, grated — 30 g (1.1 oz)
Fresh basil — 5 g (0.2 oz)
Garlic — 8 g (0.3 oz)</t>
        </is>
      </c>
      <c r="M1148" s="4" t="inlineStr">
        <is>
          <t>[{"ingredient_id": "white_pasta", "name": "White pasta, cooked al dente", "grams": 720.0, "note": ""}, {"ingredient_id": "turkey_sausage", "name": "Turkey sausage", "grams": 300.0, "note": ""}, {"ingredient_id": "marinara", "name": "Marinara sauce, no sugar added", "grams": 400.0, "note": ""}, {"ingredient_id": "ricotta", "name": "Ricotta, part-skim", "grams": 150.0, "note": ""}, {"ingredient_id": "mozzarella", "name": "Mozzarella, part-skim", "grams": 120.0, "note": ""}, {"ingredient_id": "parmesan", "name": "Parmesan, grated", "grams": 30.0, "note": ""}, {"ingredient_id": "basil", "name": "Fresh basil", "grams": 5.0, "note": ""}, {"ingredient_id": "garlic", "name": "Garlic", "grams": 8.0, "note": ""}]</t>
        </is>
      </c>
      <c r="N1148" s="2" t="n">
        <v>405</v>
      </c>
      <c r="O1148" s="5" t="n">
        <v>25</v>
      </c>
      <c r="P1148" s="5" t="n">
        <v>14.4</v>
      </c>
      <c r="Q1148" s="5" t="n">
        <v>43.7</v>
      </c>
      <c r="R1148" s="5" t="n">
        <v>3.2</v>
      </c>
      <c r="S1148" s="5" t="n">
        <v>40.5</v>
      </c>
      <c r="T1148" s="2" t="n">
        <v>45</v>
      </c>
      <c r="U1148" s="2" t="inlineStr">
        <is>
          <t>low</t>
        </is>
      </c>
      <c r="V1148" s="5" t="n">
        <v>18.2</v>
      </c>
      <c r="W1148" s="2" t="inlineStr">
        <is>
          <t>medium</t>
        </is>
      </c>
      <c r="X1148" s="3" t="inlineStr"/>
      <c r="Y1148" s="3" t="inlineStr">
        <is>
          <t>91% of this dish's available carbohydrate comes from ingredients with a published, measured GI; the rest uses conventional placeholders (see Ingredients sheet)</t>
        </is>
      </c>
      <c r="Z1148" s="2" t="n">
        <v>91</v>
      </c>
      <c r="AA1148" s="3" t="inlineStr">
        <is>
          <t>nut-free</t>
        </is>
      </c>
      <c r="AB1148" s="3" t="inlineStr">
        <is>
          <t>1. Cook the pasta slightly under al dente.
2. Brown the sausage with garlic and stir in the marinara.
3. Mix the pasta, sauce and ricotta in a baking dish.
4. Top with mozzarella and parmesan and bake at 375°F for 25 minutes.</t>
        </is>
      </c>
      <c r="AC1148" s="4" t="inlineStr">
        <is>
          <t>["Cook the pasta slightly under al dente.", "Brown the sausage with garlic and stir in the marinara.", "Mix the pasta, sauce and ricotta in a baking dish.", "Top with mozzarella and parmesan and bake at 375°F for 25 minutes."]</t>
        </is>
      </c>
    </row>
    <row r="1149" ht="96" customHeight="1">
      <c r="A1149" s="2" t="inlineStr">
        <is>
          <t>DB-1148</t>
        </is>
      </c>
      <c r="B1149" s="3" t="inlineStr">
        <is>
          <t>Spaghetti with Meat Sauce</t>
        </is>
      </c>
      <c r="C1149" s="4" t="inlineStr">
        <is>
          <t>Beef, Pork &amp; Lamb</t>
        </is>
      </c>
      <c r="D1149" s="4" t="inlineStr">
        <is>
          <t>Italian</t>
        </is>
      </c>
      <c r="E1149" s="2" t="n">
        <v>5</v>
      </c>
      <c r="F1149" s="2" t="n">
        <v>10</v>
      </c>
      <c r="G1149" s="2" t="n">
        <v>30</v>
      </c>
      <c r="H1149" s="2" t="n">
        <v>40</v>
      </c>
      <c r="I1149" s="4" t="inlineStr">
        <is>
          <t>spaghetti-with-meat-sauce.jpg</t>
        </is>
      </c>
      <c r="J1149" s="3" t="inlineStr">
        <is>
          <t>Spaghetti with Meat Sauce, healthy food photography, plated, natural light</t>
        </is>
      </c>
      <c r="K1149" s="4" t="inlineStr"/>
      <c r="L1149" s="3" t="inlineStr">
        <is>
          <t>White pasta, cooked al dente — 600 g (21.2 oz)
Ground beef 90% lean — 400 g (14.1 oz)
Marinara sauce, no sugar added — 400 g (14.1 oz)
Yellow onion — 100 g (3.5 oz)
Garlic — 8 g (0.3 oz)
Italian seasoning — 3 g (0.1 oz)
Parmesan, grated — 25 g (0.9 oz)
Extra-virgin olive oil — 10 g (0.4 oz)</t>
        </is>
      </c>
      <c r="M1149" s="4" t="inlineStr">
        <is>
          <t>[{"ingredient_id": "white_pasta", "name": "White pasta, cooked al dente", "grams": 600.0, "note": ""}, {"ingredient_id": "ground_beef", "name": "Ground beef 90% lean", "grams": 400.0, "note": ""}, {"ingredient_id": "marinara", "name": "Marinara sauce, no sugar added", "grams": 400.0, "note": ""}, {"ingredient_id": "onion", "name": "Yellow onion", "grams": 100.0, "note": ""}, {"ingredient_id": "garlic", "name": "Garlic", "grams": 8.0, "note": ""}, {"ingredient_id": "italian_seasoning", "name": "Italian seasoning", "grams": 3.0, "note": ""}, {"ingredient_id": "parmesan", "name": "Parmesan, grated", "grams": 25.0, "note": ""}, {"ingredient_id": "olive_oil", "name": "Extra-virgin olive oil", "grams": 10.0, "note": ""}]</t>
        </is>
      </c>
      <c r="N1149" s="2" t="n">
        <v>416</v>
      </c>
      <c r="O1149" s="5" t="n">
        <v>26.4</v>
      </c>
      <c r="P1149" s="5" t="n">
        <v>14.6</v>
      </c>
      <c r="Q1149" s="5" t="n">
        <v>43.8</v>
      </c>
      <c r="R1149" s="5" t="n">
        <v>4</v>
      </c>
      <c r="S1149" s="5" t="n">
        <v>39.9</v>
      </c>
      <c r="T1149" s="2" t="n">
        <v>46</v>
      </c>
      <c r="U1149" s="2" t="inlineStr">
        <is>
          <t>low</t>
        </is>
      </c>
      <c r="V1149" s="5" t="n">
        <v>18.3</v>
      </c>
      <c r="W1149" s="2" t="inlineStr">
        <is>
          <t>medium</t>
        </is>
      </c>
      <c r="X1149" s="3" t="inlineStr"/>
      <c r="Y1149" s="3" t="inlineStr">
        <is>
          <t>94% of this dish's available carbohydrate comes from ingredients with a published, measured GI; the rest uses conventional placeholders (see Ingredients sheet)</t>
        </is>
      </c>
      <c r="Z1149" s="2" t="n">
        <v>94</v>
      </c>
      <c r="AA1149" s="3" t="inlineStr">
        <is>
          <t>nut-free, high-protein</t>
        </is>
      </c>
      <c r="AB1149" s="3" t="inlineStr">
        <is>
          <t>1. Brown the beef with onion and garlic in oil.
2. Add the marinara and seasoning and simmer 20 minutes.
3. Cook the spaghetti and toss with the sauce.
4. Serve with parmesan.</t>
        </is>
      </c>
      <c r="AC1149" s="4" t="inlineStr">
        <is>
          <t>["Brown the beef with onion and garlic in oil.", "Add the marinara and seasoning and simmer 20 minutes.", "Cook the spaghetti and toss with the sauce.", "Serve with parmesan."]</t>
        </is>
      </c>
    </row>
    <row r="1150" ht="96" customHeight="1">
      <c r="A1150" s="2" t="inlineStr">
        <is>
          <t>DB-1149</t>
        </is>
      </c>
      <c r="B1150" s="3" t="inlineStr">
        <is>
          <t>Spaghetti and Turkey Meatballs</t>
        </is>
      </c>
      <c r="C1150" s="4" t="inlineStr">
        <is>
          <t>Poultry</t>
        </is>
      </c>
      <c r="D1150" s="4" t="inlineStr">
        <is>
          <t>Italian</t>
        </is>
      </c>
      <c r="E1150" s="2" t="n">
        <v>5</v>
      </c>
      <c r="F1150" s="2" t="n">
        <v>15</v>
      </c>
      <c r="G1150" s="2" t="n">
        <v>30</v>
      </c>
      <c r="H1150" s="2" t="n">
        <v>45</v>
      </c>
      <c r="I1150" s="4" t="inlineStr">
        <is>
          <t>spaghetti-and-turkey-meatballs.jpg</t>
        </is>
      </c>
      <c r="J1150" s="3" t="inlineStr">
        <is>
          <t>Spaghetti and Turkey Meatballs, healthy food photography, plated, natural light</t>
        </is>
      </c>
      <c r="K1150" s="4" t="inlineStr"/>
      <c r="L1150" s="3" t="inlineStr">
        <is>
          <t>White pasta, cooked al dente — 550 g (19.4 oz)
Ground turkey 93% lean — 450 g (15.9 oz)
Egg, large (50 g each) — 50 g (1.8 oz)
Parmesan, grated — 30 g (1.1 oz)
Marinara sauce, no sugar added — 400 g (14.1 oz)
Italian seasoning — 3 g (0.1 oz)
Garlic — 6 g (0.2 oz)
Fresh parsley — 5 g (0.2 oz)</t>
        </is>
      </c>
      <c r="M1150" s="4" t="inlineStr">
        <is>
          <t>[{"ingredient_id": "white_pasta", "name": "White pasta, cooked al dente", "grams": 550.0, "note": ""}, {"ingredient_id": "ground_turkey", "name": "Ground turkey 93% lean", "grams": 450.0, "note": ""}, {"ingredient_id": "egg", "name": "Egg, large (50 g each)", "grams": 50.0, "note": ""}, {"ingredient_id": "parmesan", "name": "Parmesan, grated", "grams": 30.0, "note": ""}, {"ingredient_id": "marinara", "name": "Marinara sauce, no sugar added", "grams": 400.0, "note": ""}, {"ingredient_id": "italian_seasoning", "name": "Italian seasoning", "grams": 3.0, "note": ""}, {"ingredient_id": "garlic", "name": "Garlic", "grams": 6.0, "note": ""}, {"ingredient_id": "parsley", "name": "Fresh parsley", "grams": 5.0, "note": ""}]</t>
        </is>
      </c>
      <c r="N1150" s="2" t="n">
        <v>388</v>
      </c>
      <c r="O1150" s="5" t="n">
        <v>28.1</v>
      </c>
      <c r="P1150" s="5" t="n">
        <v>12.9</v>
      </c>
      <c r="Q1150" s="5" t="n">
        <v>39</v>
      </c>
      <c r="R1150" s="5" t="n">
        <v>3.5</v>
      </c>
      <c r="S1150" s="5" t="n">
        <v>35.5</v>
      </c>
      <c r="T1150" s="2" t="n">
        <v>47</v>
      </c>
      <c r="U1150" s="2" t="inlineStr">
        <is>
          <t>low</t>
        </is>
      </c>
      <c r="V1150" s="5" t="n">
        <v>16.7</v>
      </c>
      <c r="W1150" s="2" t="inlineStr">
        <is>
          <t>medium</t>
        </is>
      </c>
      <c r="X1150" s="3" t="inlineStr"/>
      <c r="Y1150" s="3" t="inlineStr">
        <is>
          <t>98% of this dish's available carbohydrate comes from ingredients with a published, measured GI; the rest uses conventional placeholders (see Ingredients sheet)</t>
        </is>
      </c>
      <c r="Z1150" s="2" t="n">
        <v>98</v>
      </c>
      <c r="AA1150" s="3" t="inlineStr">
        <is>
          <t>nut-free, high-protein</t>
        </is>
      </c>
      <c r="AB1150" s="3" t="inlineStr">
        <is>
          <t>1. Mix the turkey, egg, parmesan, garlic and seasoning and shape meatballs.
2. Brown them, then simmer in the marinara for 15 minutes.
3. Cook the spaghetti.
4. Serve topped with meatballs, sauce and parsley.</t>
        </is>
      </c>
      <c r="AC1150" s="4" t="inlineStr">
        <is>
          <t>["Mix the turkey, egg, parmesan, garlic and seasoning and shape meatballs.", "Brown them, then simmer in the marinara for 15 minutes.", "Cook the spaghetti.", "Serve topped with meatballs, sauce and parsley."]</t>
        </is>
      </c>
    </row>
    <row r="1151" ht="96" customHeight="1">
      <c r="A1151" s="2" t="inlineStr">
        <is>
          <t>DB-1150</t>
        </is>
      </c>
      <c r="B1151" s="3" t="inlineStr">
        <is>
          <t>Chicken Alfredo with Broccoli</t>
        </is>
      </c>
      <c r="C1151" s="4" t="inlineStr">
        <is>
          <t>Poultry</t>
        </is>
      </c>
      <c r="D1151" s="4" t="inlineStr">
        <is>
          <t>Italian</t>
        </is>
      </c>
      <c r="E1151" s="2" t="n">
        <v>4</v>
      </c>
      <c r="F1151" s="2" t="n">
        <v>10</v>
      </c>
      <c r="G1151" s="2" t="n">
        <v>25</v>
      </c>
      <c r="H1151" s="2" t="n">
        <v>35</v>
      </c>
      <c r="I1151" s="4" t="inlineStr">
        <is>
          <t>chicken-alfredo-with-broccoli.jpg</t>
        </is>
      </c>
      <c r="J1151" s="3" t="inlineStr">
        <is>
          <t>Chicken Alfredo with Broccoli, healthy food photography, plated, natural light</t>
        </is>
      </c>
      <c r="K1151" s="4" t="inlineStr"/>
      <c r="L1151" s="3" t="inlineStr">
        <is>
          <t>White pasta, cooked al dente — 480 g (16.9 oz)
Chicken breast, skinless — 400 g (14.1 oz)
Broccoli — 250 g (8.8 oz)
Heavy cream — 120 g (4.2 oz)
Parmesan, grated — 60 g (2.1 oz)
Garlic — 8 g (0.3 oz)
Butter — 15 g (0.5 oz)
Black pepper — 1 g (0.0 oz)</t>
        </is>
      </c>
      <c r="M1151" s="4" t="inlineStr">
        <is>
          <t>[{"ingredient_id": "white_pasta", "name": "White pasta, cooked al dente", "grams": 480.0, "note": ""}, {"ingredient_id": "chicken_breast", "name": "Chicken breast, skinless", "grams": 400.0, "note": ""}, {"ingredient_id": "broccoli", "name": "Broccoli", "grams": 250.0, "note": ""}, {"ingredient_id": "heavy_cream", "name": "Heavy cream", "grams": 120.0, "note": ""}, {"ingredient_id": "parmesan", "name": "Parmesan, grated", "grams": 60.0, "note": ""}, {"ingredient_id": "garlic", "name": "Garlic", "grams": 8.0, "note": ""}, {"ingredient_id": "butter", "name": "Butter", "grams": 15.0, "note": ""}, {"ingredient_id": "black_pepper", "name": "Black pepper", "grams": 1.0, "note": ""}]</t>
        </is>
      </c>
      <c r="N1151" s="2" t="n">
        <v>527</v>
      </c>
      <c r="O1151" s="5" t="n">
        <v>37.6</v>
      </c>
      <c r="P1151" s="5" t="n">
        <v>22.2</v>
      </c>
      <c r="Q1151" s="5" t="n">
        <v>43.3</v>
      </c>
      <c r="R1151" s="5" t="n">
        <v>3.9</v>
      </c>
      <c r="S1151" s="5" t="n">
        <v>39.4</v>
      </c>
      <c r="T1151" s="2" t="n">
        <v>45</v>
      </c>
      <c r="U1151" s="2" t="inlineStr">
        <is>
          <t>low</t>
        </is>
      </c>
      <c r="V1151" s="5" t="n">
        <v>17.7</v>
      </c>
      <c r="W1151" s="2" t="inlineStr">
        <is>
          <t>medium</t>
        </is>
      </c>
      <c r="X1151" s="3" t="inlineStr"/>
      <c r="Y1151" s="3" t="inlineStr">
        <is>
          <t>88% of this dish's available carbohydrate comes from ingredients with a published, measured GI; the rest uses conventional placeholders (see Ingredients sheet)</t>
        </is>
      </c>
      <c r="Z1151" s="2" t="n">
        <v>88</v>
      </c>
      <c r="AA1151" s="3" t="inlineStr">
        <is>
          <t>nut-free, high-protein</t>
        </is>
      </c>
      <c r="AB1151" s="3" t="inlineStr">
        <is>
          <t>1. Sear the sliced chicken in butter and set aside.
2. Simmer the garlic and cream, then stir in the parmesan.
3. Cook the pasta with the broccoli for the last 3 minutes.
4. Toss everything together with pepper.</t>
        </is>
      </c>
      <c r="AC1151" s="4" t="inlineStr">
        <is>
          <t>["Sear the sliced chicken in butter and set aside.", "Simmer the garlic and cream, then stir in the parmesan.", "Cook the pasta with the broccoli for the last 3 minutes.", "Toss everything together with pepper."]</t>
        </is>
      </c>
    </row>
    <row r="1152" ht="96" customHeight="1">
      <c r="A1152" s="2" t="inlineStr">
        <is>
          <t>DB-1151</t>
        </is>
      </c>
      <c r="B1152" s="3" t="inlineStr">
        <is>
          <t>Tuna Noodle Casserole</t>
        </is>
      </c>
      <c r="C1152" s="4" t="inlineStr">
        <is>
          <t>Seafood</t>
        </is>
      </c>
      <c r="D1152" s="4" t="inlineStr">
        <is>
          <t>American</t>
        </is>
      </c>
      <c r="E1152" s="2" t="n">
        <v>5</v>
      </c>
      <c r="F1152" s="2" t="n">
        <v>15</v>
      </c>
      <c r="G1152" s="2" t="n">
        <v>30</v>
      </c>
      <c r="H1152" s="2" t="n">
        <v>45</v>
      </c>
      <c r="I1152" s="4" t="inlineStr">
        <is>
          <t>tuna-noodle-casserole.jpg</t>
        </is>
      </c>
      <c r="J1152" s="3" t="inlineStr">
        <is>
          <t>Tuna Noodle Casserole, healthy food photography, plated, natural light</t>
        </is>
      </c>
      <c r="K1152" s="4" t="inlineStr"/>
      <c r="L1152" s="3" t="inlineStr">
        <is>
          <t>Egg noodles, cooked — 600 g (21.2 oz)
Tuna, canned in water — 240 g (8.5 oz)
Green peas — 120 g (4.2 oz)
Mushrooms (cremini/white) — 150 g (5.3 oz)
Milk, 2% — 300 g (10.6 oz)
Cheddar cheese — 90 g (3.2 oz)
Yellow onion — 80 g (2.8 oz)
Butter — 15 g (0.5 oz)</t>
        </is>
      </c>
      <c r="M1152" s="4" t="inlineStr">
        <is>
          <t>[{"ingredient_id": "egg_noodles", "name": "Egg noodles, cooked", "grams": 600.0, "note": ""}, {"ingredient_id": "tuna_canned", "name": "Tuna, canned in water", "grams": 240.0, "note": ""}, {"ingredient_id": "green_peas", "name": "Green peas", "grams": 120.0, "note": ""}, {"ingredient_id": "mushrooms", "name": "Mushrooms (cremini/white)", "grams": 150.0, "note": ""}, {"ingredient_id": "milk", "name": "Milk, 2%", "grams": 300.0, "note": ""}, {"ingredient_id": "cheddar", "name": "Cheddar cheese", "grams": 90.0, "note": ""}, {"ingredient_id": "onion", "name": "Yellow onion", "grams": 80.0, "note": ""}, {"ingredient_id": "butter", "name": "Butter", "grams": 15.0, "note": ""}]</t>
        </is>
      </c>
      <c r="N1152" s="2" t="n">
        <v>377</v>
      </c>
      <c r="O1152" s="5" t="n">
        <v>26.4</v>
      </c>
      <c r="P1152" s="5" t="n">
        <v>12.7</v>
      </c>
      <c r="Q1152" s="5" t="n">
        <v>39</v>
      </c>
      <c r="R1152" s="5" t="n">
        <v>3.4</v>
      </c>
      <c r="S1152" s="5" t="n">
        <v>35.6</v>
      </c>
      <c r="T1152" s="2" t="n">
        <v>53</v>
      </c>
      <c r="U1152" s="2" t="inlineStr">
        <is>
          <t>low</t>
        </is>
      </c>
      <c r="V1152" s="5" t="n">
        <v>18.9</v>
      </c>
      <c r="W1152" s="2" t="inlineStr">
        <is>
          <t>medium</t>
        </is>
      </c>
      <c r="X1152" s="3" t="inlineStr"/>
      <c r="Y1152" s="3" t="inlineStr">
        <is>
          <t>94% of this dish's available carbohydrate comes from ingredients with a published, measured GI; the rest uses conventional placeholders (see Ingredients sheet)</t>
        </is>
      </c>
      <c r="Z1152" s="2" t="n">
        <v>94</v>
      </c>
      <c r="AA1152" s="3" t="inlineStr">
        <is>
          <t>pescatarian, nut-free, high-protein</t>
        </is>
      </c>
      <c r="AB1152" s="3" t="inlineStr">
        <is>
          <t>1. Cook the noodles al dente.
2. Sauté the onion and mushrooms in butter, add the milk and cheddar and stir until smooth.
3. Fold in the noodles, tuna and peas.
4. Bake at 375°F for 20 minutes.</t>
        </is>
      </c>
      <c r="AC1152" s="4" t="inlineStr">
        <is>
          <t>["Cook the noodles al dente.", "Sauté the onion and mushrooms in butter, add the milk and cheddar and stir until smooth.", "Fold in the noodles, tuna and peas.", "Bake at 375°F for 20 minutes."]</t>
        </is>
      </c>
    </row>
    <row r="1153" ht="96" customHeight="1">
      <c r="A1153" s="2" t="inlineStr">
        <is>
          <t>DB-1152</t>
        </is>
      </c>
      <c r="B1153" s="3" t="inlineStr">
        <is>
          <t>Beef Stroganoff over Egg Noodles</t>
        </is>
      </c>
      <c r="C1153" s="4" t="inlineStr">
        <is>
          <t>Beef, Pork &amp; Lamb</t>
        </is>
      </c>
      <c r="D1153" s="4" t="inlineStr">
        <is>
          <t>American</t>
        </is>
      </c>
      <c r="E1153" s="2" t="n">
        <v>5</v>
      </c>
      <c r="F1153" s="2" t="n">
        <v>15</v>
      </c>
      <c r="G1153" s="2" t="n">
        <v>25</v>
      </c>
      <c r="H1153" s="2" t="n">
        <v>40</v>
      </c>
      <c r="I1153" s="4" t="inlineStr">
        <is>
          <t>beef-stroganoff-over-egg-noodles.jpg</t>
        </is>
      </c>
      <c r="J1153" s="3" t="inlineStr">
        <is>
          <t>Beef Stroganoff over Egg Noodles, healthy food photography, plated, natural light</t>
        </is>
      </c>
      <c r="K1153" s="4" t="inlineStr"/>
      <c r="L1153" s="3" t="inlineStr">
        <is>
          <t>Flank steak — 450 g (15.9 oz)
Egg noodles, cooked — 500 g (17.6 oz)
Mushrooms (cremini/white) — 250 g (8.8 oz)
Yellow onion — 100 g (3.5 oz)
Sour cream — 120 g (4.2 oz)
Beef broth, low sodium — 200 g (7.1 oz)
Dijon mustard — 10 g (0.4 oz)
Extra-virgin olive oil — 15 g (0.5 oz)</t>
        </is>
      </c>
      <c r="M1153" s="4" t="inlineStr">
        <is>
          <t>[{"ingredient_id": "flank_steak", "name": "Flank steak", "grams": 450.0, "note": ""}, {"ingredient_id": "egg_noodles", "name": "Egg noodles, cooked", "grams": 500.0, "note": ""}, {"ingredient_id": "mushrooms", "name": "Mushrooms (cremini/white)", "grams": 250.0, "note": ""}, {"ingredient_id": "onion", "name": "Yellow onion", "grams": 100.0, "note": ""}, {"ingredient_id": "sour_cream", "name": "Sour cream", "grams": 120.0, "note": ""}, {"ingredient_id": "beef_broth", "name": "Beef broth, low sodium", "grams": 200.0, "note": ""}, {"ingredient_id": "dijon", "name": "Dijon mustard", "grams": 10.0, "note": ""}, {"ingredient_id": "olive_oil", "name": "Extra-virgin olive oil", "grams": 15.0, "note": ""}]</t>
        </is>
      </c>
      <c r="N1153" s="2" t="n">
        <v>369</v>
      </c>
      <c r="O1153" s="5" t="n">
        <v>26.4</v>
      </c>
      <c r="P1153" s="5" t="n">
        <v>16.2</v>
      </c>
      <c r="Q1153" s="5" t="n">
        <v>29.9</v>
      </c>
      <c r="R1153" s="5" t="n">
        <v>2.1</v>
      </c>
      <c r="S1153" s="5" t="n">
        <v>27.8</v>
      </c>
      <c r="T1153" s="2" t="n">
        <v>53</v>
      </c>
      <c r="U1153" s="2" t="inlineStr">
        <is>
          <t>low</t>
        </is>
      </c>
      <c r="V1153" s="5" t="n">
        <v>14.7</v>
      </c>
      <c r="W1153" s="2" t="inlineStr">
        <is>
          <t>medium</t>
        </is>
      </c>
      <c r="X1153" s="3" t="inlineStr"/>
      <c r="Y1153" s="3" t="inlineStr">
        <is>
          <t>86% of this dish's available carbohydrate comes from ingredients with a published, measured GI; the rest uses conventional placeholders (see Ingredients sheet)</t>
        </is>
      </c>
      <c r="Z1153" s="2" t="n">
        <v>86</v>
      </c>
      <c r="AA1153" s="3" t="inlineStr">
        <is>
          <t>nut-free, high-protein</t>
        </is>
      </c>
      <c r="AB1153" s="3" t="inlineStr">
        <is>
          <t>1. Sear the sliced steak in oil and set aside.
2. Sauté the onion and mushrooms, add broth and mustard and reduce.
3. Stir in the sour cream and return the beef.
4. Serve over the noodles.</t>
        </is>
      </c>
      <c r="AC1153" s="4" t="inlineStr">
        <is>
          <t>["Sear the sliced steak in oil and set aside.", "Sauté the onion and mushrooms, add broth and mustard and reduce.", "Stir in the sour cream and return the beef.", "Serve over the noodles."]</t>
        </is>
      </c>
    </row>
    <row r="1154" ht="96" customHeight="1">
      <c r="A1154" s="2" t="inlineStr">
        <is>
          <t>DB-1153</t>
        </is>
      </c>
      <c r="B1154" s="3" t="inlineStr">
        <is>
          <t>Chicken and Noodles</t>
        </is>
      </c>
      <c r="C1154" s="4" t="inlineStr">
        <is>
          <t>Poultry</t>
        </is>
      </c>
      <c r="D1154" s="4" t="inlineStr">
        <is>
          <t>American</t>
        </is>
      </c>
      <c r="E1154" s="2" t="n">
        <v>5</v>
      </c>
      <c r="F1154" s="2" t="n">
        <v>15</v>
      </c>
      <c r="G1154" s="2" t="n">
        <v>30</v>
      </c>
      <c r="H1154" s="2" t="n">
        <v>45</v>
      </c>
      <c r="I1154" s="4" t="inlineStr">
        <is>
          <t>chicken-and-noodles.jpg</t>
        </is>
      </c>
      <c r="J1154" s="3" t="inlineStr">
        <is>
          <t>Chicken and Noodles, healthy food photography, plated, natural light</t>
        </is>
      </c>
      <c r="K1154" s="4" t="inlineStr"/>
      <c r="L1154" s="3" t="inlineStr">
        <is>
          <t>Chicken breast, skinless — 450 g (15.9 oz)
Egg noodles, cooked — 450 g (15.9 oz)
Chicken broth, low sodium — 800 g (28.2 oz)
Carrot — 120 g (4.2 oz)
Celery — 80 g (2.8 oz)
Yellow onion — 80 g (2.8 oz)
Fresh thyme — 2 g (0.1 oz)
Fresh parsley — 5 g (0.2 oz)</t>
        </is>
      </c>
      <c r="M1154" s="4" t="inlineStr">
        <is>
          <t>[{"ingredient_id": "chicken_breast", "name": "Chicken breast, skinless", "grams": 450.0, "note": ""}, {"ingredient_id": "egg_noodles", "name": "Egg noodles, cooked", "grams": 450.0, "note": ""}, {"ingredient_id": "chicken_broth", "name": "Chicken broth, low sodium", "grams": 800.0, "note": ""}, {"ingredient_id": "carrot", "name": "Carrot", "grams": 120.0, "note": ""}, {"ingredient_id": "celery", "name": "Celery", "grams": 80.0, "note": ""}, {"ingredient_id": "onion", "name": "Yellow onion", "grams": 80.0, "note": ""}, {"ingredient_id": "thyme", "name": "Fresh thyme", "grams": 2.0, "note": ""}, {"ingredient_id": "parsley", "name": "Fresh parsley", "grams": 5.0, "note": ""}]</t>
        </is>
      </c>
      <c r="N1154" s="2" t="n">
        <v>262</v>
      </c>
      <c r="O1154" s="5" t="n">
        <v>26.5</v>
      </c>
      <c r="P1154" s="5" t="n">
        <v>4.6</v>
      </c>
      <c r="Q1154" s="5" t="n">
        <v>27.7</v>
      </c>
      <c r="R1154" s="5" t="n">
        <v>2.4</v>
      </c>
      <c r="S1154" s="5" t="n">
        <v>25.4</v>
      </c>
      <c r="T1154" s="2" t="n">
        <v>54</v>
      </c>
      <c r="U1154" s="2" t="inlineStr">
        <is>
          <t>low</t>
        </is>
      </c>
      <c r="V1154" s="5" t="n">
        <v>13.7</v>
      </c>
      <c r="W1154" s="2" t="inlineStr">
        <is>
          <t>medium</t>
        </is>
      </c>
      <c r="X1154" s="3" t="inlineStr"/>
      <c r="Y1154" s="3" t="inlineStr">
        <is>
          <t>91% of this dish's available carbohydrate comes from ingredients with a published, measured GI; the rest uses conventional placeholders (see Ingredients sheet)</t>
        </is>
      </c>
      <c r="Z1154" s="2" t="n">
        <v>91</v>
      </c>
      <c r="AA1154" s="3" t="inlineStr">
        <is>
          <t>dairy-free, nut-free, high-protein</t>
        </is>
      </c>
      <c r="AB1154" s="3" t="inlineStr">
        <is>
          <t>1. Simmer the chicken, vegetables and thyme in the broth for 20 minutes.
2. Shred the chicken.
3. Add the noodles to the broth and cook until tender.
4. Return the chicken and finish with parsley.</t>
        </is>
      </c>
      <c r="AC1154" s="4" t="inlineStr">
        <is>
          <t>["Simmer the chicken, vegetables and thyme in the broth for 20 minutes.", "Shred the chicken.", "Add the noodles to the broth and cook until tender.", "Return the chicken and finish with parsley."]</t>
        </is>
      </c>
    </row>
    <row r="1155" ht="96" customHeight="1">
      <c r="A1155" s="2" t="inlineStr">
        <is>
          <t>DB-1154</t>
        </is>
      </c>
      <c r="B1155" s="3" t="inlineStr">
        <is>
          <t>Chili Mac</t>
        </is>
      </c>
      <c r="C1155" s="4" t="inlineStr">
        <is>
          <t>Beef, Pork &amp; Lamb</t>
        </is>
      </c>
      <c r="D1155" s="4" t="inlineStr">
        <is>
          <t>American</t>
        </is>
      </c>
      <c r="E1155" s="2" t="n">
        <v>6</v>
      </c>
      <c r="F1155" s="2" t="n">
        <v>10</v>
      </c>
      <c r="G1155" s="2" t="n">
        <v>30</v>
      </c>
      <c r="H1155" s="2" t="n">
        <v>40</v>
      </c>
      <c r="I1155" s="4" t="inlineStr">
        <is>
          <t>chili-mac.jpg</t>
        </is>
      </c>
      <c r="J1155" s="3" t="inlineStr">
        <is>
          <t>Chili Mac, healthy food photography, plated, natural light</t>
        </is>
      </c>
      <c r="K1155" s="4" t="inlineStr"/>
      <c r="L1155" s="3" t="inlineStr">
        <is>
          <t>Ground beef 90% lean — 450 g (15.9 oz)
White pasta, cooked al dente — 420 g (14.8 oz)
Kidney beans, cooked — 250 g (8.8 oz)
Diced tomatoes, canned — 400 g (14.1 oz)
Yellow onion — 120 g (4.2 oz)
Chili powder — 10 g (0.4 oz)
Ground cumin — 3 g (0.1 oz)
Cheddar cheese — 70 g (2.5 oz)
Beef broth, low sodium — 200 g (7.1 oz)</t>
        </is>
      </c>
      <c r="M1155" s="4" t="inlineStr">
        <is>
          <t>[{"ingredient_id": "ground_beef", "name": "Ground beef 90% lean", "grams": 450.0, "note": ""}, {"ingredient_id": "white_pasta", "name": "White pasta, cooked al dente", "grams": 420.0, "note": ""}, {"ingredient_id": "kidney_beans", "name": "Kidney beans, cooked", "grams": 250.0, "note": ""}, {"ingredient_id": "diced_tomatoes", "name": "Diced tomatoes, canned", "grams": 400.0, "note": ""}, {"ingredient_id": "onion", "name": "Yellow onion", "grams": 120.0, "note": ""}, {"ingredient_id": "chili_powder", "name": "Chili powder", "grams": 10.0, "note": ""}, {"ingredient_id": "cumin", "name": "Ground cumin", "grams": 3.0, "note": ""}, {"ingredient_id": "cheddar", "name": "Cheddar cheese", "grams": 70.0, "note": ""}, {"ingredient_id": "beef_broth", "name": "Beef broth, low sodium", "grams": 200.0, "note": ""}]</t>
        </is>
      </c>
      <c r="N1155" s="2" t="n">
        <v>375</v>
      </c>
      <c r="O1155" s="5" t="n">
        <v>27.1</v>
      </c>
      <c r="P1155" s="5" t="n">
        <v>12.8</v>
      </c>
      <c r="Q1155" s="5" t="n">
        <v>37.5</v>
      </c>
      <c r="R1155" s="5" t="n">
        <v>5.9</v>
      </c>
      <c r="S1155" s="5" t="n">
        <v>31.6</v>
      </c>
      <c r="T1155" s="2" t="n">
        <v>42</v>
      </c>
      <c r="U1155" s="2" t="inlineStr">
        <is>
          <t>low</t>
        </is>
      </c>
      <c r="V1155" s="5" t="n">
        <v>13.3</v>
      </c>
      <c r="W1155" s="2" t="inlineStr">
        <is>
          <t>medium</t>
        </is>
      </c>
      <c r="X1155" s="3" t="inlineStr"/>
      <c r="Y1155" s="3" t="inlineStr">
        <is>
          <t>86% of this dish's available carbohydrate comes from ingredients with a published, measured GI; the rest uses conventional placeholders (see Ingredients sheet)</t>
        </is>
      </c>
      <c r="Z1155" s="2" t="n">
        <v>86</v>
      </c>
      <c r="AA1155" s="3" t="inlineStr">
        <is>
          <t>nut-free, high-protein</t>
        </is>
      </c>
      <c r="AB1155" s="3" t="inlineStr">
        <is>
          <t>1. Brown the beef with the onion.
2. Add chili powder, cumin, tomatoes, beans and broth and simmer 15 minutes.
3. Stir in the cooked macaroni.
4. Top with cheddar.</t>
        </is>
      </c>
      <c r="AC1155" s="4" t="inlineStr">
        <is>
          <t>["Brown the beef with the onion.", "Add chili powder, cumin, tomatoes, beans and broth and simmer 15 minutes.", "Stir in the cooked macaroni.", "Top with cheddar."]</t>
        </is>
      </c>
    </row>
    <row r="1156" ht="96" customHeight="1">
      <c r="A1156" s="2" t="inlineStr">
        <is>
          <t>DB-1155</t>
        </is>
      </c>
      <c r="B1156" s="3" t="inlineStr">
        <is>
          <t>Chicken Fried Rice</t>
        </is>
      </c>
      <c r="C1156" s="4" t="inlineStr">
        <is>
          <t>Poultry</t>
        </is>
      </c>
      <c r="D1156" s="4" t="inlineStr">
        <is>
          <t>American</t>
        </is>
      </c>
      <c r="E1156" s="2" t="n">
        <v>4</v>
      </c>
      <c r="F1156" s="2" t="n">
        <v>15</v>
      </c>
      <c r="G1156" s="2" t="n">
        <v>12</v>
      </c>
      <c r="H1156" s="2" t="n">
        <v>27</v>
      </c>
      <c r="I1156" s="4" t="inlineStr">
        <is>
          <t>chicken-fried-rice.jpg</t>
        </is>
      </c>
      <c r="J1156" s="3" t="inlineStr">
        <is>
          <t>Chicken Fried Rice, healthy food photography, plated, natural light</t>
        </is>
      </c>
      <c r="K1156" s="4" t="inlineStr"/>
      <c r="L1156" s="3" t="inlineStr">
        <is>
          <t>White rice, long-grain, cooked — 480 g (16.9 oz)
Chicken breast, skinless — 300 g (10.6 oz)
Egg, large (50 g each) — 100 g (3.5 oz)
Green peas — 100 g (3.5 oz)
Carrot — 80 g (2.8 oz)
Green onions (scallions) — 30 g (1.1 oz)
Soy sauce, low sodium — 30 g (1.1 oz)
Toasted sesame oil — 10 g (0.4 oz)
Extra-virgin olive oil — 15 g (0.5 oz)
Garlic — 6 g (0.2 oz)</t>
        </is>
      </c>
      <c r="M1156" s="4" t="inlineStr">
        <is>
          <t>[{"ingredient_id": "white_rice", "name": "White rice, long-grain, cooked", "grams": 480.0, "note": ""}, {"ingredient_id": "chicken_breast", "name": "Chicken breast, skinless",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6" s="2" t="n">
        <v>373</v>
      </c>
      <c r="O1156" s="5" t="n">
        <v>25.6</v>
      </c>
      <c r="P1156" s="5" t="n">
        <v>11.1</v>
      </c>
      <c r="Q1156" s="5" t="n">
        <v>40.6</v>
      </c>
      <c r="R1156" s="5" t="n">
        <v>2.8</v>
      </c>
      <c r="S1156" s="5" t="n">
        <v>37.9</v>
      </c>
      <c r="T1156" s="2" t="n">
        <v>72</v>
      </c>
      <c r="U1156" s="2" t="inlineStr">
        <is>
          <t>high</t>
        </is>
      </c>
      <c r="V1156" s="5" t="n">
        <v>27.3</v>
      </c>
      <c r="W1156" s="2" t="inlineStr">
        <is>
          <t>high</t>
        </is>
      </c>
      <c r="X1156" s="3" t="inlineStr">
        <is>
          <t>Medium-GI dish: keep to the stated portion and pair with the protein/fat in the recipe; GL per serving is the better guide.</t>
        </is>
      </c>
      <c r="Y1156" s="3" t="inlineStr">
        <is>
          <t>97% of this dish's available carbohydrate comes from ingredients with a published, measured GI; the rest uses conventional placeholders (see Ingredients sheet)</t>
        </is>
      </c>
      <c r="Z1156" s="2" t="n">
        <v>97</v>
      </c>
      <c r="AA1156" s="3" t="inlineStr">
        <is>
          <t>dairy-free, nut-free, high-protein</t>
        </is>
      </c>
      <c r="AB1156" s="3" t="inlineStr">
        <is>
          <t>1. Use cold, cooked rice.
2. Sear the diced chicken in oil, add garlic, carrot and peas.
3. Push aside, scramble the eggs, then mix in the rice.
4. Season with soy sauce and sesame oil and finish with green onion.</t>
        </is>
      </c>
      <c r="AC1156" s="4" t="inlineStr">
        <is>
          <t>["Use cold, cooked rice.", "Sear the diced chicken in oil, add garlic, carrot and peas.", "Push aside, scramble the eggs, then mix in the rice.", "Season with soy sauce and sesame oil and finish with green onion."]</t>
        </is>
      </c>
    </row>
    <row r="1157" ht="96" customHeight="1">
      <c r="A1157" s="2" t="inlineStr">
        <is>
          <t>DB-1156</t>
        </is>
      </c>
      <c r="B1157" s="3" t="inlineStr">
        <is>
          <t>Shrimp Fried Rice</t>
        </is>
      </c>
      <c r="C1157" s="4" t="inlineStr">
        <is>
          <t>Seafood</t>
        </is>
      </c>
      <c r="D1157" s="4" t="inlineStr">
        <is>
          <t>American</t>
        </is>
      </c>
      <c r="E1157" s="2" t="n">
        <v>4</v>
      </c>
      <c r="F1157" s="2" t="n">
        <v>15</v>
      </c>
      <c r="G1157" s="2" t="n">
        <v>12</v>
      </c>
      <c r="H1157" s="2" t="n">
        <v>27</v>
      </c>
      <c r="I1157" s="4" t="inlineStr">
        <is>
          <t>shrimp-fried-rice.jpg</t>
        </is>
      </c>
      <c r="J1157" s="3" t="inlineStr">
        <is>
          <t>Shrimp Fried Rice, healthy food photography, plated, natural light</t>
        </is>
      </c>
      <c r="K1157" s="4" t="inlineStr"/>
      <c r="L1157" s="3" t="inlineStr">
        <is>
          <t>White rice, long-grain, cooked — 480 g (16.9 oz)
Shrimp, peeled — 300 g (10.6 oz)
Egg, large (50 g each) — 100 g (3.5 oz)
Green peas — 100 g (3.5 oz)
Carrot — 80 g (2.8 oz)
Green onions (scallions) — 30 g (1.1 oz)
Soy sauce, low sodium — 30 g (1.1 oz)
Toasted sesame oil — 10 g (0.4 oz)
Extra-virgin olive oil — 15 g (0.5 oz)
Garlic — 6 g (0.2 oz)</t>
        </is>
      </c>
      <c r="M1157" s="4" t="inlineStr">
        <is>
          <t>[{"ingredient_id": "white_rice", "name": "White rice, long-grain, cooked", "grams": 480.0, "note": ""}, {"ingredient_id": "shrimp", "name": "Shrimp, peeled",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7" s="2" t="n">
        <v>347</v>
      </c>
      <c r="O1157" s="5" t="n">
        <v>23.7</v>
      </c>
      <c r="P1157" s="5" t="n">
        <v>9.5</v>
      </c>
      <c r="Q1157" s="5" t="n">
        <v>40.6</v>
      </c>
      <c r="R1157" s="5" t="n">
        <v>2.8</v>
      </c>
      <c r="S1157" s="5" t="n">
        <v>37.9</v>
      </c>
      <c r="T1157" s="2" t="n">
        <v>72</v>
      </c>
      <c r="U1157" s="2" t="inlineStr">
        <is>
          <t>high</t>
        </is>
      </c>
      <c r="V1157" s="5" t="n">
        <v>27.3</v>
      </c>
      <c r="W1157" s="2" t="inlineStr">
        <is>
          <t>high</t>
        </is>
      </c>
      <c r="X1157" s="3" t="inlineStr">
        <is>
          <t>Medium-GI dish: keep to the stated portion and pair with the protein/fat in the recipe; GL per serving is the better guide.</t>
        </is>
      </c>
      <c r="Y1157" s="3" t="inlineStr">
        <is>
          <t>97% of this dish's available carbohydrate comes from ingredients with a published, measured GI; the rest uses conventional placeholders (see Ingredients sheet)</t>
        </is>
      </c>
      <c r="Z1157" s="2" t="n">
        <v>97</v>
      </c>
      <c r="AA1157" s="3" t="inlineStr">
        <is>
          <t>pescatarian, dairy-free, nut-free</t>
        </is>
      </c>
      <c r="AB1157" s="3" t="inlineStr">
        <is>
          <t>1. Sear the shrimp in oil, 2 minutes, and set aside.
2. Stir-fry garlic, carrot and peas, scramble in the eggs.
3. Add the cold rice, soy sauce and sesame oil.
4. Fold in the shrimp and green onion.</t>
        </is>
      </c>
      <c r="AC1157" s="4" t="inlineStr">
        <is>
          <t>["Sear the shrimp in oil, 2 minutes, and set aside.", "Stir-fry garlic, carrot and peas, scramble in the eggs.", "Add the cold rice, soy sauce and sesame oil.", "Fold in the shrimp and green onion."]</t>
        </is>
      </c>
    </row>
    <row r="1158" ht="96" customHeight="1">
      <c r="A1158" s="2" t="inlineStr">
        <is>
          <t>DB-1157</t>
        </is>
      </c>
      <c r="B1158" s="3" t="inlineStr">
        <is>
          <t>Jambalaya</t>
        </is>
      </c>
      <c r="C1158" s="4" t="inlineStr">
        <is>
          <t>Seafood</t>
        </is>
      </c>
      <c r="D1158" s="4" t="inlineStr">
        <is>
          <t>American</t>
        </is>
      </c>
      <c r="E1158" s="2" t="n">
        <v>6</v>
      </c>
      <c r="F1158" s="2" t="n">
        <v>20</v>
      </c>
      <c r="G1158" s="2" t="n">
        <v>40</v>
      </c>
      <c r="H1158" s="2" t="n">
        <v>60</v>
      </c>
      <c r="I1158" s="4" t="inlineStr">
        <is>
          <t>jambalaya.jpg</t>
        </is>
      </c>
      <c r="J1158" s="3" t="inlineStr">
        <is>
          <t>Jambalaya, healthy food photography, plated, natural light</t>
        </is>
      </c>
      <c r="K1158" s="4" t="inlineStr"/>
      <c r="L1158" s="3" t="inlineStr">
        <is>
          <t>White rice, long-grain, cooked — 480 g (16.9 oz)
Chicken sausage — 250 g (8.8 oz)
Shrimp, peeled — 300 g (10.6 oz)
Chicken breast, skinless — 250 g (8.8 oz)
Bell pepper — 150 g (5.3 oz)
Celery — 80 g (2.8 oz)
Yellow onion — 150 g (5.3 oz)
Diced tomatoes, canned — 300 g (10.6 oz)
Chicken broth, low sodium — 300 g (10.6 oz)
Cajun seasoning — 10 g (0.4 oz)
Garlic — 8 g (0.3 oz)
Extra-virgin olive oil — 15 g (0.5 oz)</t>
        </is>
      </c>
      <c r="M1158" s="4" t="inlineStr">
        <is>
          <t>[{"ingredient_id": "white_rice", "name": "White rice, long-grain, cooked", "grams": 480.0, "note": ""}, {"ingredient_id": "chicken_sausage", "name": "Chicken sausage", "grams": 250.0, "note": ""}, {"ingredient_id": "shrimp", "name": "Shrimp, peeled", "grams": 300.0, "note": ""}, {"ingredient_id": "chicken_breast", "name": "Chicken breast, skinless", "grams": 250.0, "note": ""}, {"ingredient_id": "bell_pepper", "name": "Bell pepper", "grams": 150.0, "note": ""}, {"ingredient_id": "celery", "name": "Celery", "grams": 80.0, "note": ""}, {"ingredient_id": "onion", "name": "Yellow onion", "grams": 150.0, "note": ""}, {"ingredient_id": "diced_tomatoes", "name": "Diced tomatoes, canned", "grams": 300.0, "note": ""}, {"ingredient_id": "chicken_broth", "name": "Chicken broth, low sodium", "grams": 300.0, "note": ""}, {"ingredient_id": "cajun_seasoning", "name": "Cajun seasoning", "grams": 10.0, "note": ""}, {"ingredient_id": "garlic", "name": "Garlic", "grams": 8.0, "note": ""}, {"ingredient_id": "olive_oil", "name": "Extra-virgin olive oil", "grams": 15.0, "note": ""}]</t>
        </is>
      </c>
      <c r="N1158" s="2" t="n">
        <v>331</v>
      </c>
      <c r="O1158" s="5" t="n">
        <v>29.7</v>
      </c>
      <c r="P1158" s="5" t="n">
        <v>9.1</v>
      </c>
      <c r="Q1158" s="5" t="n">
        <v>31.6</v>
      </c>
      <c r="R1158" s="5" t="n">
        <v>2.7</v>
      </c>
      <c r="S1158" s="5" t="n">
        <v>28.9</v>
      </c>
      <c r="T1158" s="2" t="n">
        <v>63</v>
      </c>
      <c r="U1158" s="2" t="inlineStr">
        <is>
          <t>medium</t>
        </is>
      </c>
      <c r="V1158" s="5" t="n">
        <v>18.2</v>
      </c>
      <c r="W1158" s="2" t="inlineStr">
        <is>
          <t>medium</t>
        </is>
      </c>
      <c r="X1158" s="3" t="inlineStr">
        <is>
          <t>Medium-GI dish: keep to the stated portion and pair with the protein/fat in the recipe; GL per serving is the better guide.</t>
        </is>
      </c>
      <c r="Y1158" s="3" t="inlineStr">
        <is>
          <t>76% of this dish's available carbohydrate comes from ingredients with a published, measured GI; the rest uses conventional placeholders (see Ingredients sheet)</t>
        </is>
      </c>
      <c r="Z1158" s="2" t="n">
        <v>76</v>
      </c>
      <c r="AA1158" s="3" t="inlineStr">
        <is>
          <t>gluten-free, dairy-free, nut-free, high-protein</t>
        </is>
      </c>
      <c r="AB1158" s="3" t="inlineStr">
        <is>
          <t>1. Brown the sausage and chicken in oil.
2. Add the onion, pepper, celery and garlic and cook until soft.
3. Stir in the tomatoes, broth and Cajun seasoning and simmer 15 minutes.
4. Add the rice and shrimp and cook until the rice is tender.</t>
        </is>
      </c>
      <c r="AC1158" s="4" t="inlineStr">
        <is>
          <t>["Brown the sausage and chicken in oil.", "Add the onion, pepper, celery and garlic and cook until soft.", "Stir in the tomatoes, broth and Cajun seasoning and simmer 15 minutes.", "Add the rice and shrimp and cook until the rice is tender."]</t>
        </is>
      </c>
    </row>
    <row r="1159" ht="96" customHeight="1">
      <c r="A1159" s="2" t="inlineStr">
        <is>
          <t>DB-1158</t>
        </is>
      </c>
      <c r="B1159" s="3" t="inlineStr">
        <is>
          <t>Red Beans and Rice</t>
        </is>
      </c>
      <c r="C1159" s="4" t="inlineStr">
        <is>
          <t>Beef, Pork &amp; Lamb</t>
        </is>
      </c>
      <c r="D1159" s="4" t="inlineStr">
        <is>
          <t>American</t>
        </is>
      </c>
      <c r="E1159" s="2" t="n">
        <v>6</v>
      </c>
      <c r="F1159" s="2" t="n">
        <v>15</v>
      </c>
      <c r="G1159" s="2" t="n">
        <v>60</v>
      </c>
      <c r="H1159" s="2" t="n">
        <v>75</v>
      </c>
      <c r="I1159" s="4" t="inlineStr">
        <is>
          <t>red-beans-and-rice.jpg</t>
        </is>
      </c>
      <c r="J1159" s="3" t="inlineStr">
        <is>
          <t>Red Beans and Rice, healthy food photography, plated, natural light</t>
        </is>
      </c>
      <c r="K1159" s="4" t="inlineStr"/>
      <c r="L1159" s="3" t="inlineStr">
        <is>
          <t>Kidney beans, cooked — 600 g (21.2 oz)
White rice, long-grain, cooked — 400 g (14.1 oz)
Turkey sausage — 250 g (8.8 oz)
Yellow onion — 120 g (4.2 oz)
Celery — 80 g (2.8 oz)
Bell pepper — 100 g (3.5 oz)
Garlic — 8 g (0.3 oz)
Cajun seasoning — 8 g (0.3 oz)
Chicken broth, low sodium — 400 g (14.1 oz)</t>
        </is>
      </c>
      <c r="M1159" s="4" t="inlineStr">
        <is>
          <t>[{"ingredient_id": "kidney_beans", "name": "Kidney beans, cooked", "grams": 600.0, "note": ""}, {"ingredient_id": "white_rice", "name": "White rice, long-grain, cooked", "grams": 400.0, "note": ""}, {"ingredient_id": "turkey_sausage", "name": "Turkey sausage", "grams": 250.0, "note": ""}, {"ingredient_id": "onion", "name": "Yellow onion", "grams": 120.0, "note": ""}, {"ingredient_id": "celery", "name": "Celery", "grams": 80.0, "note": ""}, {"ingredient_id": "bell_pepper", "name": "Bell pepper", "grams": 100.0, "note": ""}, {"ingredient_id": "garlic", "name": "Garlic", "grams": 8.0, "note": ""}, {"ingredient_id": "cajun_seasoning", "name": "Cajun seasoning", "grams": 8.0, "note": ""}, {"ingredient_id": "chicken_broth", "name": "Chicken broth, low sodium", "grams": 400.0, "note": ""}]</t>
        </is>
      </c>
      <c r="N1159" s="2" t="n">
        <v>304</v>
      </c>
      <c r="O1159" s="5" t="n">
        <v>18.1</v>
      </c>
      <c r="P1159" s="5" t="n">
        <v>5.2</v>
      </c>
      <c r="Q1159" s="5" t="n">
        <v>47.1</v>
      </c>
      <c r="R1159" s="5" t="n">
        <v>7.9</v>
      </c>
      <c r="S1159" s="5" t="n">
        <v>39.1</v>
      </c>
      <c r="T1159" s="2" t="n">
        <v>52</v>
      </c>
      <c r="U1159" s="2" t="inlineStr">
        <is>
          <t>low</t>
        </is>
      </c>
      <c r="V1159" s="5" t="n">
        <v>20.4</v>
      </c>
      <c r="W1159" s="2" t="inlineStr">
        <is>
          <t>high</t>
        </is>
      </c>
      <c r="X1159" s="3" t="inlineStr"/>
      <c r="Y1159" s="3" t="inlineStr">
        <is>
          <t>89% of this dish's available carbohydrate comes from ingredients with a published, measured GI; the rest uses conventional placeholders (see Ingredients sheet)</t>
        </is>
      </c>
      <c r="Z1159" s="2" t="n">
        <v>89</v>
      </c>
      <c r="AA1159" s="3" t="inlineStr">
        <is>
          <t>gluten-free, dairy-free, nut-free, high-fiber</t>
        </is>
      </c>
      <c r="AB1159" s="3" t="inlineStr">
        <is>
          <t>1. Brown the sausage, then the onion, celery, pepper and garlic.
2. Add the beans, broth and seasoning and simmer 40 minutes, mashing some beans.
3. Serve over the rice.</t>
        </is>
      </c>
      <c r="AC1159" s="4" t="inlineStr">
        <is>
          <t>["Brown the sausage, then the onion, celery, pepper and garlic.", "Add the beans, broth and seasoning and simmer 40 minutes, mashing some beans.", "Serve over the rice."]</t>
        </is>
      </c>
    </row>
    <row r="1160" ht="96" customHeight="1">
      <c r="A1160" s="2" t="inlineStr">
        <is>
          <t>DB-1159</t>
        </is>
      </c>
      <c r="B1160" s="3" t="inlineStr">
        <is>
          <t>Chicken and Rice Casserole</t>
        </is>
      </c>
      <c r="C1160" s="4" t="inlineStr">
        <is>
          <t>Poultry</t>
        </is>
      </c>
      <c r="D1160" s="4" t="inlineStr">
        <is>
          <t>American</t>
        </is>
      </c>
      <c r="E1160" s="2" t="n">
        <v>6</v>
      </c>
      <c r="F1160" s="2" t="n">
        <v>15</v>
      </c>
      <c r="G1160" s="2" t="n">
        <v>40</v>
      </c>
      <c r="H1160" s="2" t="n">
        <v>55</v>
      </c>
      <c r="I1160" s="4" t="inlineStr">
        <is>
          <t>chicken-and-rice-casserole.jpg</t>
        </is>
      </c>
      <c r="J1160" s="3" t="inlineStr">
        <is>
          <t>Chicken and Rice Casserole, healthy food photography, plated, natural light</t>
        </is>
      </c>
      <c r="K1160" s="4" t="inlineStr"/>
      <c r="L1160" s="3" t="inlineStr">
        <is>
          <t>Chicken thigh, skinless boneless — 600 g (21.2 oz)
White rice, long-grain, cooked — 420 g (14.8 oz)
Broccoli — 250 g (8.8 oz)
Chicken broth, low sodium — 300 g (10.6 oz)
Cheddar cheese — 90 g (3.2 oz)
Yellow onion — 100 g (3.5 oz)
Garlic powder — 3 g (0.1 oz)
Extra-virgin olive oil — 10 g (0.4 oz)</t>
        </is>
      </c>
      <c r="M1160" s="4" t="inlineStr">
        <is>
          <t>[{"ingredient_id": "chicken_thigh", "name": "Chicken thigh, skinless boneless", "grams": 600.0, "note": ""}, {"ingredient_id": "white_rice", "name": "White rice, long-grain, cooked", "grams": 420.0, "note": ""}, {"ingredient_id": "broccoli", "name": "Broccoli", "grams": 250.0, "note": ""}, {"ingredient_id": "chicken_broth", "name": "Chicken broth, low sodium", "grams": 300.0, "note": ""}, {"ingredient_id": "cheddar", "name": "Cheddar cheese", "grams": 90.0, "note": ""}, {"ingredient_id": "onion", "name": "Yellow onion", "grams": 100.0, "note": ""}, {"ingredient_id": "garlic_powder", "name": "Garlic powder", "grams": 3.0, "note": ""}, {"ingredient_id": "olive_oil", "name": "Extra-virgin olive oil", "grams": 10.0, "note": ""}]</t>
        </is>
      </c>
      <c r="N1160" s="2" t="n">
        <v>312</v>
      </c>
      <c r="O1160" s="5" t="n">
        <v>27</v>
      </c>
      <c r="P1160" s="5" t="n">
        <v>11.2</v>
      </c>
      <c r="Q1160" s="5" t="n">
        <v>24.7</v>
      </c>
      <c r="R1160" s="5" t="n">
        <v>1.7</v>
      </c>
      <c r="S1160" s="5" t="n">
        <v>23</v>
      </c>
      <c r="T1160" s="2" t="n">
        <v>67</v>
      </c>
      <c r="U1160" s="2" t="inlineStr">
        <is>
          <t>medium</t>
        </is>
      </c>
      <c r="V1160" s="5" t="n">
        <v>15.4</v>
      </c>
      <c r="W1160" s="2" t="inlineStr">
        <is>
          <t>medium</t>
        </is>
      </c>
      <c r="X1160" s="3" t="inlineStr">
        <is>
          <t>Medium-GI dish: keep to the stated portion and pair with the protein/fat in the recipe; GL per serving is the better guide.</t>
        </is>
      </c>
      <c r="Y1160" s="3" t="inlineStr">
        <is>
          <t>84% of this dish's available carbohydrate comes from ingredients with a published, measured GI; the rest uses conventional placeholders (see Ingredients sheet)</t>
        </is>
      </c>
      <c r="Z1160" s="2" t="n">
        <v>84</v>
      </c>
      <c r="AA1160" s="3" t="inlineStr">
        <is>
          <t>gluten-free, nut-free, high-protein</t>
        </is>
      </c>
      <c r="AB1160" s="3" t="inlineStr">
        <is>
          <t>1. Brown the chicken pieces in oil.
2. Mix the cooked rice, broccoli, onion, broth and garlic powder in a dish.
3. Top with the chicken and cheddar.
4. Bake at 375°F for 30 minutes.</t>
        </is>
      </c>
      <c r="AC1160" s="4" t="inlineStr">
        <is>
          <t>["Brown the chicken pieces in oil.", "Mix the cooked rice, broccoli, onion, broth and garlic powder in a dish.", "Top with the chicken and cheddar.", "Bake at 375°F for 30 minutes."]</t>
        </is>
      </c>
    </row>
    <row r="1161" ht="96" customHeight="1">
      <c r="A1161" s="2" t="inlineStr">
        <is>
          <t>DB-1160</t>
        </is>
      </c>
      <c r="B1161" s="3" t="inlineStr">
        <is>
          <t>Spanish Rice with Ground Turkey</t>
        </is>
      </c>
      <c r="C1161" s="4" t="inlineStr">
        <is>
          <t>Poultry</t>
        </is>
      </c>
      <c r="D1161" s="4" t="inlineStr">
        <is>
          <t>Tex-Mex</t>
        </is>
      </c>
      <c r="E1161" s="2" t="n">
        <v>5</v>
      </c>
      <c r="F1161" s="2" t="n">
        <v>10</v>
      </c>
      <c r="G1161" s="2" t="n">
        <v>25</v>
      </c>
      <c r="H1161" s="2" t="n">
        <v>35</v>
      </c>
      <c r="I1161" s="4" t="inlineStr">
        <is>
          <t>spanish-rice-with-ground-turkey.jpg</t>
        </is>
      </c>
      <c r="J1161" s="3" t="inlineStr">
        <is>
          <t>Spanish Rice with Ground Turkey, healthy food photography, plated, natural light</t>
        </is>
      </c>
      <c r="K1161" s="4" t="inlineStr"/>
      <c r="L1161" s="3" t="inlineStr">
        <is>
          <t>White rice, long-grain, cooked — 400 g (14.1 oz)
Ground turkey 93% lean — 400 g (14.1 oz)
Tomato sauce, canned, no sugar added — 200 g (7.1 oz)
Yellow onion — 100 g (3.5 oz)
Bell pepper — 100 g (3.5 oz)
Ground cumin — 3 g (0.1 oz)
Chili powder — 4 g (0.1 oz)
Garlic — 6 g (0.2 oz)
Extra-virgin olive oil — 10 g (0.4 oz)</t>
        </is>
      </c>
      <c r="M1161" s="4" t="inlineStr">
        <is>
          <t>[{"ingredient_id": "white_rice", "name": "White rice, long-grain, cooked", "grams": 400.0,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"cumin", "name": "Ground cumin", "grams": 3.0, "note": ""}, {"ingredient_id": "chili_powder", "name": "Chili powder", "grams": 4.0, "note": ""}, {"ingredient_id": "garlic", "name": "Garlic", "grams": 6.0, "note": ""}, {"ingredient_id": "olive_oil", "name": "Extra-virgin olive oil", "grams": 10.0, "note": ""}]</t>
        </is>
      </c>
      <c r="N1161" s="2" t="n">
        <v>271</v>
      </c>
      <c r="O1161" s="5" t="n">
        <v>18.3</v>
      </c>
      <c r="P1161" s="5" t="n">
        <v>9</v>
      </c>
      <c r="Q1161" s="5" t="n">
        <v>28.6</v>
      </c>
      <c r="R1161" s="5" t="n">
        <v>2</v>
      </c>
      <c r="S1161" s="5" t="n">
        <v>26.6</v>
      </c>
      <c r="T1161" s="2" t="n">
        <v>68</v>
      </c>
      <c r="U1161" s="2" t="inlineStr">
        <is>
          <t>medium</t>
        </is>
      </c>
      <c r="V1161" s="5" t="n">
        <v>18.1</v>
      </c>
      <c r="W1161" s="2" t="inlineStr">
        <is>
          <t>medium</t>
        </is>
      </c>
      <c r="X1161" s="3" t="inlineStr">
        <is>
          <t>Medium-GI dish: keep to the stated portion and pair with the protein/fat in the recipe; GL per serving is the better guide.</t>
        </is>
      </c>
      <c r="Y1161" s="3" t="inlineStr">
        <is>
          <t>83% of this dish's available carbohydrate comes from ingredients with a published, measured GI; the rest uses conventional placeholders (see Ingredients sheet)</t>
        </is>
      </c>
      <c r="Z1161" s="2" t="n">
        <v>83</v>
      </c>
      <c r="AA1161" s="3" t="inlineStr">
        <is>
          <t>gluten-free, dairy-free, nut-free, one-pan</t>
        </is>
      </c>
      <c r="AB1161" s="3" t="inlineStr">
        <is>
          <t>1. Brown the turkey with the onion, pepper and garlic in oil.
2. Stir in the spices and tomato sauce.
3. Fold in the cooked rice and simmer 8 minutes.</t>
        </is>
      </c>
      <c r="AC1161" s="4" t="inlineStr">
        <is>
          <t>["Brown the turkey with the onion, pepper and garlic in oil.", "Stir in the spices and tomato sauce.", "Fold in the cooked rice and simmer 8 minutes."]</t>
        </is>
      </c>
    </row>
    <row r="1162" ht="96" customHeight="1">
      <c r="A1162" s="2" t="inlineStr">
        <is>
          <t>DB-1161</t>
        </is>
      </c>
      <c r="B1162" s="3" t="inlineStr">
        <is>
          <t>Chicken Enchiladas</t>
        </is>
      </c>
      <c r="C1162" s="4" t="inlineStr">
        <is>
          <t>Poultry</t>
        </is>
      </c>
      <c r="D1162" s="4" t="inlineStr">
        <is>
          <t>Tex-Mex</t>
        </is>
      </c>
      <c r="E1162" s="2" t="n">
        <v>5</v>
      </c>
      <c r="F1162" s="2" t="n">
        <v>20</v>
      </c>
      <c r="G1162" s="2" t="n">
        <v>25</v>
      </c>
      <c r="H1162" s="2" t="n">
        <v>45</v>
      </c>
      <c r="I1162" s="4" t="inlineStr">
        <is>
          <t>chicken-enchiladas.jpg</t>
        </is>
      </c>
      <c r="J1162" s="3" t="inlineStr">
        <is>
          <t>Chicken Enchiladas, healthy food photography, plated, natural light</t>
        </is>
      </c>
      <c r="K1162" s="4" t="inlineStr"/>
      <c r="L1162" s="3" t="inlineStr">
        <is>
          <t>Corn tortilla — 300 g (10.6 oz)
Rotisserie chicken, skin removed — 400 g (14.1 oz)
Red enchilada sauce, no sugar added — 300 g (10.6 oz)
Cheddar cheese — 100 g (3.5 oz)
Yellow onion — 80 g (2.8 oz)
Black beans, cooked — 150 g (5.3 oz)
Fresh cilantro — 5 g (0.2 oz)</t>
        </is>
      </c>
      <c r="M1162" s="4" t="inlineStr">
        <is>
          <t>[{"ingredient_id": "corn_tortilla", "name": "Corn tortilla", "grams": 300.0, "note": ""}, {"ingredient_id": "rotisserie_chicken", "name": "Rotisserie chicken, skin removed", "grams": 400.0, "note": ""}, {"ingredient_id": "enchilada_sauce", "name": "Red enchilada sauce, no sugar added", "grams": 300.0, "note": ""}, {"ingredient_id": "cheddar", "name": "Cheddar cheese", "grams": 100.0, "note": ""}, {"ingredient_id": "onion", "name": "Yellow onion", "grams": 80.0, "note": ""}, {"ingredient_id": "black_beans", "name": "Black beans, cooked", "grams": 150.0, "note": ""}, {"ingredient_id": "cilantro", "name": "Fresh cilantro", "grams": 5.0, "note": ""}]</t>
        </is>
      </c>
      <c r="N1162" s="2" t="n">
        <v>410</v>
      </c>
      <c r="O1162" s="5" t="n">
        <v>29.9</v>
      </c>
      <c r="P1162" s="5" t="n">
        <v>15.3</v>
      </c>
      <c r="Q1162" s="5" t="n">
        <v>38.9</v>
      </c>
      <c r="R1162" s="5" t="n">
        <v>7.3</v>
      </c>
      <c r="S1162" s="5" t="n">
        <v>31.6</v>
      </c>
      <c r="T1162" s="2" t="n">
        <v>45</v>
      </c>
      <c r="U1162" s="2" t="inlineStr">
        <is>
          <t>low</t>
        </is>
      </c>
      <c r="V1162" s="5" t="n">
        <v>14.2</v>
      </c>
      <c r="W1162" s="2" t="inlineStr">
        <is>
          <t>medium</t>
        </is>
      </c>
      <c r="X1162" s="3" t="inlineStr"/>
      <c r="Y1162" s="3" t="inlineStr">
        <is>
          <t>88% of this dish's available carbohydrate comes from ingredients with a published, measured GI; the rest uses conventional placeholders (see Ingredients sheet)</t>
        </is>
      </c>
      <c r="Z1162" s="2" t="n">
        <v>88</v>
      </c>
      <c r="AA1162" s="3" t="inlineStr">
        <is>
          <t>gluten-free, nut-free, high-protein, high-fiber</t>
        </is>
      </c>
      <c r="AB1162" s="3" t="inlineStr">
        <is>
          <t>1. Mix the shredded chicken with onion and beans.
2. Dip the tortillas in warm enchilada sauce, fill and roll.
3. Pack seam-down in a dish, cover with sauce and cheddar.
4. Bake at 375°F for 20 minutes and add cilantro.</t>
        </is>
      </c>
      <c r="AC1162" s="4" t="inlineStr">
        <is>
          <t>["Mix the shredded chicken with onion and beans.", "Dip the tortillas in warm enchilada sauce, fill and roll.", "Pack seam-down in a dish, cover with sauce and cheddar.", "Bake at 375°F for 20 minutes and add cilantro."]</t>
        </is>
      </c>
    </row>
    <row r="1163" ht="96" customHeight="1">
      <c r="A1163" s="2" t="inlineStr">
        <is>
          <t>DB-1162</t>
        </is>
      </c>
      <c r="B1163" s="3" t="inlineStr">
        <is>
          <t>Beef Tacos with Corn Tortillas</t>
        </is>
      </c>
      <c r="C1163" s="4" t="inlineStr">
        <is>
          <t>Beef, Pork &amp; Lamb</t>
        </is>
      </c>
      <c r="D1163" s="4" t="inlineStr">
        <is>
          <t>Tex-Mex</t>
        </is>
      </c>
      <c r="E1163" s="2" t="n">
        <v>4</v>
      </c>
      <c r="F1163" s="2" t="n">
        <v>10</v>
      </c>
      <c r="G1163" s="2" t="n">
        <v>15</v>
      </c>
      <c r="H1163" s="2" t="n">
        <v>25</v>
      </c>
      <c r="I1163" s="4" t="inlineStr">
        <is>
          <t>beef-tacos-with-corn-tortillas.jpg</t>
        </is>
      </c>
      <c r="J1163" s="3" t="inlineStr">
        <is>
          <t>Beef Tacos with Corn Tortillas, healthy food photography, plated, natural light</t>
        </is>
      </c>
      <c r="K1163" s="4" t="inlineStr"/>
      <c r="L1163" s="3" t="inlineStr">
        <is>
          <t>Ground beef 90% lean — 400 g (14.1 oz)
Corn tortilla — 240 g (8.5 oz)
Taco seasoning, low sodium — 12 g (0.4 oz)
Romaine lettuce — 80 g (2.8 oz)
Tomato — 120 g (4.2 oz)
Cheddar cheese — 50 g (1.8 oz)
Salsa, no sugar added — 100 g (3.5 oz)
Sour cream — 60 g (2.1 oz)</t>
        </is>
      </c>
      <c r="M1163" s="4" t="inlineStr">
        <is>
          <t>[{"ingredient_id": "ground_beef", "name": "Ground beef 90% lean", "grams": 400.0, "note": ""}, {"ingredient_id": "corn_tortilla", "name": "Corn tortilla", "grams": 240.0, "note": ""}, {"ingredient_id": "taco_seasoning", "name": "Taco seasoning, low sodium", "grams": 12.0, "note": ""}, {"ingredient_id": "romaine", "name": "Romaine lettuce", "grams": 80.0, "note": ""}, {"ingredient_id": "tomato", "name": "Tomato", "grams": 120.0, "note": ""}, {"ingredient_id": "cheddar", "name": "Cheddar cheese", "grams": 50.0, "note": ""}, {"ingredient_id": "salsa", "name": "Salsa, no sugar added", "grams": 100.0, "note": ""}, {"ingredient_id": "sour_cream", "name": "Sour cream", "grams": 60.0, "note": ""}]</t>
        </is>
      </c>
      <c r="N1163" s="2" t="n">
        <v>414</v>
      </c>
      <c r="O1163" s="5" t="n">
        <v>27.8</v>
      </c>
      <c r="P1163" s="5" t="n">
        <v>19.1</v>
      </c>
      <c r="Q1163" s="5" t="n">
        <v>33.1</v>
      </c>
      <c r="R1163" s="5" t="n">
        <v>5.7</v>
      </c>
      <c r="S1163" s="5" t="n">
        <v>27.4</v>
      </c>
      <c r="T1163" s="2" t="n">
        <v>47</v>
      </c>
      <c r="U1163" s="2" t="inlineStr">
        <is>
          <t>low</t>
        </is>
      </c>
      <c r="V1163" s="5" t="n">
        <v>12.9</v>
      </c>
      <c r="W1163" s="2" t="inlineStr">
        <is>
          <t>medium</t>
        </is>
      </c>
      <c r="X1163" s="3" t="inlineStr"/>
      <c r="Y1163" s="3" t="inlineStr">
        <is>
          <t>85% of this dish's available carbohydrate comes from ingredients with a published, measured GI; the rest uses conventional placeholders (see Ingredients sheet)</t>
        </is>
      </c>
      <c r="Z1163" s="2" t="n">
        <v>85</v>
      </c>
      <c r="AA1163" s="3" t="inlineStr">
        <is>
          <t>gluten-free, nut-free, high-protein</t>
        </is>
      </c>
      <c r="AB1163" s="3" t="inlineStr">
        <is>
          <t>1. Brown the beef with the taco seasoning.
2. Warm the tortillas.
3. Fill with beef, lettuce, tomato, cheddar and salsa.
4. Top with sour cream.</t>
        </is>
      </c>
      <c r="AC1163" s="4" t="inlineStr">
        <is>
          <t>["Brown the beef with the taco seasoning.", "Warm the tortillas.", "Fill with beef, lettuce, tomato, cheddar and salsa.", "Top with sour cream."]</t>
        </is>
      </c>
    </row>
    <row r="1164" ht="96" customHeight="1">
      <c r="A1164" s="2" t="inlineStr">
        <is>
          <t>DB-1163</t>
        </is>
      </c>
      <c r="B1164" s="3" t="inlineStr">
        <is>
          <t>Loaded Nachos with Beans and Chicken</t>
        </is>
      </c>
      <c r="C1164" s="4" t="inlineStr">
        <is>
          <t>Snack &amp; Appetizer</t>
        </is>
      </c>
      <c r="D1164" s="4" t="inlineStr">
        <is>
          <t>Tex-Mex</t>
        </is>
      </c>
      <c r="E1164" s="2" t="n">
        <v>4</v>
      </c>
      <c r="F1164" s="2" t="n">
        <v>10</v>
      </c>
      <c r="G1164" s="2" t="n">
        <v>10</v>
      </c>
      <c r="H1164" s="2" t="n">
        <v>20</v>
      </c>
      <c r="I1164" s="4" t="inlineStr">
        <is>
          <t>loaded-nachos-with-beans-and-chicken.jpg</t>
        </is>
      </c>
      <c r="J1164" s="3" t="inlineStr">
        <is>
          <t>Loaded Nachos with Beans and Chicken, healthy food photography, plated, natural light</t>
        </is>
      </c>
      <c r="K1164" s="4" t="inlineStr"/>
      <c r="L1164" s="3" t="inlineStr">
        <is>
          <t>Tortilla chips, plain — 120 g (4.2 oz)
Rotisserie chicken, skin removed — 200 g (7.1 oz)
Black beans, cooked — 150 g (5.3 oz)
Cheddar cheese — 100 g (3.5 oz)
Pico de gallo — 120 g (4.2 oz)
Guacamole — 100 g (3.5 oz)
Jalapeño — 20 g (0.7 oz)
Sour cream — 60 g (2.1 oz)</t>
        </is>
      </c>
      <c r="M1164" s="4" t="inlineStr">
        <is>
          <t>[{"ingredient_id": "tortilla_chips", "name": "Tortilla chips, plain", "grams": 120.0, "note": ""}, {"ingredient_id": "rotisserie_chicken", "name": "Rotisserie chicken, skin removed", "grams": 200.0, "note": ""}, {"ingredient_id": "black_beans", "name": "Black beans, cooked", "grams": 150.0, "note": ""}, {"ingredient_id": "cheddar", "name": "Cheddar cheese", "grams": 100.0, "note": ""}, {"ingredient_id": "pico_de_gallo", "name": "Pico de gallo", "grams": 120.0, "note": ""}, {"ingredient_id": "guacamole", "name": "Guacamole", "grams": 100.0, "note": ""}, {"ingredient_id": "jalapeno", "name": "Jalapeño", "grams": 20.0, "note": ""}, {"ingredient_id": "sour_cream", "name": "Sour cream", "grams": 60.0, "note": ""}]</t>
        </is>
      </c>
      <c r="N1164" s="2" t="n">
        <v>446</v>
      </c>
      <c r="O1164" s="5" t="n">
        <v>23.9</v>
      </c>
      <c r="P1164" s="5" t="n">
        <v>24.3</v>
      </c>
      <c r="Q1164" s="5" t="n">
        <v>34</v>
      </c>
      <c r="R1164" s="5" t="n">
        <v>6.9</v>
      </c>
      <c r="S1164" s="5" t="n">
        <v>27.2</v>
      </c>
      <c r="T1164" s="2" t="n">
        <v>47</v>
      </c>
      <c r="U1164" s="2" t="inlineStr">
        <is>
          <t>low</t>
        </is>
      </c>
      <c r="V1164" s="5" t="n">
        <v>12.8</v>
      </c>
      <c r="W1164" s="2" t="inlineStr">
        <is>
          <t>medium</t>
        </is>
      </c>
      <c r="X1164" s="3" t="inlineStr"/>
      <c r="Y1164" s="3" t="inlineStr">
        <is>
          <t>90% of this dish's available carbohydrate comes from ingredients with a published, measured GI; the rest uses conventional placeholders (see Ingredients sheet)</t>
        </is>
      </c>
      <c r="Z1164" s="2" t="n">
        <v>90</v>
      </c>
      <c r="AA1164" s="3" t="inlineStr">
        <is>
          <t>gluten-free, nut-free</t>
        </is>
      </c>
      <c r="AB1164" s="3" t="inlineStr">
        <is>
          <t>1. Spread the chips on a tray.
2. Top with chicken, beans and cheddar.
3. Bake at 400°F for 8 minutes until melted.
4. Finish with pico, guacamole, jalapeno and sour cream.</t>
        </is>
      </c>
      <c r="AC1164" s="4" t="inlineStr">
        <is>
          <t>["Spread the chips on a tray.", "Top with chicken, beans and cheddar.", "Bake at 400°F for 8 minutes until melted.", "Finish with pico, guacamole, jalapeno and sour cream."]</t>
        </is>
      </c>
    </row>
    <row r="1165" ht="96" customHeight="1">
      <c r="A1165" s="2" t="inlineStr">
        <is>
          <t>DB-1164</t>
        </is>
      </c>
      <c r="B1165" s="3" t="inlineStr">
        <is>
          <t>Shepherd's Pie with Mashed Potato Topping</t>
        </is>
      </c>
      <c r="C1165" s="4" t="inlineStr">
        <is>
          <t>Beef, Pork &amp; Lamb</t>
        </is>
      </c>
      <c r="D1165" s="4" t="inlineStr">
        <is>
          <t>American</t>
        </is>
      </c>
      <c r="E1165" s="2" t="n">
        <v>6</v>
      </c>
      <c r="F1165" s="2" t="n">
        <v>20</v>
      </c>
      <c r="G1165" s="2" t="n">
        <v>40</v>
      </c>
      <c r="H1165" s="2" t="n">
        <v>60</v>
      </c>
      <c r="I1165" s="4" t="inlineStr">
        <is>
          <t>shepherd-s-pie-with-mashed-potato-topping.jpg</t>
        </is>
      </c>
      <c r="J1165" s="3" t="inlineStr">
        <is>
          <t>Shepherd's Pie with Mashed Potato Topping, healthy food photography, plated, natural light</t>
        </is>
      </c>
      <c r="K1165" s="4" t="inlineStr"/>
      <c r="L1165" s="3" t="inlineStr">
        <is>
          <t>Ground beef 90% lean — 500 g (17.6 oz)
Potato, boiled, peeled — 720 g (25.4 oz)
Milk, 2% — 100 g (3.5 oz)
Butter — 20 g (0.7 oz)
Carrot — 150 g (5.3 oz)
Green peas — 120 g (4.2 oz)
Yellow onion — 120 g (4.2 oz)
Tomato paste — 30 g (1.1 oz)
Beef broth, low sodium — 200 g (7.1 oz)
Fresh thyme — 2 g (0.1 oz)</t>
        </is>
      </c>
      <c r="M1165" s="4" t="inlineStr">
        <is>
          <t>[{"ingredient_id": "ground_beef", "name": "Ground beef 90% lean", "grams": 500.0, "note": ""}, {"ingredient_id": "potato_boiled", "name": "Potato, boiled, peeled", "grams": 720.0, "note": ""}, {"ingredient_id": "milk", "name": "Milk, 2%", "grams": 100.0, "note": ""}, {"ingredient_id": "butter", "name": "Butter", "grams": 20.0, "note": ""}, {"ingredient_id": "carrot", "name": "Carrot", "grams": 150.0, "note": ""}, {"ingredient_id": "green_peas", "name": "Green peas", "grams": 120.0, "note": ""}, {"ingredient_id": "onion", "name": "Yellow onion", "grams": 120.0, "note": ""}, {"ingredient_id": "tomato_paste", "name": "Tomato paste", "grams": 30.0, "note": ""}, {"ingredient_id": "beef_broth", "name": "Beef broth, low sodium", "grams": 200.0, "note": ""}, {"ingredient_id": "thyme", "name": "Fresh thyme", "grams": 2.0, "note": ""}]</t>
        </is>
      </c>
      <c r="N1165" s="2" t="n">
        <v>332</v>
      </c>
      <c r="O1165" s="5" t="n">
        <v>21.8</v>
      </c>
      <c r="P1165" s="5" t="n">
        <v>11.7</v>
      </c>
      <c r="Q1165" s="5" t="n">
        <v>34.8</v>
      </c>
      <c r="R1165" s="5" t="n">
        <v>4.2</v>
      </c>
      <c r="S1165" s="5" t="n">
        <v>30.6</v>
      </c>
      <c r="T1165" s="2" t="n">
        <v>58</v>
      </c>
      <c r="U1165" s="2" t="inlineStr">
        <is>
          <t>medium</t>
        </is>
      </c>
      <c r="V1165" s="5" t="n">
        <v>17.7</v>
      </c>
      <c r="W1165" s="2" t="inlineStr">
        <is>
          <t>medium</t>
        </is>
      </c>
      <c r="X1165" s="3" t="inlineStr">
        <is>
          <t>Medium-GI dish: keep to the stated portion and pair with the protein/fat in the recipe; GL per serving is the better guide.</t>
        </is>
      </c>
      <c r="Y1165" s="3" t="inlineStr">
        <is>
          <t>92% of this dish's available carbohydrate comes from ingredients with a published, measured GI; the rest uses conventional placeholders (see Ingredients sheet)</t>
        </is>
      </c>
      <c r="Z1165" s="2" t="n">
        <v>92</v>
      </c>
      <c r="AA1165" s="3" t="inlineStr">
        <is>
          <t>gluten-free, nut-free</t>
        </is>
      </c>
      <c r="AB1165" s="3" t="inlineStr">
        <is>
          <t>1. Brown the beef with the onion and carrot; stir in paste, broth, thyme and peas.
2. Mash the potatoes with milk and butter.
3. Spread the beef in a dish and cover with the mash.
4. Bake at 400°F for 25 minutes.</t>
        </is>
      </c>
      <c r="AC1165" s="4" t="inlineStr">
        <is>
          <t>["Brown the beef with the onion and carrot; stir in paste, broth, thyme and peas.", "Mash the potatoes with milk and butter.", "Spread the beef in a dish and cover with the mash.", "Bake at 400°F for 25 minutes."]</t>
        </is>
      </c>
    </row>
    <row r="1166" ht="96" customHeight="1">
      <c r="A1166" s="2" t="inlineStr">
        <is>
          <t>DB-1165</t>
        </is>
      </c>
      <c r="B1166" s="3" t="inlineStr">
        <is>
          <t>Meatloaf Dinner with Mashed Potatoes and Green Beans</t>
        </is>
      </c>
      <c r="C1166" s="4" t="inlineStr">
        <is>
          <t>Beef, Pork &amp; Lamb</t>
        </is>
      </c>
      <c r="D1166" s="4" t="inlineStr">
        <is>
          <t>American</t>
        </is>
      </c>
      <c r="E1166" s="2" t="n">
        <v>6</v>
      </c>
      <c r="F1166" s="2" t="n">
        <v>20</v>
      </c>
      <c r="G1166" s="2" t="n">
        <v>55</v>
      </c>
      <c r="H1166" s="2" t="n">
        <v>75</v>
      </c>
      <c r="I1166" s="4" t="inlineStr">
        <is>
          <t>meatloaf-dinner-with-mashed-potatoes-and-green-beans.jpg</t>
        </is>
      </c>
      <c r="J1166" s="3" t="inlineStr">
        <is>
          <t>Meatloaf Dinner with Mashed Potatoes and Green Beans, healthy food photography, plated, natural light</t>
        </is>
      </c>
      <c r="K1166" s="4" t="inlineStr"/>
      <c r="L1166" s="3" t="inlineStr">
        <is>
          <t>Ground beef 90% lean — 600 g (21.2 oz)
Egg, large (50 g each) — 50 g (1.8 oz)
Oat bran, dry — 40 g (1.4 oz)
Yellow onion — 100 g (3.5 oz)
Tomato paste — 50 g (1.8 oz)
Potato, boiled, peeled — 720 g (25.4 oz)
Milk, 2% — 100 g (3.5 oz)
Butter — 20 g (0.7 oz)
Green beans — 360 g (12.7 oz)
Salt — 4 g (0.1 oz)</t>
        </is>
      </c>
      <c r="M1166" s="4" t="inlineStr">
        <is>
          <t>[{"ingredient_id": "ground_beef", "name": "Ground beef 90% lean", "grams": 600.0, "note": ""}, {"ingredient_id": "egg", "name": "Egg, large (50 g each)", "grams": 50.0, "note": ""}, {"ingredient_id": "oat_bran", "name": "Oat bran, dry", "grams": 40.0, "note": ""}, {"ingredient_id": "onion", "name": "Yellow onion", "grams": 100.0, "note": ""}, {"ingredient_id": "tomato_paste", "name": "Tomato paste", "grams": 50.0, "note": ""}, {"ingredient_id": "potato_boiled", "name": "Potato, boiled, peeled", "grams": 720.0, "note": ""}, {"ingredient_id": "milk", "name": "Milk, 2%", "grams": 100.0, "note": ""}, {"ingredient_id": "butter", "name": "Butter", "grams": 20.0, "note": ""}, {"ingredient_id": "green_beans", "name": "Green beans", "grams": 360.0, "note": ""}, {"ingredient_id": "salt", "name": "Salt", "grams": 4.0, "note": ""}]</t>
        </is>
      </c>
      <c r="N1166" s="2" t="n">
        <v>380</v>
      </c>
      <c r="O1166" s="5" t="n">
        <v>26.7</v>
      </c>
      <c r="P1166" s="5" t="n">
        <v>14.6</v>
      </c>
      <c r="Q1166" s="5" t="n">
        <v>38.4</v>
      </c>
      <c r="R1166" s="5" t="n">
        <v>5</v>
      </c>
      <c r="S1166" s="5" t="n">
        <v>33.4</v>
      </c>
      <c r="T1166" s="2" t="n">
        <v>57</v>
      </c>
      <c r="U1166" s="2" t="inlineStr">
        <is>
          <t>medium</t>
        </is>
      </c>
      <c r="V1166" s="5" t="n">
        <v>19</v>
      </c>
      <c r="W1166" s="2" t="inlineStr">
        <is>
          <t>medium</t>
        </is>
      </c>
      <c r="X1166" s="3" t="inlineStr">
        <is>
          <t>Medium-GI dish: keep to the stated portion and pair with the protein/fat in the recipe; GL per serving is the better guide.</t>
        </is>
      </c>
      <c r="Y1166" s="3" t="inlineStr">
        <is>
          <t>85% of this dish's available carbohydrate comes from ingredients with a published, measured GI; the rest uses conventional placeholders (see Ingredients sheet)</t>
        </is>
      </c>
      <c r="Z1166" s="2" t="n">
        <v>85</v>
      </c>
      <c r="AA1166" s="3" t="inlineStr">
        <is>
          <t>nut-free, high-protein</t>
        </is>
      </c>
      <c r="AB1166" s="3" t="inlineStr">
        <is>
          <t>1. Mix the beef, egg, oat bran, onion and salt; press into a loaf pan, spread with paste and bake at 375°F for 50 minutes.
2. Boil and mash the potatoes with milk and butter.
3. Steam the beans.
4. Serve slices with the sides.</t>
        </is>
      </c>
      <c r="AC1166" s="4" t="inlineStr">
        <is>
          <t>["Mix the beef, egg, oat bran, onion and salt; press into a loaf pan, spread with paste and bake at 375°F for 50 minutes.", "Boil and mash the potatoes with milk and butter.", "Steam the beans.", "Serve slices with the sides."]</t>
        </is>
      </c>
    </row>
    <row r="1167" ht="96" customHeight="1">
      <c r="A1167" s="2" t="inlineStr">
        <is>
          <t>DB-1166</t>
        </is>
      </c>
      <c r="B1167" s="3" t="inlineStr">
        <is>
          <t>Fish and Chips (Oven-Baked)</t>
        </is>
      </c>
      <c r="C1167" s="4" t="inlineStr">
        <is>
          <t>Seafood</t>
        </is>
      </c>
      <c r="D1167" s="4" t="inlineStr">
        <is>
          <t>American</t>
        </is>
      </c>
      <c r="E1167" s="2" t="n">
        <v>4</v>
      </c>
      <c r="F1167" s="2" t="n">
        <v>15</v>
      </c>
      <c r="G1167" s="2" t="n">
        <v>25</v>
      </c>
      <c r="H1167" s="2" t="n">
        <v>40</v>
      </c>
      <c r="I1167" s="4" t="inlineStr">
        <is>
          <t>fish-and-chips-oven-baked.jpg</t>
        </is>
      </c>
      <c r="J1167" s="3" t="inlineStr">
        <is>
          <t>Fish and Chips (Oven-Baked), healthy food photography, plated, natural light</t>
        </is>
      </c>
      <c r="K1167" s="4" t="inlineStr"/>
      <c r="L1167" s="3" t="inlineStr">
        <is>
          <t>Cod fillet — 600 g (21.2 oz)
Oven fries, frozen shoestring, baked — 480 g (16.9 oz)
Egg, large (50 g each) — 50 g (1.8 oz)
Almond flour — 60 g (2.1 oz)
Old Bay seasoning — 3 g (0.1 oz)
Lemon juice — 20 g (0.7 oz)
Greek yogurt, plain 2% — 80 g (2.8 oz)
Dill pickles — 30 g (1.1 oz)</t>
        </is>
      </c>
      <c r="M1167" s="4" t="inlineStr">
        <is>
          <t>[{"ingredient_id": "cod", "name": "Cod fillet", "grams": 600.0, "note": ""}, {"ingredient_id": "french_fries_baked", "name": "Oven fries, frozen shoestring, baked", "grams": 480.0, "note": ""}, {"ingredient_id": "egg", "name": "Egg, large (50 g each)", "grams": 50.0, "note": ""}, {"ingredient_id": "almond_flour", "name": "Almond flour", "grams": 60.0, "note": ""}, {"ingredient_id": "old_bay", "name": "Old Bay seasoning", "grams": 3.0, "note": ""}, {"ingredient_id": "lemon_juice", "name": "Lemon juice", "grams": 20.0, "note": ""}, {"ingredient_id": "greek_yogurt", "name": "Greek yogurt, plain 2%", "grams": 80.0, "note": ""}, {"ingredient_id": "dill_pickle", "name": "Dill pickles", "grams": 30.0, "note": ""}]</t>
        </is>
      </c>
      <c r="N1167" s="2" t="n">
        <v>438</v>
      </c>
      <c r="O1167" s="5" t="n">
        <v>37.2</v>
      </c>
      <c r="P1167" s="5" t="n">
        <v>16.8</v>
      </c>
      <c r="Q1167" s="5" t="n">
        <v>35.7</v>
      </c>
      <c r="R1167" s="5" t="n">
        <v>4.5</v>
      </c>
      <c r="S1167" s="5" t="n">
        <v>31.2</v>
      </c>
      <c r="T1167" s="2" t="n">
        <v>59</v>
      </c>
      <c r="U1167" s="2" t="inlineStr">
        <is>
          <t>medium</t>
        </is>
      </c>
      <c r="V1167" s="5" t="n">
        <v>18.4</v>
      </c>
      <c r="W1167" s="2" t="inlineStr">
        <is>
          <t>medium</t>
        </is>
      </c>
      <c r="X1167" s="3" t="inlineStr">
        <is>
          <t>Medium-GI dish: keep to the stated portion and pair with the protein/fat in the recipe; GL per serving is the better guide.</t>
        </is>
      </c>
      <c r="Y1167" s="3" t="inlineStr">
        <is>
          <t>93% of this dish's available carbohydrate comes from ingredients with a published, measured GI; the rest uses conventional placeholders (see Ingredients sheet)</t>
        </is>
      </c>
      <c r="Z1167" s="2" t="n">
        <v>93</v>
      </c>
      <c r="AA1167" s="3" t="inlineStr">
        <is>
          <t>pescatarian, gluten-free, high-protein</t>
        </is>
      </c>
      <c r="AB1167" s="3" t="inlineStr">
        <is>
          <t>1. Bake the fries according to the package.
2. Dip the cod in egg, then almond flour mixed with Old Bay.
3. Bake at 425°F for 15 minutes.
4. Stir the yogurt with chopped pickle and lemon for a tartar sauce.</t>
        </is>
      </c>
      <c r="AC1167" s="4" t="inlineStr">
        <is>
          <t>["Bake the fries according to the package.", "Dip the cod in egg, then almond flour mixed with Old Bay.", "Bake at 425°F for 15 minutes.", "Stir the yogurt with chopped pickle and lemon for a tartar sauce."]</t>
        </is>
      </c>
    </row>
    <row r="1168" ht="96" customHeight="1">
      <c r="A1168" s="2" t="inlineStr">
        <is>
          <t>DB-1167</t>
        </is>
      </c>
      <c r="B1168" s="3" t="inlineStr">
        <is>
          <t>Southern Salmon Croquettes with Lemon Dill Yogurt</t>
        </is>
      </c>
      <c r="C1168" s="4" t="inlineStr">
        <is>
          <t>Seafood</t>
        </is>
      </c>
      <c r="D1168" s="4" t="inlineStr">
        <is>
          <t>American</t>
        </is>
      </c>
      <c r="E1168" s="2" t="n">
        <v>4</v>
      </c>
      <c r="F1168" s="2" t="n">
        <v>15</v>
      </c>
      <c r="G1168" s="2" t="n">
        <v>10</v>
      </c>
      <c r="H1168" s="2" t="n">
        <v>25</v>
      </c>
      <c r="I1168" s="4" t="inlineStr">
        <is>
          <t>southern-salmon-croquettes-with-lemon-dill-yogurt.jpg</t>
        </is>
      </c>
      <c r="J1168" s="3" t="inlineStr">
        <is>
          <t>Southern Salmon Croquettes with Lemon Dill Yogurt, healthy food photography, plated, natural light</t>
        </is>
      </c>
      <c r="K1168" s="4" t="inlineStr"/>
      <c r="L1168" s="3" t="inlineStr">
        <is>
          <t>Canned salmon — 400 g (14.1 oz)
Egg, large (50 g each) — 100 g (3.5 oz)
White bread — 40 g (1.4 oz)
Celery — 40 g (1.4 oz)
Yellow onion — 40 g (1.4 oz)
Dijon mustard — 10 g (0.4 oz)
Greek yogurt, plain 2% — 100 g (3.5 oz)
Lemon juice — 20 g (0.7 oz)
Fresh dill — 3 g (0.1 oz)
Extra-virgin olive oil — 15 g (0.5 oz)</t>
        </is>
      </c>
      <c r="M1168" s="4" t="inlineStr">
        <is>
          <t>[{"ingredient_id": "canned_salmon", "name": "Canned salmon", "grams": 400.0, "note": ""}, {"ingredient_id": "egg", "name": "Egg, large (50 g each)", "grams": 100.0, "note": ""}, {"ingredient_id": "white_bread", "name": "White bread", "grams": 40.0, "note": ""}, {"ingredient_id": "celery", "name": "Celery", "grams": 40.0, "note": ""}, {"ingredient_id": "onion", "name": "Yellow onion", "grams": 40.0, "note": ""}, {"ingredient_id": "dijon", "name": "Dijon mustard", "grams": 10.0, "note": ""}, {"ingredient_id": "greek_yogurt", "name": "Greek yogurt, plain 2%", "grams": 100.0, "note": ""}, {"ingredient_id": "lemon_juice", "name": "Lemon juice", "grams": 20.0, "note": ""}, {"ingredient_id": "dill", "name": "Fresh dill", "grams": 3.0, "note": ""}, {"ingredient_id": "olive_oil", "name": "Extra-virgin olive oil", "grams": 15.0, "note": ""}]</t>
        </is>
      </c>
      <c r="N1168" s="2" t="n">
        <v>263</v>
      </c>
      <c r="O1168" s="5" t="n">
        <v>26.9</v>
      </c>
      <c r="P1168" s="5" t="n">
        <v>13.1</v>
      </c>
      <c r="Q1168" s="5" t="n">
        <v>7.8</v>
      </c>
      <c r="R1168" s="5" t="n">
        <v>0.7</v>
      </c>
      <c r="S1168" s="5" t="n">
        <v>7.2</v>
      </c>
      <c r="T1168" s="2" t="n">
        <v>52</v>
      </c>
      <c r="U1168" s="2" t="inlineStr">
        <is>
          <t>low</t>
        </is>
      </c>
      <c r="V1168" s="5" t="n">
        <v>3.7</v>
      </c>
      <c r="W1168" s="2" t="inlineStr">
        <is>
          <t>low</t>
        </is>
      </c>
      <c r="X1168" s="3" t="inlineStr"/>
      <c r="Y1168" s="3" t="inlineStr">
        <is>
          <t>79% of this dish's available carbohydrate comes from ingredients with a published, measured GI; the rest uses conventional placeholders (see Ingredients sheet)</t>
        </is>
      </c>
      <c r="Z1168" s="2" t="n">
        <v>79</v>
      </c>
      <c r="AA1168" s="3" t="inlineStr">
        <is>
          <t>pescatarian, nut-free, low-carb, high-protein</t>
        </is>
      </c>
      <c r="AB1168" s="3" t="inlineStr">
        <is>
          <t>1. Mix the salmon, egg, crumbed bread, celery, onion and mustard.
2. Shape into patties and pan-fry in oil 4 minutes a side.
3. Stir the yogurt with lemon and dill and serve alongside.</t>
        </is>
      </c>
      <c r="AC1168" s="4" t="inlineStr">
        <is>
          <t>["Mix the salmon, egg, crumbed bread, celery, onion and mustard.", "Shape into patties and pan-fry in oil 4 minutes a side.", "Stir the yogurt with lemon and dill and serve alongside."]</t>
        </is>
      </c>
    </row>
    <row r="1169" ht="96" customHeight="1">
      <c r="A1169" s="2" t="inlineStr">
        <is>
          <t>DB-1168</t>
        </is>
      </c>
      <c r="B1169" s="3" t="inlineStr">
        <is>
          <t>Chicken Pot Pie Skillet</t>
        </is>
      </c>
      <c r="C1169" s="4" t="inlineStr">
        <is>
          <t>Poultry</t>
        </is>
      </c>
      <c r="D1169" s="4" t="inlineStr">
        <is>
          <t>American</t>
        </is>
      </c>
      <c r="E1169" s="2" t="n">
        <v>5</v>
      </c>
      <c r="F1169" s="2" t="n">
        <v>15</v>
      </c>
      <c r="G1169" s="2" t="n">
        <v>25</v>
      </c>
      <c r="H1169" s="2" t="n">
        <v>40</v>
      </c>
      <c r="I1169" s="4" t="inlineStr">
        <is>
          <t>chicken-pot-pie-skillet.jpg</t>
        </is>
      </c>
      <c r="J1169" s="3" t="inlineStr">
        <is>
          <t>Chicken Pot Pie Skillet, healthy food photography, plated, natural light</t>
        </is>
      </c>
      <c r="K1169" s="4" t="inlineStr"/>
      <c r="L1169" s="3" t="inlineStr">
        <is>
          <t>Chicken breast, skinless — 500 g (17.6 oz)
Potato, boiled, peeled — 300 g (10.6 oz)
Carrot — 120 g (4.2 oz)
Green peas — 100 g (3.5 oz)
Yellow onion — 100 g (3.5 oz)
Celery — 60 g (2.1 oz)
Milk, 2% — 250 g (8.8 oz)
Chicken broth, low sodium — 250 g (8.8 oz)
Fresh thyme — 2 g (0.1 oz)
Butter — 15 g (0.5 oz)</t>
        </is>
      </c>
      <c r="M1169" s="4" t="inlineStr">
        <is>
          <t>[{"ingredient_id": "chicken_breast", "name": "Chicken breast, skinless", "grams": 500.0, "note": ""}, {"ingredient_id": "potato_boiled", "name": "Potato, boiled, peeled", "grams": 300.0, "note": ""}, {"ingredient_id": "carrot", "name": "Carrot", "grams": 120.0, "note": ""}, {"ingredient_id": "green_peas", "name": "Green peas", "grams": 100.0, "note": ""}, {"ingredient_id": "onion", "name": "Yellow onion", "grams": 100.0, "note": ""}, {"ingredient_id": "celery", "name": "Celery", "grams": 60.0, "note": ""}, {"ingredient_id": "milk", "name": "Milk, 2%", "grams": 250.0, "note": ""}, {"ingredient_id": "chicken_broth", "name": "Chicken broth, low sodium", "grams": 250.0, "note": ""}, {"ingredient_id": "thyme", "name": "Fresh thyme", "grams": 2.0, "note": ""}, {"ingredient_id": "butter", "name": "Butter", "grams": 15.0, "note": ""}]</t>
        </is>
      </c>
      <c r="N1169" s="2" t="n">
        <v>262</v>
      </c>
      <c r="O1169" s="5" t="n">
        <v>27.5</v>
      </c>
      <c r="P1169" s="5" t="n">
        <v>6.4</v>
      </c>
      <c r="Q1169" s="5" t="n">
        <v>23</v>
      </c>
      <c r="R1169" s="5" t="n">
        <v>3.3</v>
      </c>
      <c r="S1169" s="5" t="n">
        <v>19.7</v>
      </c>
      <c r="T1169" s="2" t="n">
        <v>51</v>
      </c>
      <c r="U1169" s="2" t="inlineStr">
        <is>
          <t>low</t>
        </is>
      </c>
      <c r="V1169" s="5" t="n">
        <v>10</v>
      </c>
      <c r="W1169" s="2" t="inlineStr">
        <is>
          <t>low</t>
        </is>
      </c>
      <c r="X1169" s="3" t="inlineStr"/>
      <c r="Y1169" s="3" t="inlineStr">
        <is>
          <t>90% of this dish's available carbohydrate comes from ingredients with a published, measured GI; the rest uses conventional placeholders (see Ingredients sheet)</t>
        </is>
      </c>
      <c r="Z1169" s="2" t="n">
        <v>90</v>
      </c>
      <c r="AA1169" s="3" t="inlineStr">
        <is>
          <t>gluten-free, nut-free, high-protein, one-pan</t>
        </is>
      </c>
      <c r="AB1169" s="3" t="inlineStr">
        <is>
          <t>1. Sauté the onion, carrot and celery in butter.
2. Add the chicken, potatoes, broth and thyme and simmer 12 minutes.
3. Stir in the milk and peas and thicken by simmering.</t>
        </is>
      </c>
      <c r="AC1169" s="4" t="inlineStr">
        <is>
          <t>["Sauté the onion, carrot and celery in butter.", "Add the chicken, potatoes, broth and thyme and simmer 12 minutes.", "Stir in the milk and peas and thicken by simmering."]</t>
        </is>
      </c>
    </row>
    <row r="1170" ht="96" customHeight="1">
      <c r="A1170" s="2" t="inlineStr">
        <is>
          <t>DB-1169</t>
        </is>
      </c>
      <c r="B1170" s="3" t="inlineStr">
        <is>
          <t>Baked Chicken Thighs with Roasted Potatoes</t>
        </is>
      </c>
      <c r="C1170" s="4" t="inlineStr">
        <is>
          <t>Poultry</t>
        </is>
      </c>
      <c r="D1170" s="4" t="inlineStr">
        <is>
          <t>American</t>
        </is>
      </c>
      <c r="E1170" s="2" t="n">
        <v>4</v>
      </c>
      <c r="F1170" s="2" t="n">
        <v>15</v>
      </c>
      <c r="G1170" s="2" t="n">
        <v>45</v>
      </c>
      <c r="H1170" s="2" t="n">
        <v>60</v>
      </c>
      <c r="I1170" s="4" t="inlineStr">
        <is>
          <t>baked-chicken-thighs-with-roasted-potatoes.jpg</t>
        </is>
      </c>
      <c r="J1170" s="3" t="inlineStr">
        <is>
          <t>Baked Chicken Thighs with Roasted Potatoes, healthy food photography, plated, natural light</t>
        </is>
      </c>
      <c r="K1170" s="4" t="inlineStr"/>
      <c r="L1170" s="3" t="inlineStr">
        <is>
          <t>Chicken thigh, skinless boneless — 700 g (24.7 oz)
Potato, boiled, peeled — 600 g (21.2 oz)
Extra-virgin olive oil — 25 g (0.9 oz)
Garlic — 10 g (0.4 oz)
Fresh rosemary — 3 g (0.1 oz)
Paprika — 3 g (0.1 oz)
Salt — 3 g (0.1 oz)
Green beans — 300 g (10.6 oz)</t>
        </is>
      </c>
      <c r="M1170" s="4" t="inlineStr">
        <is>
          <t>[{"ingredient_id": "chicken_thigh", "name": "Chicken thigh, skinless boneless", "grams": 700.0, "note": ""}, {"ingredient_id": "potato_boiled", "name": "Potato, boiled, peeled", "grams": 600.0, "note": ""}, {"ingredient_id": "olive_oil", "name": "Extra-virgin olive oil", "grams": 25.0, "note": ""}, {"ingredient_id": "garlic", "name": "Garlic", "grams": 10.0, "note": ""}, {"ingredient_id": "rosemary", "name": "Fresh rosemary", "grams": 3.0, "note": ""}, {"ingredient_id": "paprika", "name": "Paprika", "grams": 3.0, "note": ""}, {"ingredient_id": "salt", "name": "Salt", "grams": 3.0, "note": ""}, {"ingredient_id": "green_beans", "name": "Green beans", "grams": 300.0, "note": ""}]</t>
        </is>
      </c>
      <c r="N1170" s="2" t="n">
        <v>437</v>
      </c>
      <c r="O1170" s="5" t="n">
        <v>39</v>
      </c>
      <c r="P1170" s="5" t="n">
        <v>13.9</v>
      </c>
      <c r="Q1170" s="5" t="n">
        <v>38.9</v>
      </c>
      <c r="R1170" s="5" t="n">
        <v>4.7</v>
      </c>
      <c r="S1170" s="5" t="n">
        <v>34.2</v>
      </c>
      <c r="T1170" s="2" t="n">
        <v>60</v>
      </c>
      <c r="U1170" s="2" t="inlineStr">
        <is>
          <t>medium</t>
        </is>
      </c>
      <c r="V1170" s="5" t="n">
        <v>20.5</v>
      </c>
      <c r="W1170" s="2" t="inlineStr">
        <is>
          <t>high</t>
        </is>
      </c>
      <c r="X1170" s="3" t="inlineStr">
        <is>
          <t>Medium-GI dish: keep to the stated portion and pair with the protein/fat in the recipe; GL per serving is the better guide.</t>
        </is>
      </c>
      <c r="Y1170" s="3" t="inlineStr">
        <is>
          <t>88% of this dish's available carbohydrate comes from ingredients with a published, measured GI; the rest uses conventional placeholders (see Ingredients sheet)</t>
        </is>
      </c>
      <c r="Z1170" s="2" t="n">
        <v>88</v>
      </c>
      <c r="AA1170" s="3" t="inlineStr">
        <is>
          <t>gluten-free, dairy-free, nut-free, high-protein, one-pan</t>
        </is>
      </c>
      <c r="AB1170" s="3" t="inlineStr">
        <is>
          <t>1. Heat the oven to 425°F.
2. Toss the chicken and potatoes with oil, garlic, rosemary, paprika and salt.
3. Roast 40 minutes, adding the green beans for the last 15.</t>
        </is>
      </c>
      <c r="AC1170" s="4" t="inlineStr">
        <is>
          <t>["Heat the oven to 425°F.", "Toss the chicken and potatoes with oil, garlic, rosemary, paprika and salt.", "Roast 40 minutes, adding the green beans for the last 15."]</t>
        </is>
      </c>
    </row>
    <row r="1171" ht="96" customHeight="1">
      <c r="A1171" s="2" t="inlineStr">
        <is>
          <t>DB-1170</t>
        </is>
      </c>
      <c r="B1171" s="3" t="inlineStr">
        <is>
          <t>Sausage and Peppers over White Rice</t>
        </is>
      </c>
      <c r="C1171" s="4" t="inlineStr">
        <is>
          <t>Poultry</t>
        </is>
      </c>
      <c r="D1171" s="4" t="inlineStr">
        <is>
          <t>American</t>
        </is>
      </c>
      <c r="E1171" s="2" t="n">
        <v>4</v>
      </c>
      <c r="F1171" s="2" t="n">
        <v>10</v>
      </c>
      <c r="G1171" s="2" t="n">
        <v>25</v>
      </c>
      <c r="H1171" s="2" t="n">
        <v>35</v>
      </c>
      <c r="I1171" s="4" t="inlineStr">
        <is>
          <t>sausage-and-peppers-over-white-rice.jpg</t>
        </is>
      </c>
      <c r="J1171" s="3" t="inlineStr">
        <is>
          <t>Sausage and Peppers over White Rice, healthy food photography, plated, natural light</t>
        </is>
      </c>
      <c r="K1171" s="4" t="inlineStr"/>
      <c r="L1171" s="3" t="inlineStr">
        <is>
          <t>Chicken sausage — 400 g (14.1 oz)
Bell pepper — 300 g (10.6 oz)
Yellow onion — 150 g (5.3 oz)
Marinara sauce, no sugar added — 200 g (7.1 oz)
White rice, long-grain, cooked — 320 g (11.3 oz)
Italian seasoning — 3 g (0.1 oz)
Extra-virgin olive oil — 10 g (0.4 oz)</t>
        </is>
      </c>
      <c r="M1171" s="4" t="inlineStr">
        <is>
          <t>[{"ingredient_id": "chicken_sausage", "name": "Chicken sausage", "grams": 400.0, "note": ""}, {"ingredient_id": "bell_pepper", "name": "Bell pepper", "grams": 300.0, "note": ""}, {"ingredient_id": "onion", "name": "Yellow onion", "grams": 150.0, "note": ""}, {"ingredient_id": "marinara", "name": "Marinara sauce, no sugar added", "grams": 200.0, "note": ""}, {"ingredient_id": "white_rice", "name": "White rice, long-grain, cooked", "grams": 320.0, "note": ""}, {"ingredient_id": "italian_seasoning", "name": "Italian seasoning", "grams": 3.0, "note": ""}, {"ingredient_id": "olive_oil", "name": "Extra-virgin olive oil", "grams": 10.0, "note": ""}]</t>
        </is>
      </c>
      <c r="N1171" s="2" t="n">
        <v>358</v>
      </c>
      <c r="O1171" s="5" t="n">
        <v>19.1</v>
      </c>
      <c r="P1171" s="5" t="n">
        <v>15.3</v>
      </c>
      <c r="Q1171" s="5" t="n">
        <v>35.4</v>
      </c>
      <c r="R1171" s="5" t="n">
        <v>3.6</v>
      </c>
      <c r="S1171" s="5" t="n">
        <v>31.8</v>
      </c>
      <c r="T1171" s="2" t="n">
        <v>58</v>
      </c>
      <c r="U1171" s="2" t="inlineStr">
        <is>
          <t>medium</t>
        </is>
      </c>
      <c r="V1171" s="5" t="n">
        <v>18.4</v>
      </c>
      <c r="W1171" s="2" t="inlineStr">
        <is>
          <t>medium</t>
        </is>
      </c>
      <c r="X1171" s="3" t="inlineStr">
        <is>
          <t>Medium-GI dish: keep to the stated portion and pair with the protein/fat in the recipe; GL per serving is the better guide.</t>
        </is>
      </c>
      <c r="Y1171" s="3" t="inlineStr">
        <is>
          <t>75% of this dish's available carbohydrate comes from ingredients with a published, measured GI; the rest uses conventional placeholders (see Ingredients sheet)</t>
        </is>
      </c>
      <c r="Z1171" s="2" t="n">
        <v>75</v>
      </c>
      <c r="AA1171" s="3" t="inlineStr">
        <is>
          <t>gluten-free, dairy-free, nut-free</t>
        </is>
      </c>
      <c r="AB1171" s="3" t="inlineStr">
        <is>
          <t>1. Brown the sausage in oil.
2. Add the pepper and onion and cook until soft.
3. Stir in the marinara and seasoning and simmer 8 minutes.
4. Serve over the rice.</t>
        </is>
      </c>
      <c r="AC1171" s="4" t="inlineStr">
        <is>
          <t>["Brown the sausage in oil.", "Add the pepper and onion and cook until soft.", "Stir in the marinara and seasoning and simmer 8 minutes.", "Serve over the rice."]</t>
        </is>
      </c>
    </row>
    <row r="1172" ht="96" customHeight="1">
      <c r="A1172" s="2" t="inlineStr">
        <is>
          <t>DB-1171</t>
        </is>
      </c>
      <c r="B1172" s="3" t="inlineStr">
        <is>
          <t>Beef and Broccoli over White Rice</t>
        </is>
      </c>
      <c r="C1172" s="4" t="inlineStr">
        <is>
          <t>Beef, Pork &amp; Lamb</t>
        </is>
      </c>
      <c r="D1172" s="4" t="inlineStr">
        <is>
          <t>American</t>
        </is>
      </c>
      <c r="E1172" s="2" t="n">
        <v>4</v>
      </c>
      <c r="F1172" s="2" t="n">
        <v>15</v>
      </c>
      <c r="G1172" s="2" t="n">
        <v>12</v>
      </c>
      <c r="H1172" s="2" t="n">
        <v>27</v>
      </c>
      <c r="I1172" s="4" t="inlineStr">
        <is>
          <t>beef-and-broccoli-over-white-rice.jpg</t>
        </is>
      </c>
      <c r="J1172" s="3" t="inlineStr">
        <is>
          <t>Beef and Broccoli over White Rice, healthy food photography, plated, natural light</t>
        </is>
      </c>
      <c r="K1172" s="4" t="inlineStr"/>
      <c r="L1172" s="3" t="inlineStr">
        <is>
          <t>Flank steak — 450 g (15.9 oz)
Broccoli — 350 g (12.3 oz)
White rice, long-grain, cooked — 360 g (12.7 oz)
Garlic — 8 g (0.3 oz)
Fresh ginger — 8 g (0.3 oz)
Soy sauce, low sodium — 30 g (1.1 oz)
Toasted sesame oil — 10 g (0.4 oz)
Extra-virgin olive oil — 10 g (0.4 oz)</t>
        </is>
      </c>
      <c r="M1172" s="4" t="inlineStr">
        <is>
          <t>[{"ingredient_id": "flank_steak", "name": "Flank steak", "grams": 450.0, "note": ""}, {"ingredient_id": "broccoli", "name": "Broccoli", "grams": 350.0, "note": ""}, {"ingredient_id": "white_rice", "name": "White rice, long-grain, cooked", "grams": 360.0,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t>
        </is>
      </c>
      <c r="N1172" s="2" t="n">
        <v>367</v>
      </c>
      <c r="O1172" s="5" t="n">
        <v>29.2</v>
      </c>
      <c r="P1172" s="5" t="n">
        <v>13.5</v>
      </c>
      <c r="Q1172" s="5" t="n">
        <v>32.4</v>
      </c>
      <c r="R1172" s="5" t="n">
        <v>2.8</v>
      </c>
      <c r="S1172" s="5" t="n">
        <v>29.6</v>
      </c>
      <c r="T1172" s="2" t="n">
        <v>67</v>
      </c>
      <c r="U1172" s="2" t="inlineStr">
        <is>
          <t>medium</t>
        </is>
      </c>
      <c r="V1172" s="5" t="n">
        <v>19.8</v>
      </c>
      <c r="W1172" s="2" t="inlineStr">
        <is>
          <t>medium</t>
        </is>
      </c>
      <c r="X1172" s="3" t="inlineStr">
        <is>
          <t>Medium-GI dish: keep to the stated portion and pair with the protein/fat in the recipe; GL per serving is the better guide.</t>
        </is>
      </c>
      <c r="Y1172" s="3" t="inlineStr">
        <is>
          <t>84% of this dish's available carbohydrate comes from ingredients with a published, measured GI; the rest uses conventional placeholders (see Ingredients sheet)</t>
        </is>
      </c>
      <c r="Z1172" s="2" t="n">
        <v>84</v>
      </c>
      <c r="AA1172" s="3" t="inlineStr">
        <is>
          <t>dairy-free, nut-free, high-protein</t>
        </is>
      </c>
      <c r="AB1172" s="3" t="inlineStr">
        <is>
          <t>1. Sear the sliced steak in oil and set aside.
2. Stir-fry the broccoli, garlic and ginger.
3. Return the steak with soy sauce and sesame oil.
4. Serve over the rice.</t>
        </is>
      </c>
      <c r="AC1172" s="4" t="inlineStr">
        <is>
          <t>["Sear the sliced steak in oil and set aside.", "Stir-fry the broccoli, garlic and ginger.", "Return the steak with soy sauce and sesame oil.", "Serve over the rice."]</t>
        </is>
      </c>
    </row>
    <row r="1173" ht="96" customHeight="1">
      <c r="A1173" s="2" t="inlineStr">
        <is>
          <t>DB-1172</t>
        </is>
      </c>
      <c r="B1173" s="3" t="inlineStr">
        <is>
          <t>Teriyaki-Style Chicken Bowls</t>
        </is>
      </c>
      <c r="C1173" s="4" t="inlineStr">
        <is>
          <t>Poultry</t>
        </is>
      </c>
      <c r="D1173" s="4" t="inlineStr">
        <is>
          <t>American</t>
        </is>
      </c>
      <c r="E1173" s="2" t="n">
        <v>4</v>
      </c>
      <c r="F1173" s="2" t="n">
        <v>15</v>
      </c>
      <c r="G1173" s="2" t="n">
        <v>15</v>
      </c>
      <c r="H1173" s="2" t="n">
        <v>30</v>
      </c>
      <c r="I1173" s="4" t="inlineStr">
        <is>
          <t>teriyaki-style-chicken-bowls.jpg</t>
        </is>
      </c>
      <c r="J1173" s="3" t="inlineStr">
        <is>
          <t>Teriyaki-Style Chicken Bowls, healthy food photography, plated, natural light</t>
        </is>
      </c>
      <c r="K1173" s="4" t="inlineStr"/>
      <c r="L1173" s="3" t="inlineStr">
        <is>
          <t>Chicken thigh, skinless boneless — 500 g (17.6 oz)
White rice, long-grain, cooked — 360 g (12.7 oz)
Broccoli — 250 g (8.8 oz)
Carrot — 100 g (3.5 oz)
Soy sauce, low sodium — 35 g (1.2 oz)
Rice vinegar, unseasoned — 15 g (0.5 oz)
Fresh ginger — 8 g (0.3 oz)
Garlic — 6 g (0.2 oz)
Sesame seeds — 6 g (0.2 oz)
Extra-virgin olive oil — 10 g (0.4 oz)</t>
        </is>
      </c>
      <c r="M1173" s="4" t="inlineStr">
        <is>
          <t>[{"ingredient_id": "chicken_thigh", "name": "Chicken thigh, skinless boneless", "grams": 500.0, "note": ""}, {"ingredient_id": "white_rice", "name": "White rice, long-grain, cooked", "grams": 360.0, "note": ""}, {"ingredient_id": "broccoli", "name": "Broccoli", "grams": 250.0, "note": ""}, {"ingredient_id": "carrot", "name": "Carrot", "grams": 100.0, "note": ""}, {"ingredient_id": "soy_sauce", "name": "Soy sauce, low sodium", "grams": 35.0, "note": ""}, {"ingredient_id": "rice_vinegar", "name": "Rice vinegar, unseasoned", "grams": 15.0, "note": ""}, {"ingredient_id": "ginger", "name": "Fresh ginger", "grams": 8.0, "note": ""}, {"ingredient_id": "garlic", "name": "Garlic", "grams": 6.0, "note": ""}, {"ingredient_id": "sesame_seeds", "name": "Sesame seeds", "grams": 6.0, "note": ""}, {"ingredient_id": "olive_oil", "name": "Extra-virgin olive oil", "grams": 10.0, "note": ""}]</t>
        </is>
      </c>
      <c r="N1173" s="2" t="n">
        <v>339</v>
      </c>
      <c r="O1173" s="5" t="n">
        <v>30.1</v>
      </c>
      <c r="P1173" s="5" t="n">
        <v>9</v>
      </c>
      <c r="Q1173" s="5" t="n">
        <v>33.4</v>
      </c>
      <c r="R1173" s="5" t="n">
        <v>3</v>
      </c>
      <c r="S1173" s="5" t="n">
        <v>30.4</v>
      </c>
      <c r="T1173" s="2" t="n">
        <v>67</v>
      </c>
      <c r="U1173" s="2" t="inlineStr">
        <is>
          <t>medium</t>
        </is>
      </c>
      <c r="V1173" s="5" t="n">
        <v>20.4</v>
      </c>
      <c r="W1173" s="2" t="inlineStr">
        <is>
          <t>high</t>
        </is>
      </c>
      <c r="X1173" s="3" t="inlineStr">
        <is>
          <t>Medium-GI dish: keep to the stated portion and pair with the protein/fat in the recipe; GL per serving is the better guide.</t>
        </is>
      </c>
      <c r="Y1173" s="3" t="inlineStr">
        <is>
          <t>87% of this dish's available carbohydrate comes from ingredients with a published, measured GI; the rest uses conventional placeholders (see Ingredients sheet)</t>
        </is>
      </c>
      <c r="Z1173" s="2" t="n">
        <v>87</v>
      </c>
      <c r="AA1173" s="3" t="inlineStr">
        <is>
          <t>dairy-free, nut-free, high-protein</t>
        </is>
      </c>
      <c r="AB1173" s="3" t="inlineStr">
        <is>
          <t>1. Sear the chicken pieces in oil.
2. Add garlic, ginger, soy sauce and vinegar and cook until glazed.
3. Steam the broccoli and carrot.
4. Serve over rice with sesame seeds.</t>
        </is>
      </c>
      <c r="AC1173" s="4" t="inlineStr">
        <is>
          <t>["Sear the chicken pieces in oil.", "Add garlic, ginger, soy sauce and vinegar and cook until glazed.", "Steam the broccoli and carrot.", "Serve over rice with sesame seeds."]</t>
        </is>
      </c>
    </row>
    <row r="1174" ht="96" customHeight="1">
      <c r="A1174" s="2" t="inlineStr">
        <is>
          <t>DB-1173</t>
        </is>
      </c>
      <c r="B1174" s="3" t="inlineStr">
        <is>
          <t>Southern Baked Chicken Legs with Rice</t>
        </is>
      </c>
      <c r="C1174" s="4" t="inlineStr">
        <is>
          <t>Poultry</t>
        </is>
      </c>
      <c r="D1174" s="4" t="inlineStr">
        <is>
          <t>American</t>
        </is>
      </c>
      <c r="E1174" s="2" t="n">
        <v>4</v>
      </c>
      <c r="F1174" s="2" t="n">
        <v>10</v>
      </c>
      <c r="G1174" s="2" t="n">
        <v>45</v>
      </c>
      <c r="H1174" s="2" t="n">
        <v>55</v>
      </c>
      <c r="I1174" s="4" t="inlineStr">
        <is>
          <t>southern-baked-chicken-legs-with-rice.jpg</t>
        </is>
      </c>
      <c r="J1174" s="3" t="inlineStr">
        <is>
          <t>Southern Baked Chicken Legs with Rice, healthy food photography, plated, natural light</t>
        </is>
      </c>
      <c r="K1174" s="4" t="inlineStr"/>
      <c r="L1174" s="3" t="inlineStr">
        <is>
          <t>Chicken thigh, skinless boneless — 700 g (24.7 oz)
White rice, long-grain, cooked — 360 g (12.7 oz)
Paprika — 4 g (0.1 oz)
Garlic powder — 3 g (0.1 oz)
Onion powder — 3 g (0.1 oz)
Extra-virgin olive oil — 15 g (0.5 oz)
Salt — 3 g (0.1 oz)
Collard greens — 250 g (8.8 oz)</t>
        </is>
      </c>
      <c r="M1174" s="4" t="inlineStr">
        <is>
          <t>[{"ingredient_id": "chicken_thigh", "name": "Chicken thigh, skinless boneless", "grams": 700.0, "note": ""}, {"ingredient_id": "white_rice", "name": "White rice, long-grain, cooked", "grams": 360.0, "note": ""}, {"ingredient_id": "paprika", "name": "Paprika", "grams": 4.0, "note": ""}, {"ingredient_id": "garlic_powder", "name": "Garlic powder", "grams": 3.0, "note": ""}, {"ingredient_id": "onion_powder", "name": "Onion powder", "grams": 3.0, "note": ""}, {"ingredient_id": "olive_oil", "name": "Extra-virgin olive oil", "grams": 15.0, "note": ""}, {"ingredient_id": "salt", "name": "Salt", "grams": 3.0, "note": ""}, {"ingredient_id": "collard_greens", "name": "Collard greens", "grams": 250.0, "note": ""}]</t>
        </is>
      </c>
      <c r="N1174" s="2" t="n">
        <v>389</v>
      </c>
      <c r="O1174" s="5" t="n">
        <v>39.1</v>
      </c>
      <c r="P1174" s="5" t="n">
        <v>11.7</v>
      </c>
      <c r="Q1174" s="5" t="n">
        <v>30.3</v>
      </c>
      <c r="R1174" s="5" t="n">
        <v>3.4</v>
      </c>
      <c r="S1174" s="5" t="n">
        <v>26.9</v>
      </c>
      <c r="T1174" s="2" t="n">
        <v>72</v>
      </c>
      <c r="U1174" s="2" t="inlineStr">
        <is>
          <t>high</t>
        </is>
      </c>
      <c r="V1174" s="5" t="n">
        <v>19.3</v>
      </c>
      <c r="W1174" s="2" t="inlineStr">
        <is>
          <t>medium</t>
        </is>
      </c>
      <c r="X1174" s="3" t="inlineStr">
        <is>
          <t>Medium-GI dish: keep to the stated portion and pair with the protein/fat in the recipe; GL per serving is the better guide.</t>
        </is>
      </c>
      <c r="Y1174" s="3" t="inlineStr">
        <is>
          <t>92% of this dish's available carbohydrate comes from ingredients with a published, measured GI; the rest uses conventional placeholders (see Ingredients sheet)</t>
        </is>
      </c>
      <c r="Z1174" s="2" t="n">
        <v>92</v>
      </c>
      <c r="AA1174" s="3" t="inlineStr">
        <is>
          <t>gluten-free, dairy-free, nut-free, high-protein</t>
        </is>
      </c>
      <c r="AB1174" s="3" t="inlineStr">
        <is>
          <t>1. Rub the chicken with oil and the spices.
2. Roast at 425°F for 40 minutes.
3. Sauté the collards briefly.
4. Serve with the rice.</t>
        </is>
      </c>
      <c r="AC1174" s="4" t="inlineStr">
        <is>
          <t>["Rub the chicken with oil and the spices.", "Roast at 425°F for 40 minutes.", "Sauté the collards briefly.", "Serve with the rice."]</t>
        </is>
      </c>
    </row>
    <row r="1175" ht="96" customHeight="1">
      <c r="A1175" s="2" t="inlineStr">
        <is>
          <t>DB-1174</t>
        </is>
      </c>
      <c r="B1175" s="3" t="inlineStr">
        <is>
          <t>Loaded Baked Potato Soup</t>
        </is>
      </c>
      <c r="C1175" s="4" t="inlineStr">
        <is>
          <t>Soup &amp; Stew</t>
        </is>
      </c>
      <c r="D1175" s="4" t="inlineStr">
        <is>
          <t>American</t>
        </is>
      </c>
      <c r="E1175" s="2" t="n">
        <v>5</v>
      </c>
      <c r="F1175" s="2" t="n">
        <v>15</v>
      </c>
      <c r="G1175" s="2" t="n">
        <v>30</v>
      </c>
      <c r="H1175" s="2" t="n">
        <v>45</v>
      </c>
      <c r="I1175" s="4" t="inlineStr">
        <is>
          <t>loaded-baked-potato-soup.jpg</t>
        </is>
      </c>
      <c r="J1175" s="3" t="inlineStr">
        <is>
          <t>Loaded Baked Potato Soup, healthy food photography, plated, natural light</t>
        </is>
      </c>
      <c r="K1175" s="4" t="inlineStr"/>
      <c r="L1175" s="3" t="inlineStr">
        <is>
          <t>Potato, boiled, peeled — 600 g (21.2 oz)
Chicken broth, low sodium — 700 g (24.7 oz)
Milk, 2% — 250 g (8.8 oz)
Cheddar cheese — 90 g (3.2 oz)
Bacon — 40 g (1.4 oz)
Green onions (scallions) — 30 g (1.1 oz)
Yellow onion — 100 g (3.5 oz)
Garlic — 6 g (0.2 oz)
Sour cream — 60 g (2.1 oz)</t>
        </is>
      </c>
      <c r="M1175" s="4" t="inlineStr">
        <is>
          <t>[{"ingredient_id": "potato_boiled", "name": "Potato, boiled, peeled", "grams": 600.0, "note": ""}, {"ingredient_id": "chicken_broth", "name": "Chicken broth, low sodium", "grams": 700.0, "note": ""}, {"ingredient_id": "milk", "name": "Milk, 2%", "grams": 250.0, "note": ""}, {"ingredient_id": "cheddar", "name": "Cheddar cheese", "grams": 90.0, "note": ""}, {"ingredient_id": "bacon", "name": "Bacon", "grams": 40.0, "note": ""}, {"ingredient_id": "green_onion", "name": "Green onions (scallions)", "grams": 30.0, "note": ""}, {"ingredient_id": "onion", "name": "Yellow onion", "grams": 100.0, "note": ""}, {"ingredient_id": "garlic", "name": "Garlic", "grams": 6.0, "note": ""}, {"ingredient_id": "sour_cream", "name": "Sour cream", "grams": 60.0, "note": ""}]</t>
        </is>
      </c>
      <c r="N1175" s="2" t="n">
        <v>298</v>
      </c>
      <c r="O1175" s="5" t="n">
        <v>13.2</v>
      </c>
      <c r="P1175" s="5" t="n">
        <v>13</v>
      </c>
      <c r="Q1175" s="5" t="n">
        <v>32.5</v>
      </c>
      <c r="R1175" s="5" t="n">
        <v>2.3</v>
      </c>
      <c r="S1175" s="5" t="n">
        <v>30.2</v>
      </c>
      <c r="T1175" s="2" t="n">
        <v>56</v>
      </c>
      <c r="U1175" s="2" t="inlineStr">
        <is>
          <t>medium</t>
        </is>
      </c>
      <c r="V1175" s="5" t="n">
        <v>16.9</v>
      </c>
      <c r="W1175" s="2" t="inlineStr">
        <is>
          <t>medium</t>
        </is>
      </c>
      <c r="X1175" s="3" t="inlineStr">
        <is>
          <t>Medium-GI dish: keep to the stated portion and pair with the protein/fat in the recipe; GL per serving is the better guide.</t>
        </is>
      </c>
      <c r="Y1175" s="3" t="inlineStr">
        <is>
          <t>88% of this dish's available carbohydrate comes from ingredients with a published, measured GI; the rest uses conventional placeholders (see Ingredients sheet)</t>
        </is>
      </c>
      <c r="Z1175" s="2" t="n">
        <v>88</v>
      </c>
      <c r="AA1175" s="3" t="inlineStr">
        <is>
          <t>gluten-free, nut-free</t>
        </is>
      </c>
      <c r="AB1175" s="3" t="inlineStr">
        <is>
          <t>1. Sauté the onion and garlic with the bacon.
2. Add the potatoes and broth and simmer 15 minutes.
3. Mash partly, stir in the milk and half the cheddar.
4. Top with sour cream, green onion and the rest of the cheddar.</t>
        </is>
      </c>
      <c r="AC1175" s="4" t="inlineStr">
        <is>
          <t>["Sauté the onion and garlic with the bacon.", "Add the potatoes and broth and simmer 15 minutes.", "Mash partly, stir in the milk and half the cheddar.", "Top with sour cream, green onion and the rest of the cheddar."]</t>
        </is>
      </c>
    </row>
    <row r="1176" ht="96" customHeight="1">
      <c r="A1176" s="2" t="inlineStr">
        <is>
          <t>DB-1175</t>
        </is>
      </c>
      <c r="B1176" s="3" t="inlineStr">
        <is>
          <t>Corn Chowder</t>
        </is>
      </c>
      <c r="C1176" s="4" t="inlineStr">
        <is>
          <t>Soup &amp; Stew</t>
        </is>
      </c>
      <c r="D1176" s="4" t="inlineStr">
        <is>
          <t>American</t>
        </is>
      </c>
      <c r="E1176" s="2" t="n">
        <v>5</v>
      </c>
      <c r="F1176" s="2" t="n">
        <v>15</v>
      </c>
      <c r="G1176" s="2" t="n">
        <v>30</v>
      </c>
      <c r="H1176" s="2" t="n">
        <v>45</v>
      </c>
      <c r="I1176" s="4" t="inlineStr">
        <is>
          <t>corn-chowder.jpg</t>
        </is>
      </c>
      <c r="J1176" s="3" t="inlineStr">
        <is>
          <t>Corn Chowder, healthy food photography, plated, natural light</t>
        </is>
      </c>
      <c r="K1176" s="4" t="inlineStr"/>
      <c r="L1176" s="3" t="inlineStr">
        <is>
          <t>Sweet corn kernels — 400 g (14.1 oz)
Potato, boiled, peeled — 300 g (10.6 oz)
Chicken broth, low sodium — 600 g (21.2 oz)
Milk, 2% — 250 g (8.8 oz)
Yellow onion — 100 g (3.5 oz)
Celery — 60 g (2.1 oz)
Bacon — 40 g (1.4 oz)
Fresh thyme — 2 g (0.1 oz)</t>
        </is>
      </c>
      <c r="M1176" s="4" t="inlineStr">
        <is>
          <t>[{"ingredient_id": "corn", "name": "Sweet corn kernels", "grams": 400.0, "note": ""}, {"ingredient_id": "potato_boiled", "name": "Potato, boiled, peeled", "grams": 300.0, "note": ""}, {"ingredient_id": "chicken_broth", "name": "Chicken broth, low sodium", "grams": 600.0, "note": ""}, {"ingredient_id": "milk", "name": "Milk, 2%", "grams": 250.0, "note": ""}, {"ingredient_id": "onion", "name": "Yellow onion", "grams": 100.0, "note": ""}, {"ingredient_id": "celery", "name": "Celery", "grams": 60.0, "note": ""}, {"ingredient_id": "bacon", "name": "Bacon", "grams": 40.0, "note": ""}, {"ingredient_id": "thyme", "name": "Fresh thyme", "grams": 2.0, "note": ""}]</t>
        </is>
      </c>
      <c r="N1176" s="2" t="n">
        <v>212</v>
      </c>
      <c r="O1176" s="5" t="n">
        <v>9.9</v>
      </c>
      <c r="P1176" s="5" t="n">
        <v>5.8</v>
      </c>
      <c r="Q1176" s="5" t="n">
        <v>33.5</v>
      </c>
      <c r="R1176" s="5" t="n">
        <v>3.6</v>
      </c>
      <c r="S1176" s="5" t="n">
        <v>29.9</v>
      </c>
      <c r="T1176" s="2" t="n">
        <v>52</v>
      </c>
      <c r="U1176" s="2" t="inlineStr">
        <is>
          <t>low</t>
        </is>
      </c>
      <c r="V1176" s="5" t="n">
        <v>15.5</v>
      </c>
      <c r="W1176" s="2" t="inlineStr">
        <is>
          <t>medium</t>
        </is>
      </c>
      <c r="X1176" s="3" t="inlineStr"/>
      <c r="Y1176" s="3" t="inlineStr">
        <is>
          <t>92% of this dish's available carbohydrate comes from ingredients with a published, measured GI; the rest uses conventional placeholders (see Ingredients sheet)</t>
        </is>
      </c>
      <c r="Z1176" s="2" t="n">
        <v>92</v>
      </c>
      <c r="AA1176" s="3" t="inlineStr">
        <is>
          <t>gluten-free, nut-free</t>
        </is>
      </c>
      <c r="AB1176" s="3" t="inlineStr">
        <is>
          <t>1. Crisp the bacon, then soften the onion and celery.
2. Add the corn, potatoes, broth and thyme and simmer 15 minutes.
3. Blend a third of the soup and stir back in with the milk.</t>
        </is>
      </c>
      <c r="AC1176" s="4" t="inlineStr">
        <is>
          <t>["Crisp the bacon, then soften the onion and celery.", "Add the corn, potatoes, broth and thyme and simmer 15 minutes.", "Blend a third of the soup and stir back in with the milk."]</t>
        </is>
      </c>
    </row>
    <row r="1177" ht="96" customHeight="1">
      <c r="A1177" s="2" t="inlineStr">
        <is>
          <t>DB-1176</t>
        </is>
      </c>
      <c r="B1177" s="3" t="inlineStr">
        <is>
          <t>Chicken and Rice Soup</t>
        </is>
      </c>
      <c r="C1177" s="4" t="inlineStr">
        <is>
          <t>Soup &amp; Stew</t>
        </is>
      </c>
      <c r="D1177" s="4" t="inlineStr">
        <is>
          <t>American</t>
        </is>
      </c>
      <c r="E1177" s="2" t="n">
        <v>5</v>
      </c>
      <c r="F1177" s="2" t="n">
        <v>10</v>
      </c>
      <c r="G1177" s="2" t="n">
        <v>30</v>
      </c>
      <c r="H1177" s="2" t="n">
        <v>40</v>
      </c>
      <c r="I1177" s="4" t="inlineStr">
        <is>
          <t>chicken-and-rice-soup.jpg</t>
        </is>
      </c>
      <c r="J1177" s="3" t="inlineStr">
        <is>
          <t>Chicken and Rice Soup, healthy food photography, plated, natural light</t>
        </is>
      </c>
      <c r="K1177" s="4" t="inlineStr"/>
      <c r="L1177" s="3" t="inlineStr">
        <is>
          <t>Chicken breast, skinless — 400 g (14.1 oz)
White rice, long-grain, cooked — 300 g (10.6 oz)
Chicken broth, low sodium — 1000 g (35.3 oz)
Carrot — 120 g (4.2 oz)
Celery — 80 g (2.8 oz)
Yellow onion — 100 g (3.5 oz)
Fresh thyme — 2 g (0.1 oz)
Fresh parsley — 5 g (0.2 oz)</t>
        </is>
      </c>
      <c r="M1177" s="4" t="inlineStr">
        <is>
          <t>[{"ingredient_id": "chicken_breast", "name": "Chicken breast, skinless", "grams": 400.0, "note": ""}, {"ingredient_id": "white_rice", "name": "White rice, long-grain, cooked", "grams": 300.0, "note": ""}, {"ingredient_id": "chicken_broth", "name": "Chicken broth, low sodium", "grams": 1000.0, "note": ""}, {"ingredient_id": "carrot", "name": "Carrot", "grams": 120.0, "note": ""}, {"ingredient_id": "celery", "name": "Celery", "grams": 80.0, "note": ""}, {"ingredient_id": "onion", "name": "Yellow onion", "grams": 100.0, "note": ""}, {"ingredient_id": "thyme", "name": "Fresh thyme", "grams": 2.0, "note": ""}, {"ingredient_id": "parsley", "name": "Fresh parsley", "grams": 5.0, "note": ""}]</t>
        </is>
      </c>
      <c r="N1177" s="2" t="n">
        <v>209</v>
      </c>
      <c r="O1177" s="5" t="n">
        <v>22.2</v>
      </c>
      <c r="P1177" s="5" t="n">
        <v>2.8</v>
      </c>
      <c r="Q1177" s="5" t="n">
        <v>22.6</v>
      </c>
      <c r="R1177" s="5" t="n">
        <v>1.6</v>
      </c>
      <c r="S1177" s="5" t="n">
        <v>21</v>
      </c>
      <c r="T1177" s="2" t="n">
        <v>65</v>
      </c>
      <c r="U1177" s="2" t="inlineStr">
        <is>
          <t>medium</t>
        </is>
      </c>
      <c r="V1177" s="5" t="n">
        <v>13.7</v>
      </c>
      <c r="W1177" s="2" t="inlineStr">
        <is>
          <t>medium</t>
        </is>
      </c>
      <c r="X1177" s="3" t="inlineStr">
        <is>
          <t>Medium-GI dish: keep to the stated portion and pair with the protein/fat in the recipe; GL per serving is the better guide.</t>
        </is>
      </c>
      <c r="Y1177" s="3" t="inlineStr">
        <is>
          <t>87% of this dish's available carbohydrate comes from ingredients with a published, measured GI; the rest uses conventional placeholders (see Ingredients sheet)</t>
        </is>
      </c>
      <c r="Z1177" s="2" t="n">
        <v>87</v>
      </c>
      <c r="AA1177" s="3" t="inlineStr">
        <is>
          <t>gluten-free, dairy-free, nut-free</t>
        </is>
      </c>
      <c r="AB1177" s="3" t="inlineStr">
        <is>
          <t>1. Simmer the chicken, carrot, celery, onion and thyme in the broth for 20 minutes.
2. Shred the chicken.
3. Add the cooked rice and heat through; finish with parsley.</t>
        </is>
      </c>
      <c r="AC1177" s="4" t="inlineStr">
        <is>
          <t>["Simmer the chicken, carrot, celery, onion and thyme in the broth for 20 minutes.", "Shred the chicken.", "Add the cooked rice and heat through; finish with parsley."]</t>
        </is>
      </c>
    </row>
    <row r="1178" ht="96" customHeight="1">
      <c r="A1178" s="2" t="inlineStr">
        <is>
          <t>DB-1177</t>
        </is>
      </c>
      <c r="B1178" s="3" t="inlineStr">
        <is>
          <t>Hearty Beef and Potato Stew</t>
        </is>
      </c>
      <c r="C1178" s="4" t="inlineStr">
        <is>
          <t>Soup &amp; Stew</t>
        </is>
      </c>
      <c r="D1178" s="4" t="inlineStr">
        <is>
          <t>American</t>
        </is>
      </c>
      <c r="E1178" s="2" t="n">
        <v>6</v>
      </c>
      <c r="F1178" s="2" t="n">
        <v>20</v>
      </c>
      <c r="G1178" s="2" t="n">
        <v>100</v>
      </c>
      <c r="H1178" s="2" t="n">
        <v>120</v>
      </c>
      <c r="I1178" s="4" t="inlineStr">
        <is>
          <t>hearty-beef-and-potato-stew.jpg</t>
        </is>
      </c>
      <c r="J1178" s="3" t="inlineStr">
        <is>
          <t>Hearty Beef and Potato Stew, healthy food photography, plated, natural light</t>
        </is>
      </c>
      <c r="K1178" s="4" t="inlineStr"/>
      <c r="L1178" s="3" t="inlineStr">
        <is>
          <t>Beef chuck roast, trimmed — 600 g (21.2 oz)
Potato, boiled, peeled — 450 g (15.9 oz)
Carrot — 200 g (7.1 oz)
Yellow onion — 120 g (4.2 oz)
Celery — 80 g (2.8 oz)
Beef broth, low sodium — 900 g (31.7 oz)
Tomato paste — 30 g (1.1 oz)
Fresh thyme — 2 g (0.1 oz)
Bay leaves — 1 g (0.0 oz)</t>
        </is>
      </c>
      <c r="M1178" s="4" t="inlineStr">
        <is>
          <t>[{"ingredient_id": "beef_chuck", "name": "Beef chuck roast, trimmed", "grams": 600.0, "note": ""}, {"ingredient_id": "potato_boiled", "name": "Potato, boiled, peeled", "grams": 450.0, "note": ""}, {"ingredient_id": "carrot", "name": "Carrot", "grams": 200.0, "note": ""}, {"ingredient_id": "onion", "name": "Yellow onion", "grams": 120.0, "note": ""}, {"ingredient_id": "celery", "name": "Celery", "grams": 80.0, "note": ""}, {"ingredient_id": "beef_broth", "name": "Beef broth, low sodium", "grams": 900.0, "note": ""}, {"ingredient_id": "tomato_paste", "name": "Tomato paste", "grams": 30.0, "note": ""}, {"ingredient_id": "thyme", "name": "Fresh thyme", "grams": 2.0, "note": ""}, {"ingredient_id": "bay_leaf", "name": "Bay leaves", "grams": 1.0, "note": ""}]</t>
        </is>
      </c>
      <c r="N1178" s="2" t="n">
        <v>289</v>
      </c>
      <c r="O1178" s="5" t="n">
        <v>24.3</v>
      </c>
      <c r="P1178" s="5" t="n">
        <v>11.5</v>
      </c>
      <c r="Q1178" s="5" t="n">
        <v>23.3</v>
      </c>
      <c r="R1178" s="5" t="n">
        <v>2.9</v>
      </c>
      <c r="S1178" s="5" t="n">
        <v>20.4</v>
      </c>
      <c r="T1178" s="2" t="n">
        <v>55</v>
      </c>
      <c r="U1178" s="2" t="inlineStr">
        <is>
          <t>low</t>
        </is>
      </c>
      <c r="V1178" s="5" t="n">
        <v>11.2</v>
      </c>
      <c r="W1178" s="2" t="inlineStr">
        <is>
          <t>medium</t>
        </is>
      </c>
      <c r="X1178" s="3" t="inlineStr"/>
      <c r="Y1178" s="3" t="inlineStr">
        <is>
          <t>84% of this dish's available carbohydrate comes from ingredients with a published, measured GI; the rest uses conventional placeholders (see Ingredients sheet)</t>
        </is>
      </c>
      <c r="Z1178" s="2" t="n">
        <v>84</v>
      </c>
      <c r="AA1178" s="3" t="inlineStr">
        <is>
          <t>gluten-free, dairy-free, nut-free</t>
        </is>
      </c>
      <c r="AB1178" s="3" t="inlineStr">
        <is>
          <t>1. Brown the cubed beef.
2. Add the onion, paste, broth, thyme and bay leaf and simmer 1 hour.
3. Add the potatoes, carrots and celery and cook 30 minutes more.</t>
        </is>
      </c>
      <c r="AC1178" s="4" t="inlineStr">
        <is>
          <t>["Brown the cubed beef.", "Add the onion, paste, broth, thyme and bay leaf and simmer 1 hour.", "Add the potatoes, carrots and celery and cook 30 minutes more."]</t>
        </is>
      </c>
    </row>
    <row r="1179" ht="96" customHeight="1">
      <c r="A1179" s="2" t="inlineStr">
        <is>
          <t>DB-1178</t>
        </is>
      </c>
      <c r="B1179" s="3" t="inlineStr">
        <is>
          <t>Chicken Noodle Soup with Egg Noodles</t>
        </is>
      </c>
      <c r="C1179" s="4" t="inlineStr">
        <is>
          <t>Soup &amp; Stew</t>
        </is>
      </c>
      <c r="D1179" s="4" t="inlineStr">
        <is>
          <t>American</t>
        </is>
      </c>
      <c r="E1179" s="2" t="n">
        <v>5</v>
      </c>
      <c r="F1179" s="2" t="n">
        <v>10</v>
      </c>
      <c r="G1179" s="2" t="n">
        <v>30</v>
      </c>
      <c r="H1179" s="2" t="n">
        <v>40</v>
      </c>
      <c r="I1179" s="4" t="inlineStr">
        <is>
          <t>chicken-noodle-soup-with-egg-noodles.jpg</t>
        </is>
      </c>
      <c r="J1179" s="3" t="inlineStr">
        <is>
          <t>Chicken Noodle Soup with Egg Noodles, healthy food photography, plated, natural light</t>
        </is>
      </c>
      <c r="K1179" s="4" t="inlineStr"/>
      <c r="L1179" s="3" t="inlineStr">
        <is>
          <t>Chicken breast, skinless — 400 g (14.1 oz)
Egg noodles, cooked — 250 g (8.8 oz)
Chicken broth, low sodium — 1000 g (35.3 oz)
Carrot — 120 g (4.2 oz)
Celery — 80 g (2.8 oz)
Yellow onion — 100 g (3.5 oz)
Fresh parsley — 5 g (0.2 oz)
Fresh thyme — 2 g (0.1 oz)</t>
        </is>
      </c>
      <c r="M1179" s="4" t="inlineStr">
        <is>
          <t>[{"ingredient_id": "chicken_breast", "name": "Chicken breast, skinless", "grams": 400.0, "note": ""}, {"ingredient_id": "egg_noodles", "name": "Egg noodles, cooked", "grams": 250.0, "note": ""}, {"ingredient_id": "chicken_broth", "name": "Chicken broth, low sodium", "grams": 1000.0, "note": ""}, {"ingredient_id": "carrot", "name": "Carrot", "grams": 120.0, "note": ""}, {"ingredient_id": "celery", "name": "Celery", "grams": 80.0, "note": ""}, {"ingredient_id": "onion", "name": "Yellow onion", "grams": 100.0, "note": ""}, {"ingredient_id": "parsley", "name": "Fresh parsley", "grams": 5.0, "note": ""}, {"ingredient_id": "thyme", "name": "Fresh thyme", "grams": 2.0, "note": ""}]</t>
        </is>
      </c>
      <c r="N1179" s="2" t="n">
        <v>200</v>
      </c>
      <c r="O1179" s="5" t="n">
        <v>22.9</v>
      </c>
      <c r="P1179" s="5" t="n">
        <v>3.6</v>
      </c>
      <c r="Q1179" s="5" t="n">
        <v>18.3</v>
      </c>
      <c r="R1179" s="5" t="n">
        <v>2</v>
      </c>
      <c r="S1179" s="5" t="n">
        <v>16.3</v>
      </c>
      <c r="T1179" s="2" t="n">
        <v>49</v>
      </c>
      <c r="U1179" s="2" t="inlineStr">
        <is>
          <t>low</t>
        </is>
      </c>
      <c r="V1179" s="5" t="n">
        <v>8</v>
      </c>
      <c r="W1179" s="2" t="inlineStr">
        <is>
          <t>low</t>
        </is>
      </c>
      <c r="X1179" s="3" t="inlineStr"/>
      <c r="Y1179" s="3" t="inlineStr">
        <is>
          <t>83% of this dish's available carbohydrate comes from ingredients with a published, measured GI; the rest uses conventional placeholders (see Ingredients sheet)</t>
        </is>
      </c>
      <c r="Z1179" s="2" t="n">
        <v>83</v>
      </c>
      <c r="AA1179" s="3" t="inlineStr">
        <is>
          <t>dairy-free, nut-free</t>
        </is>
      </c>
      <c r="AB1179" s="3" t="inlineStr">
        <is>
          <t>1. Simmer the chicken, vegetables and thyme in the broth for 20 minutes.
2. Shred the chicken.
3. Cook the noodles in the soup 6 minutes and return the chicken.</t>
        </is>
      </c>
      <c r="AC1179" s="4" t="inlineStr">
        <is>
          <t>["Simmer the chicken, vegetables and thyme in the broth for 20 minutes.", "Shred the chicken.", "Cook the noodles in the soup 6 minutes and return the chicken."]</t>
        </is>
      </c>
    </row>
    <row r="1180" ht="96" customHeight="1">
      <c r="A1180" s="2" t="inlineStr">
        <is>
          <t>DB-1179</t>
        </is>
      </c>
      <c r="B1180" s="3" t="inlineStr">
        <is>
          <t>Tomato Soup with Grilled Cheese Dippers</t>
        </is>
      </c>
      <c r="C1180" s="4" t="inlineStr">
        <is>
          <t>Soup &amp; Stew</t>
        </is>
      </c>
      <c r="D1180" s="4" t="inlineStr">
        <is>
          <t>American</t>
        </is>
      </c>
      <c r="E1180" s="2" t="n">
        <v>4</v>
      </c>
      <c r="F1180" s="2" t="n">
        <v>10</v>
      </c>
      <c r="G1180" s="2" t="n">
        <v>25</v>
      </c>
      <c r="H1180" s="2" t="n">
        <v>35</v>
      </c>
      <c r="I1180" s="4" t="inlineStr">
        <is>
          <t>tomato-soup-with-grilled-cheese-dippers.jpg</t>
        </is>
      </c>
      <c r="J1180" s="3" t="inlineStr">
        <is>
          <t>Tomato Soup with Grilled Cheese Dippers, healthy food photography, plated, natural light</t>
        </is>
      </c>
      <c r="K1180" s="4" t="inlineStr"/>
      <c r="L1180" s="3" t="inlineStr">
        <is>
          <t>Crushed tomatoes, canned — 600 g (21.2 oz)
Vegetable broth, low sodium — 300 g (10.6 oz)
Yellow onion — 100 g (3.5 oz)
Garlic — 6 g (0.2 oz)
Milk, 2% — 100 g (3.5 oz)
White bread — 120 g (4.2 oz)
Cheddar cheese — 60 g (2.1 oz)
Butter — 15 g (0.5 oz)</t>
        </is>
      </c>
      <c r="M1180" s="4" t="inlineStr">
        <is>
          <t>[{"ingredient_id": "crushed_tomatoes", "name": "Crushed tomatoes, canned", "grams": 600.0, "note": ""}, {"ingredient_id": "vegetable_broth", "name": "Vegetable broth, low sodium", "grams": 300.0, "note": ""}, {"ingredient_id": "onion", "name": "Yellow onion", "grams": 100.0, "note": ""}, {"ingredient_id": "garlic", "name": "Garlic", "grams": 6.0, "note": ""}, {"ingredient_id": "milk", "name": "Milk, 2%", "grams": 100.0, "note": ""}, {"ingredient_id": "white_bread", "name": "White bread", "grams": 120.0, "note": ""}, {"ingredient_id": "cheddar", "name": "Cheddar cheese", "grams": 60.0, "note": ""}, {"ingredient_id": "butter", "name": "Butter", "grams": 15.0, "note": ""}]</t>
        </is>
      </c>
      <c r="N1180" s="2" t="n">
        <v>246</v>
      </c>
      <c r="O1180" s="5" t="n">
        <v>10.3</v>
      </c>
      <c r="P1180" s="5" t="n">
        <v>10.2</v>
      </c>
      <c r="Q1180" s="5" t="n">
        <v>30.6</v>
      </c>
      <c r="R1180" s="5" t="n">
        <v>4</v>
      </c>
      <c r="S1180" s="5" t="n">
        <v>26.6</v>
      </c>
      <c r="T1180" s="2" t="n">
        <v>51</v>
      </c>
      <c r="U1180" s="2" t="inlineStr">
        <is>
          <t>low</t>
        </is>
      </c>
      <c r="V1180" s="5" t="n">
        <v>13.6</v>
      </c>
      <c r="W1180" s="2" t="inlineStr">
        <is>
          <t>medium</t>
        </is>
      </c>
      <c r="X1180" s="3" t="inlineStr"/>
      <c r="Y1180" s="3" t="inlineStr">
        <is>
          <t>57% of this dish's available carbohydrate comes from ingredients with a published, measured GI; the rest uses conventional placeholders (see Ingredients sheet)</t>
        </is>
      </c>
      <c r="Z1180" s="2" t="n">
        <v>57</v>
      </c>
      <c r="AA1180" s="3" t="inlineStr">
        <is>
          <t>vegetarian, nut-free</t>
        </is>
      </c>
      <c r="AB1180" s="3" t="inlineStr">
        <is>
          <t>1. Simmer the tomatoes, broth, onion and garlic 15 minutes, blend and stir in the milk.
2. Make small grilled cheese sandwiches in butter and cut into strips.
3. Serve for dipping.</t>
        </is>
      </c>
      <c r="AC1180" s="4" t="inlineStr">
        <is>
          <t>["Simmer the tomatoes, broth, onion and garlic 15 minutes, blend and stir in the milk.", "Make small grilled cheese sandwiches in butter and cut into strips.", "Serve for dipping."]</t>
        </is>
      </c>
    </row>
    <row r="1181" ht="96" customHeight="1">
      <c r="A1181" s="2" t="inlineStr">
        <is>
          <t>DB-1180</t>
        </is>
      </c>
      <c r="B1181" s="3" t="inlineStr">
        <is>
          <t>Vegetable Beef Soup</t>
        </is>
      </c>
      <c r="C1181" s="4" t="inlineStr">
        <is>
          <t>Soup &amp; Stew</t>
        </is>
      </c>
      <c r="D1181" s="4" t="inlineStr">
        <is>
          <t>American</t>
        </is>
      </c>
      <c r="E1181" s="2" t="n">
        <v>6</v>
      </c>
      <c r="F1181" s="2" t="n">
        <v>15</v>
      </c>
      <c r="G1181" s="2" t="n">
        <v>45</v>
      </c>
      <c r="H1181" s="2" t="n">
        <v>60</v>
      </c>
      <c r="I1181" s="4" t="inlineStr">
        <is>
          <t>vegetable-beef-soup.jpg</t>
        </is>
      </c>
      <c r="J1181" s="3" t="inlineStr">
        <is>
          <t>Vegetable Beef Soup, healthy food photography, plated, natural light</t>
        </is>
      </c>
      <c r="K1181" s="4" t="inlineStr"/>
      <c r="L1181" s="3" t="inlineStr">
        <is>
          <t>Ground beef 90% lean — 350 g (12.3 oz)
Diced tomatoes, canned — 400 g (14.1 oz)
Beef broth, low sodium — 800 g (28.2 oz)
Carrot — 150 g (5.3 oz)
Celery — 80 g (2.8 oz)
Green beans — 150 g (5.3 oz)
Sweet corn kernels — 100 g (3.5 oz)
Potato, boiled, peeled — 200 g (7.1 oz)
Yellow onion — 100 g (3.5 oz)</t>
        </is>
      </c>
      <c r="M1181" s="4" t="inlineStr">
        <is>
          <t>[{"ingredient_id": "ground_beef", "name": "Ground beef 90% lean", "grams": 350.0, "note": ""}, {"ingredient_id": "diced_tomatoes", "name": "Diced tomatoes, canned", "grams": 400.0, "note": ""}, {"ingredient_id": "beef_broth", "name": "Beef broth, low sodium", "grams": 800.0, "note": ""}, {"ingredient_id": "carrot", "name": "Carrot", "grams": 150.0, "note": ""}, {"ingredient_id": "celery", "name": "Celery", "grams": 80.0, "note": ""}, {"ingredient_id": "green_beans", "name": "Green beans", "grams": 150.0, "note": ""}, {"ingredient_id": "corn", "name": "Sweet corn kernels", "grams": 100.0, "note": ""}, {"ingredient_id": "potato_boiled", "name": "Potato, boiled, peeled", "grams": 200.0, "note": ""}, {"ingredient_id": "onion", "name": "Yellow onion", "grams": 100.0, "note": ""}]</t>
        </is>
      </c>
      <c r="N1181" s="2" t="n">
        <v>200</v>
      </c>
      <c r="O1181" s="5" t="n">
        <v>16.4</v>
      </c>
      <c r="P1181" s="5" t="n">
        <v>6.6</v>
      </c>
      <c r="Q1181" s="5" t="n">
        <v>20.3</v>
      </c>
      <c r="R1181" s="5" t="n">
        <v>3.8</v>
      </c>
      <c r="S1181" s="5" t="n">
        <v>16.5</v>
      </c>
      <c r="T1181" s="2" t="n">
        <v>47</v>
      </c>
      <c r="U1181" s="2" t="inlineStr">
        <is>
          <t>low</t>
        </is>
      </c>
      <c r="V1181" s="5" t="n">
        <v>7.7</v>
      </c>
      <c r="W1181" s="2" t="inlineStr">
        <is>
          <t>low</t>
        </is>
      </c>
      <c r="X1181" s="3" t="inlineStr"/>
      <c r="Y1181" s="3" t="inlineStr">
        <is>
          <t>67% of this dish's available carbohydrate comes from ingredients with a published, measured GI; the rest uses conventional placeholders (see Ingredients sheet)</t>
        </is>
      </c>
      <c r="Z1181" s="2" t="n">
        <v>67</v>
      </c>
      <c r="AA1181" s="3" t="inlineStr">
        <is>
          <t>gluten-free, dairy-free, nut-free</t>
        </is>
      </c>
      <c r="AB1181" s="3" t="inlineStr">
        <is>
          <t>1. Brown the beef with the onion.
2. Add everything else and simmer 35 minutes.</t>
        </is>
      </c>
      <c r="AC1181" s="4" t="inlineStr">
        <is>
          <t>["Brown the beef with the onion.", "Add everything else and simmer 35 minutes."]</t>
        </is>
      </c>
    </row>
    <row r="1182" ht="96" customHeight="1">
      <c r="A1182" s="2" t="inlineStr">
        <is>
          <t>DB-1181</t>
        </is>
      </c>
      <c r="B1182" s="3" t="inlineStr">
        <is>
          <t>White Bean and Ham Soup</t>
        </is>
      </c>
      <c r="C1182" s="4" t="inlineStr">
        <is>
          <t>Soup &amp; Stew</t>
        </is>
      </c>
      <c r="D1182" s="4" t="inlineStr">
        <is>
          <t>American</t>
        </is>
      </c>
      <c r="E1182" s="2" t="n">
        <v>6</v>
      </c>
      <c r="F1182" s="2" t="n">
        <v>10</v>
      </c>
      <c r="G1182" s="2" t="n">
        <v>40</v>
      </c>
      <c r="H1182" s="2" t="n">
        <v>50</v>
      </c>
      <c r="I1182" s="4" t="inlineStr">
        <is>
          <t>white-bean-and-ham-soup.jpg</t>
        </is>
      </c>
      <c r="J1182" s="3" t="inlineStr">
        <is>
          <t>White Bean and Ham Soup, healthy food photography, plated, natural light</t>
        </is>
      </c>
      <c r="K1182" s="4" t="inlineStr"/>
      <c r="L1182" s="3" t="inlineStr">
        <is>
          <t>Navy beans, cooked — 500 g (17.6 oz)
Ham, lean — 150 g (5.3 oz)
Chicken broth, low sodium — 800 g (28.2 oz)
Carrot — 120 g (4.2 oz)
Celery — 80 g (2.8 oz)
Yellow onion — 100 g (3.5 oz)
Bay leaves — 1 g (0.0 oz)
Black pepper — 1 g (0.0 oz)</t>
        </is>
      </c>
      <c r="M1182" s="4" t="inlineStr">
        <is>
          <t>[{"ingredient_id": "navy_beans", "name": "Navy beans, cooked", "grams": 500.0, "note": ""}, {"ingredient_id": "ham", "name": "Ham, lean", "grams": 150.0, "note": ""}, {"ingredient_id": "chicken_broth", "name": "Chicken broth, low sodium", "grams": 800.0, "note": ""}, {"ingredient_id": "carrot", "name": "Carrot", "grams": 120.0, "note": ""}, {"ingredient_id": "celery", "name": "Celery", "grams": 80.0, "note": ""}, {"ingredient_id": "onion", "name": "Yellow onion", "grams": 100.0, "note": ""}, {"ingredient_id": "bay_leaf", "name": "Bay leaves", "grams": 1.0, "note": ""}, {"ingredient_id": "black_pepper", "name": "Black pepper", "grams": 1.0, "note": ""}]</t>
        </is>
      </c>
      <c r="N1182" s="2" t="n">
        <v>180</v>
      </c>
      <c r="O1182" s="5" t="n">
        <v>13.9</v>
      </c>
      <c r="P1182" s="5" t="n">
        <v>2.4</v>
      </c>
      <c r="Q1182" s="5" t="n">
        <v>26.8</v>
      </c>
      <c r="R1182" s="5" t="n">
        <v>9.9</v>
      </c>
      <c r="S1182" s="5" t="n">
        <v>16.9</v>
      </c>
      <c r="T1182" s="2" t="n">
        <v>28</v>
      </c>
      <c r="U1182" s="2" t="inlineStr">
        <is>
          <t>low</t>
        </is>
      </c>
      <c r="V1182" s="5" t="n">
        <v>4.7</v>
      </c>
      <c r="W1182" s="2" t="inlineStr">
        <is>
          <t>low</t>
        </is>
      </c>
      <c r="X1182" s="3" t="inlineStr"/>
      <c r="Y1182" s="3" t="inlineStr">
        <is>
          <t>8% of this dish's available carbohydrate comes from ingredients with a published, measured GI; the rest uses conventional placeholders (see Ingredients sheet)</t>
        </is>
      </c>
      <c r="Z1182" s="2" t="n">
        <v>8</v>
      </c>
      <c r="AA1182" s="3" t="inlineStr">
        <is>
          <t>gluten-free, dairy-free, nut-free, high-fiber</t>
        </is>
      </c>
      <c r="AB1182" s="3" t="inlineStr">
        <is>
          <t>1. Combine everything in a pot.
2. Simmer 35 minutes, mashing some beans for body.
3. Remove the bay leaf.</t>
        </is>
      </c>
      <c r="AC1182" s="4" t="inlineStr">
        <is>
          <t>["Combine everything in a pot.", "Simmer 35 minutes, mashing some beans for body.", "Remove the bay leaf."]</t>
        </is>
      </c>
    </row>
    <row r="1183" ht="96" customHeight="1">
      <c r="A1183" s="2" t="inlineStr">
        <is>
          <t>DB-1182</t>
        </is>
      </c>
      <c r="B1183" s="3" t="inlineStr">
        <is>
          <t>Mashed Potatoes with Garlic and Butter</t>
        </is>
      </c>
      <c r="C1183" s="4" t="inlineStr">
        <is>
          <t>Side Dish</t>
        </is>
      </c>
      <c r="D1183" s="4" t="inlineStr">
        <is>
          <t>American</t>
        </is>
      </c>
      <c r="E1183" s="2" t="n">
        <v>5</v>
      </c>
      <c r="F1183" s="2" t="n">
        <v>10</v>
      </c>
      <c r="G1183" s="2" t="n">
        <v>20</v>
      </c>
      <c r="H1183" s="2" t="n">
        <v>30</v>
      </c>
      <c r="I1183" s="4" t="inlineStr">
        <is>
          <t>mashed-potatoes-with-garlic-and-butter.jpg</t>
        </is>
      </c>
      <c r="J1183" s="3" t="inlineStr">
        <is>
          <t>Mashed Potatoes with Garlic and Butter, healthy food photography, plated, natural light</t>
        </is>
      </c>
      <c r="K1183" s="4" t="inlineStr"/>
      <c r="L1183" s="3" t="inlineStr">
        <is>
          <t>Potato, boiled, peeled — 750 g (26.5 oz)
Milk, 2% — 120 g (4.2 oz)
Butter — 25 g (0.9 oz)
Garlic — 6 g (0.2 oz)
Salt — 2 g (0.1 oz)
Fresh chives — 3 g (0.1 oz)</t>
        </is>
      </c>
      <c r="M1183" s="4" t="inlineStr">
        <is>
          <t>[{"ingredient_id": "potato_boiled", "name": "Potato, boiled, peeled", "grams": 750.0, "note": ""}, {"ingredient_id": "milk", "name": "Milk, 2%", "grams": 120.0, "note": ""}, {"ingredient_id": "butter", "name": "Butter", "grams": 25.0, "note": ""}, {"ingredient_id": "garlic", "name": "Garlic", "grams": 6.0, "note": ""}, {"ingredient_id": "salt", "name": "Salt", "grams": 2.0, "note": ""}, {"ingredient_id": "chives", "name": "Fresh chives", "grams": 3.0, "note": ""}]</t>
        </is>
      </c>
      <c r="N1183" s="2" t="n">
        <v>189</v>
      </c>
      <c r="O1183" s="5" t="n">
        <v>3.9</v>
      </c>
      <c r="P1183" s="5" t="n">
        <v>4.7</v>
      </c>
      <c r="Q1183" s="5" t="n">
        <v>33.8</v>
      </c>
      <c r="R1183" s="5" t="n">
        <v>2.3</v>
      </c>
      <c r="S1183" s="5" t="n">
        <v>31.5</v>
      </c>
      <c r="T1183" s="2" t="n">
        <v>64</v>
      </c>
      <c r="U1183" s="2" t="inlineStr">
        <is>
          <t>medium</t>
        </is>
      </c>
      <c r="V1183" s="5" t="n">
        <v>20.2</v>
      </c>
      <c r="W1183" s="2" t="inlineStr">
        <is>
          <t>high</t>
        </is>
      </c>
      <c r="X1183" s="3" t="inlineStr">
        <is>
          <t>Medium-GI dish: keep to the stated portion and pair with the protein/fat in the recipe; GL per serving is the better guide.</t>
        </is>
      </c>
      <c r="Y1183" s="3" t="inlineStr">
        <is>
          <t>99% of this dish's available carbohydrate comes from ingredients with a published, measured GI; the rest uses conventional placeholders (see Ingredients sheet)</t>
        </is>
      </c>
      <c r="Z1183" s="2" t="n">
        <v>99</v>
      </c>
      <c r="AA1183" s="3" t="inlineStr">
        <is>
          <t>vegetarian, gluten-free, nut-free</t>
        </is>
      </c>
      <c r="AB1183" s="3" t="inlineStr">
        <is>
          <t>1. Boil the potatoes with the garlic until very tender.
2. Mash with warm milk, butter and salt.
3. Top with chives.</t>
        </is>
      </c>
      <c r="AC1183" s="4" t="inlineStr">
        <is>
          <t>["Boil the potatoes with the garlic until very tender.", "Mash with warm milk, butter and salt.", "Top with chives."]</t>
        </is>
      </c>
    </row>
    <row r="1184" ht="96" customHeight="1">
      <c r="A1184" s="2" t="inlineStr">
        <is>
          <t>DB-1183</t>
        </is>
      </c>
      <c r="B1184" s="3" t="inlineStr">
        <is>
          <t>Twice Baked Potato with Cheddar and Chives</t>
        </is>
      </c>
      <c r="C1184" s="4" t="inlineStr">
        <is>
          <t>Side Dish</t>
        </is>
      </c>
      <c r="D1184" s="4" t="inlineStr">
        <is>
          <t>American</t>
        </is>
      </c>
      <c r="E1184" s="2" t="n">
        <v>4</v>
      </c>
      <c r="F1184" s="2" t="n">
        <v>15</v>
      </c>
      <c r="G1184" s="2" t="n">
        <v>60</v>
      </c>
      <c r="H1184" s="2" t="n">
        <v>75</v>
      </c>
      <c r="I1184" s="4" t="inlineStr">
        <is>
          <t>twice-baked-potato-with-cheddar-and-chives.jpg</t>
        </is>
      </c>
      <c r="J1184" s="3" t="inlineStr">
        <is>
          <t>Twice Baked Potato with Cheddar and Chives, healthy food photography, plated, natural light</t>
        </is>
      </c>
      <c r="K1184" s="4" t="inlineStr"/>
      <c r="L1184" s="3" t="inlineStr">
        <is>
          <t>Potato, baked, flesh (russet) — 600 g (21.2 oz)
Cheddar cheese — 80 g (2.8 oz)
Greek yogurt, plain 2% — 80 g (2.8 oz)
Butter — 15 g (0.5 oz)
Fresh chives — 6 g (0.2 oz)
Bacon — 30 g (1.1 oz)</t>
        </is>
      </c>
      <c r="M1184" s="4" t="inlineStr">
        <is>
          <t>[{"ingredient_id": "potato_baked", "name": "Potato, baked, flesh (russet)", "grams": 600.0, "note": ""}, {"ingredient_id": "cheddar", "name": "Cheddar cheese", "grams": 80.0, "note": ""}, {"ingredient_id": "greek_yogurt", "name": "Greek yogurt, plain 2%", "grams": 80.0, "note": ""}, {"ingredient_id": "butter", "name": "Butter", "grams": 15.0, "note": ""}, {"ingredient_id": "chives", "name": "Fresh chives", "grams": 6.0, "note": ""}, {"ingredient_id": "bacon", "name": "Bacon", "grams": 30.0, "note": ""}]</t>
        </is>
      </c>
      <c r="N1184" s="2" t="n">
        <v>303</v>
      </c>
      <c r="O1184" s="5" t="n">
        <v>12.4</v>
      </c>
      <c r="P1184" s="5" t="n">
        <v>13.3</v>
      </c>
      <c r="Q1184" s="5" t="n">
        <v>33.5</v>
      </c>
      <c r="R1184" s="5" t="n">
        <v>2.3</v>
      </c>
      <c r="S1184" s="5" t="n">
        <v>31.2</v>
      </c>
      <c r="T1184" s="2" t="n">
        <v>82</v>
      </c>
      <c r="U1184" s="2" t="inlineStr">
        <is>
          <t>high</t>
        </is>
      </c>
      <c r="V1184" s="5" t="n">
        <v>25.6</v>
      </c>
      <c r="W1184" s="2" t="inlineStr">
        <is>
          <t>high</t>
        </is>
      </c>
      <c r="X1184" s="3" t="inlineStr">
        <is>
          <t>Medium-GI dish: keep to the stated portion and pair with the protein/fat in the recipe; GL per serving is the better guide.</t>
        </is>
      </c>
      <c r="Y1184" s="3" t="inlineStr">
        <is>
          <t>99% of this dish's available carbohydrate comes from ingredients with a published, measured GI; the rest uses conventional placeholders (see Ingredients sheet)</t>
        </is>
      </c>
      <c r="Z1184" s="2" t="n">
        <v>99</v>
      </c>
      <c r="AA1184" s="3" t="inlineStr">
        <is>
          <t>gluten-free, nut-free</t>
        </is>
      </c>
      <c r="AB1184" s="3" t="inlineStr">
        <is>
          <t>1. Bake the potatoes, halve and scoop out the flesh.
2. Mash with yogurt, butter and half the cheddar.
3. Refill the skins, top with cheddar and bacon.
4. Bake 15 minutes more.</t>
        </is>
      </c>
      <c r="AC1184" s="4" t="inlineStr">
        <is>
          <t>["Bake the potatoes, halve and scoop out the flesh.", "Mash with yogurt, butter and half the cheddar.", "Refill the skins, top with cheddar and bacon.", "Bake 15 minutes more."]</t>
        </is>
      </c>
    </row>
    <row r="1185" ht="96" customHeight="1">
      <c r="A1185" s="2" t="inlineStr">
        <is>
          <t>DB-1184</t>
        </is>
      </c>
      <c r="B1185" s="3" t="inlineStr">
        <is>
          <t>Baked Potato with Broccoli and Cheddar</t>
        </is>
      </c>
      <c r="C1185" s="4" t="inlineStr">
        <is>
          <t>Side Dish</t>
        </is>
      </c>
      <c r="D1185" s="4" t="inlineStr">
        <is>
          <t>American</t>
        </is>
      </c>
      <c r="E1185" s="2" t="n">
        <v>2</v>
      </c>
      <c r="F1185" s="2" t="n">
        <v>5</v>
      </c>
      <c r="G1185" s="2" t="n">
        <v>60</v>
      </c>
      <c r="H1185" s="2" t="n">
        <v>65</v>
      </c>
      <c r="I1185" s="4" t="inlineStr">
        <is>
          <t>baked-potato-with-broccoli-and-cheddar.jpg</t>
        </is>
      </c>
      <c r="J1185" s="3" t="inlineStr">
        <is>
          <t>Baked Potato with Broccoli and Cheddar, healthy food photography, plated, natural light</t>
        </is>
      </c>
      <c r="K1185" s="4" t="inlineStr"/>
      <c r="L1185" s="3" t="inlineStr">
        <is>
          <t>Potato, baked, flesh (russet) — 300 g (10.6 oz)
Broccoli — 120 g (4.2 oz)
Cheddar cheese — 40 g (1.4 oz)
Greek yogurt, plain 2% — 60 g (2.1 oz)
Fresh chives — 3 g (0.1 oz)</t>
        </is>
      </c>
      <c r="M1185" s="4" t="inlineStr">
        <is>
          <t>[{"ingredient_id": "potato_baked", "name": "Potato, baked, flesh (russet)", "grams": 300.0, "note": ""}, {"ingredient_id": "broccoli", "name": "Broccoli", "grams": 120.0, "note": ""}, {"ingredient_id": "cheddar", "name": "Cheddar cheese", "grams": 40.0, "note": ""}, {"ingredient_id": "greek_yogurt", "name": "Greek yogurt, plain 2%", "grams": 60.0, "note": ""}, {"ingredient_id": "chives", "name": "Fresh chives", "grams": 3.0, "note": ""}]</t>
        </is>
      </c>
      <c r="N1185" s="2" t="n">
        <v>263</v>
      </c>
      <c r="O1185" s="5" t="n">
        <v>12.3</v>
      </c>
      <c r="P1185" s="5" t="n">
        <v>7.6</v>
      </c>
      <c r="Q1185" s="5" t="n">
        <v>37.7</v>
      </c>
      <c r="R1185" s="5" t="n">
        <v>3.8</v>
      </c>
      <c r="S1185" s="5" t="n">
        <v>33.9</v>
      </c>
      <c r="T1185" s="2" t="n">
        <v>77</v>
      </c>
      <c r="U1185" s="2" t="inlineStr">
        <is>
          <t>high</t>
        </is>
      </c>
      <c r="V1185" s="5" t="n">
        <v>26.1</v>
      </c>
      <c r="W1185" s="2" t="inlineStr">
        <is>
          <t>high</t>
        </is>
      </c>
      <c r="X1185" s="3" t="inlineStr">
        <is>
          <t>Medium-GI dish: keep to the stated portion and pair with the protein/fat in the recipe; GL per serving is the better guide.</t>
        </is>
      </c>
      <c r="Y1185" s="3" t="inlineStr">
        <is>
          <t>92% of this dish's available carbohydrate comes from ingredients with a published, measured GI; the rest uses conventional placeholders (see Ingredients sheet)</t>
        </is>
      </c>
      <c r="Z1185" s="2" t="n">
        <v>92</v>
      </c>
      <c r="AA1185" s="3" t="inlineStr">
        <is>
          <t>vegetarian, gluten-free, nut-free</t>
        </is>
      </c>
      <c r="AB1185" s="3" t="inlineStr">
        <is>
          <t>1. Bake the potatoes until tender, about 55 minutes.
2. Steam the broccoli.
3. Split the potatoes and fill with broccoli, cheddar and yogurt.</t>
        </is>
      </c>
      <c r="AC1185" s="4" t="inlineStr">
        <is>
          <t>["Bake the potatoes until tender, about 55 minutes.", "Steam the broccoli.", "Split the potatoes and fill with broccoli, cheddar and yogurt."]</t>
        </is>
      </c>
    </row>
    <row r="1186" ht="96" customHeight="1">
      <c r="A1186" s="2" t="inlineStr">
        <is>
          <t>DB-1185</t>
        </is>
      </c>
      <c r="B1186" s="3" t="inlineStr">
        <is>
          <t>Oven-Roasted Potatoes with Rosemary</t>
        </is>
      </c>
      <c r="C1186" s="4" t="inlineStr">
        <is>
          <t>Side Dish</t>
        </is>
      </c>
      <c r="D1186" s="4" t="inlineStr">
        <is>
          <t>American</t>
        </is>
      </c>
      <c r="E1186" s="2" t="n">
        <v>4</v>
      </c>
      <c r="F1186" s="2" t="n">
        <v>10</v>
      </c>
      <c r="G1186" s="2" t="n">
        <v>35</v>
      </c>
      <c r="H1186" s="2" t="n">
        <v>45</v>
      </c>
      <c r="I1186" s="4" t="inlineStr">
        <is>
          <t>oven-roasted-potatoes-with-rosemary.jpg</t>
        </is>
      </c>
      <c r="J1186" s="3" t="inlineStr">
        <is>
          <t>Oven-Roasted Potatoes with Rosemary, healthy food photography, plated, natural light</t>
        </is>
      </c>
      <c r="K1186" s="4" t="inlineStr"/>
      <c r="L1186" s="3" t="inlineStr">
        <is>
          <t>Potato, boiled, peeled — 500 g (17.6 oz)
Extra-virgin olive oil — 20 g (0.7 oz)
Fresh rosemary — 3 g (0.1 oz)
Garlic — 6 g (0.2 oz)
Salt — 2 g (0.1 oz)
Black pepper — 1 g (0.0 oz)</t>
        </is>
      </c>
      <c r="M1186" s="4" t="inlineStr">
        <is>
          <t>[{"ingredient_id": "potato_boiled", "name": "Potato, boiled, peeled", "grams": 500.0, "note": ""}, {"ingredient_id": "olive_oil", "name": "Extra-virgin olive oil", "grams": 20.0, "note": ""}, {"ingredient_id": "rosemary", "name": "Fresh rosemary", "grams": 3.0, "note": ""}, {"ingredient_id": "garlic", "name": "Garlic", "grams": 6.0, "note": ""}, {"ingredient_id": "salt", "name": "Salt", "grams": 2.0, "note": ""}, {"ingredient_id": "black_pepper", "name": "Black pepper", "grams": 1.0, "note": ""}]</t>
        </is>
      </c>
      <c r="N1186" s="2" t="n">
        <v>164</v>
      </c>
      <c r="O1186" s="5" t="n">
        <v>2.6</v>
      </c>
      <c r="P1186" s="5" t="n">
        <v>5.2</v>
      </c>
      <c r="Q1186" s="5" t="n">
        <v>27.7</v>
      </c>
      <c r="R1186" s="5" t="n">
        <v>2.1</v>
      </c>
      <c r="S1186" s="5" t="n">
        <v>25.6</v>
      </c>
      <c r="T1186" s="2" t="n">
        <v>65</v>
      </c>
      <c r="U1186" s="2" t="inlineStr">
        <is>
          <t>medium</t>
        </is>
      </c>
      <c r="V1186" s="5" t="n">
        <v>16.6</v>
      </c>
      <c r="W1186" s="2" t="inlineStr">
        <is>
          <t>medium</t>
        </is>
      </c>
      <c r="X1186" s="3" t="inlineStr">
        <is>
          <t>Medium-GI dish: keep to the stated portion and pair with the protein/fat in the recipe; GL per serving is the better guide.</t>
        </is>
      </c>
      <c r="Y1186" s="3" t="inlineStr">
        <is>
          <t>98% of this dish's available carbohydrate comes from ingredients with a published, measured GI; the rest uses conventional placeholders (see Ingredients sheet)</t>
        </is>
      </c>
      <c r="Z1186" s="2" t="n">
        <v>98</v>
      </c>
      <c r="AA1186" s="3" t="inlineStr">
        <is>
          <t>vegan, gluten-free, dairy-free, nut-free</t>
        </is>
      </c>
      <c r="AB1186" s="3" t="inlineStr">
        <is>
          <t>1. Heat the oven to 425°F.
2. Toss the potato chunks with oil, rosemary, garlic and seasoning.
3. Roast 30 to 35 minutes, turning once.</t>
        </is>
      </c>
      <c r="AC1186" s="4" t="inlineStr">
        <is>
          <t>["Heat the oven to 425°F.", "Toss the potato chunks with oil, rosemary, garlic and seasoning.", "Roast 30 to 35 minutes, turning once."]</t>
        </is>
      </c>
    </row>
    <row r="1187" ht="96" customHeight="1">
      <c r="A1187" s="2" t="inlineStr">
        <is>
          <t>DB-1186</t>
        </is>
      </c>
      <c r="B1187" s="3" t="inlineStr">
        <is>
          <t>Classic Potato Salad</t>
        </is>
      </c>
      <c r="C1187" s="4" t="inlineStr">
        <is>
          <t>Side Dish</t>
        </is>
      </c>
      <c r="D1187" s="4" t="inlineStr">
        <is>
          <t>American</t>
        </is>
      </c>
      <c r="E1187" s="2" t="n">
        <v>6</v>
      </c>
      <c r="F1187" s="2" t="n">
        <v>20</v>
      </c>
      <c r="G1187" s="2" t="n">
        <v>20</v>
      </c>
      <c r="H1187" s="2" t="n">
        <v>40</v>
      </c>
      <c r="I1187" s="4" t="inlineStr">
        <is>
          <t>classic-potato-salad.jpg</t>
        </is>
      </c>
      <c r="J1187" s="3" t="inlineStr">
        <is>
          <t>Classic Potato Salad, healthy food photography, plated, natural light</t>
        </is>
      </c>
      <c r="K1187" s="4" t="inlineStr"/>
      <c r="L1187" s="3" t="inlineStr">
        <is>
          <t>Potato, boiled, peeled — 600 g (21.2 oz)
Egg, large (50 g each) — 150 g (5.3 oz)
Celery — 60 g (2.1 oz)
Red onion — 40 g (1.4 oz)
Mayonnaise (avocado oil) — 50 g (1.8 oz)
Greek yogurt, plain 2% — 60 g (2.1 oz)
Yellow mustard — 15 g (0.5 oz)
Dill pickles — 40 g (1.4 oz)</t>
        </is>
      </c>
      <c r="M1187" s="4" t="inlineStr">
        <is>
          <t>[{"ingredient_id": "potato_boiled", "name": "Potato, boiled, peeled", "grams": 600.0, "note": ""}, {"ingredient_id": "egg", "name": "Egg, large (50 g each)", "grams": 150.0, "note": ""}, {"ingredient_id": "celery", "name": "Celery", "grams": 60.0, "note": ""}, {"ingredient_id": "red_onion", "name": "Red onion", "grams": 40.0, "note": ""}, {"ingredient_id": "mayo", "name": "Mayonnaise (avocado oil)", "grams": 50.0, "note": ""}, {"ingredient_id": "greek_yogurt", "name": "Greek yogurt, plain 2%", "grams": 60.0, "note": ""}, {"ingredient_id": "yellow_mustard", "name": "Yellow mustard", "grams": 15.0, "note": ""}, {"ingredient_id": "dill_pickle", "name": "Dill pickles", "grams": 40.0, "note": ""}]</t>
        </is>
      </c>
      <c r="N1187" s="2" t="n">
        <v>201</v>
      </c>
      <c r="O1187" s="5" t="n">
        <v>6.4</v>
      </c>
      <c r="P1187" s="5" t="n">
        <v>9.300000000000001</v>
      </c>
      <c r="Q1187" s="5" t="n">
        <v>23.3</v>
      </c>
      <c r="R1187" s="5" t="n">
        <v>1.9</v>
      </c>
      <c r="S1187" s="5" t="n">
        <v>21.4</v>
      </c>
      <c r="T1187" s="2" t="n">
        <v>63</v>
      </c>
      <c r="U1187" s="2" t="inlineStr">
        <is>
          <t>medium</t>
        </is>
      </c>
      <c r="V1187" s="5" t="n">
        <v>13.5</v>
      </c>
      <c r="W1187" s="2" t="inlineStr">
        <is>
          <t>medium</t>
        </is>
      </c>
      <c r="X1187" s="3" t="inlineStr">
        <is>
          <t>Medium-GI dish: keep to the stated portion and pair with the protein/fat in the recipe; GL per serving is the better guide.</t>
        </is>
      </c>
      <c r="Y1187" s="3" t="inlineStr">
        <is>
          <t>96% of this dish's available carbohydrate comes from ingredients with a published, measured GI; the rest uses conventional placeholders (see Ingredients sheet)</t>
        </is>
      </c>
      <c r="Z1187" s="2" t="n">
        <v>96</v>
      </c>
      <c r="AA1187" s="3" t="inlineStr">
        <is>
          <t>vegetarian, gluten-free, nut-free</t>
        </is>
      </c>
      <c r="AB1187" s="3" t="inlineStr">
        <is>
          <t>1. Cube the cooked potatoes and slice the boiled eggs.
2. Mix the mayo, yogurt and mustard.
3. Fold in the potatoes, eggs, celery, onion and pickle.
4. Chill before serving.</t>
        </is>
      </c>
      <c r="AC1187" s="4" t="inlineStr">
        <is>
          <t>["Cube the cooked potatoes and slice the boiled eggs.", "Mix the mayo, yogurt and mustard.", "Fold in the potatoes, eggs, celery, onion and pickle.", "Chill before serving."]</t>
        </is>
      </c>
    </row>
    <row r="1188" ht="96" customHeight="1">
      <c r="A1188" s="2" t="inlineStr">
        <is>
          <t>DB-1187</t>
        </is>
      </c>
      <c r="B1188" s="3" t="inlineStr">
        <is>
          <t>Steakhouse Oven Fries</t>
        </is>
      </c>
      <c r="C1188" s="4" t="inlineStr">
        <is>
          <t>Side Dish</t>
        </is>
      </c>
      <c r="D1188" s="4" t="inlineStr">
        <is>
          <t>American</t>
        </is>
      </c>
      <c r="E1188" s="2" t="n">
        <v>4</v>
      </c>
      <c r="F1188" s="2" t="n">
        <v>5</v>
      </c>
      <c r="G1188" s="2" t="n">
        <v>20</v>
      </c>
      <c r="H1188" s="2" t="n">
        <v>25</v>
      </c>
      <c r="I1188" s="4" t="inlineStr">
        <is>
          <t>steakhouse-oven-fries.jpg</t>
        </is>
      </c>
      <c r="J1188" s="3" t="inlineStr">
        <is>
          <t>Steakhouse Oven Fries, healthy food photography, plated, natural light</t>
        </is>
      </c>
      <c r="K1188" s="4" t="inlineStr"/>
      <c r="L1188" s="3" t="inlineStr">
        <is>
          <t>Oven fries, frozen shoestring, baked — 480 g (16.9 oz)
Salt — 2 g (0.1 oz)
Garlic powder — 2 g (0.1 oz)</t>
        </is>
      </c>
      <c r="M1188" s="4" t="inlineStr">
        <is>
          <t>[{"ingredient_id": "french_fries_baked", "name": "Oven fries, frozen shoestring, baked", "grams": 480.0, "note": ""}, {"ingredient_id": "salt", "name": "Salt", "grams": 2.0, "note": ""}, {"ingredient_id": "garlic_powder", "name": "Garlic powder", "grams": 2.0, "note": ""}]</t>
        </is>
      </c>
      <c r="N1188" s="2" t="n">
        <v>191</v>
      </c>
      <c r="O1188" s="5" t="n">
        <v>3.4</v>
      </c>
      <c r="P1188" s="5" t="n">
        <v>6.6</v>
      </c>
      <c r="Q1188" s="5" t="n">
        <v>31.1</v>
      </c>
      <c r="R1188" s="5" t="n">
        <v>2.4</v>
      </c>
      <c r="S1188" s="5" t="n">
        <v>28.6</v>
      </c>
      <c r="T1188" s="2" t="n">
        <v>63</v>
      </c>
      <c r="U1188" s="2" t="inlineStr">
        <is>
          <t>medium</t>
        </is>
      </c>
      <c r="V1188" s="5" t="n">
        <v>18</v>
      </c>
      <c r="W1188" s="2" t="inlineStr">
        <is>
          <t>medium</t>
        </is>
      </c>
      <c r="X1188" s="3" t="inlineStr">
        <is>
          <t>Medium-GI dish: keep to the stated portion and pair with the protein/fat in the recipe; GL per serving is the better guide.</t>
        </is>
      </c>
      <c r="Y1188" s="3" t="inlineStr">
        <is>
          <t>99% of this dish's available carbohydrate comes from ingredients with a published, measured GI; the rest uses conventional placeholders (see Ingredients sheet)</t>
        </is>
      </c>
      <c r="Z1188" s="2" t="n">
        <v>99</v>
      </c>
      <c r="AA1188" s="3" t="inlineStr">
        <is>
          <t>vegan, gluten-free, dairy-free, nut-free</t>
        </is>
      </c>
      <c r="AB1188" s="3" t="inlineStr">
        <is>
          <t>1. Spread the fries on a tray.
2. Bake at 425°F for 20 minutes, turning once.
3. Season with salt and garlic powder.</t>
        </is>
      </c>
      <c r="AC1188" s="4" t="inlineStr">
        <is>
          <t>["Spread the fries on a tray.", "Bake at 425°F for 20 minutes, turning once.", "Season with salt and garlic powder."]</t>
        </is>
      </c>
    </row>
    <row r="1189" ht="96" customHeight="1">
      <c r="A1189" s="2" t="inlineStr">
        <is>
          <t>DB-1188</t>
        </is>
      </c>
      <c r="B1189" s="3" t="inlineStr">
        <is>
          <t>Garlic Bread</t>
        </is>
      </c>
      <c r="C1189" s="4" t="inlineStr">
        <is>
          <t>Side Dish</t>
        </is>
      </c>
      <c r="D1189" s="4" t="inlineStr">
        <is>
          <t>Italian</t>
        </is>
      </c>
      <c r="E1189" s="2" t="n">
        <v>6</v>
      </c>
      <c r="F1189" s="2" t="n">
        <v>5</v>
      </c>
      <c r="G1189" s="2" t="n">
        <v>10</v>
      </c>
      <c r="H1189" s="2" t="n">
        <v>15</v>
      </c>
      <c r="I1189" s="4" t="inlineStr">
        <is>
          <t>garlic-bread.jpg</t>
        </is>
      </c>
      <c r="J1189" s="3" t="inlineStr">
        <is>
          <t>Garlic Bread, healthy food photography, plated, natural light</t>
        </is>
      </c>
      <c r="K1189" s="4" t="inlineStr"/>
      <c r="L1189" s="3" t="inlineStr">
        <is>
          <t>White bread — 180 g (6.3 oz)
Butter — 30 g (1.1 oz)
Garlic — 8 g (0.3 oz)
Fresh parsley — 4 g (0.1 oz)
Parmesan, grated — 20 g (0.7 oz)</t>
        </is>
      </c>
      <c r="M1189" s="4" t="inlineStr">
        <is>
          <t>[{"ingredient_id": "white_bread", "name": "White bread", "grams": 180.0, "note": ""}, {"ingredient_id": "butter", "name": "Butter", "grams": 30.0, "note": ""}, {"ingredient_id": "garlic", "name": "Garlic", "grams": 8.0, "note": ""}, {"ingredient_id": "parsley", "name": "Fresh parsley", "grams": 4.0, "note": ""}, {"ingredient_id": "parmesan", "name": "Parmesan, grated", "grams": 20.0, "note": ""}]</t>
        </is>
      </c>
      <c r="N1189" s="2" t="n">
        <v>133</v>
      </c>
      <c r="O1189" s="5" t="n">
        <v>4.2</v>
      </c>
      <c r="P1189" s="5" t="n">
        <v>6.1</v>
      </c>
      <c r="Q1189" s="5" t="n">
        <v>15.4</v>
      </c>
      <c r="R1189" s="5" t="n">
        <v>0.7</v>
      </c>
      <c r="S1189" s="5" t="n">
        <v>14.6</v>
      </c>
      <c r="T1189" s="2" t="n">
        <v>70</v>
      </c>
      <c r="U1189" s="2" t="inlineStr">
        <is>
          <t>high</t>
        </is>
      </c>
      <c r="V1189" s="5" t="n">
        <v>10.2</v>
      </c>
      <c r="W1189" s="2" t="inlineStr">
        <is>
          <t>medium</t>
        </is>
      </c>
      <c r="X1189" s="3" t="inlineStr">
        <is>
          <t>Medium-GI dish: keep to the stated portion and pair with the protein/fat in the recipe; GL per serving is the better guide.</t>
        </is>
      </c>
      <c r="Y1189" s="3" t="inlineStr">
        <is>
          <t>96% of this dish's available carbohydrate comes from ingredients with a published, measured GI; the rest uses conventional placeholders (see Ingredients sheet)</t>
        </is>
      </c>
      <c r="Z1189" s="2" t="n">
        <v>96</v>
      </c>
      <c r="AA1189" s="3" t="inlineStr">
        <is>
          <t>vegetarian, nut-free, low-carb</t>
        </is>
      </c>
      <c r="AB1189" s="3" t="inlineStr">
        <is>
          <t>1. Mash the butter with garlic and parsley.
2. Spread on the bread and sprinkle with parmesan.
3. Bake at 400°F for 8 to 10 minutes.</t>
        </is>
      </c>
      <c r="AC1189" s="4" t="inlineStr">
        <is>
          <t>["Mash the butter with garlic and parsley.", "Spread on the bread and sprinkle with parmesan.", "Bake at 400°F for 8 to 10 minutes."]</t>
        </is>
      </c>
    </row>
    <row r="1190" ht="96" customHeight="1">
      <c r="A1190" s="2" t="inlineStr">
        <is>
          <t>DB-1189</t>
        </is>
      </c>
      <c r="B1190" s="3" t="inlineStr">
        <is>
          <t>Rice Pilaf with Peas and Carrots</t>
        </is>
      </c>
      <c r="C1190" s="4" t="inlineStr">
        <is>
          <t>Side Dish</t>
        </is>
      </c>
      <c r="D1190" s="4" t="inlineStr">
        <is>
          <t>American</t>
        </is>
      </c>
      <c r="E1190" s="2" t="n">
        <v>5</v>
      </c>
      <c r="F1190" s="2" t="n">
        <v>10</v>
      </c>
      <c r="G1190" s="2" t="n">
        <v>25</v>
      </c>
      <c r="H1190" s="2" t="n">
        <v>35</v>
      </c>
      <c r="I1190" s="4" t="inlineStr">
        <is>
          <t>rice-pilaf-with-peas-and-carrots.jpg</t>
        </is>
      </c>
      <c r="J1190" s="3" t="inlineStr">
        <is>
          <t>Rice Pilaf with Peas and Carrots, healthy food photography, plated, natural light</t>
        </is>
      </c>
      <c r="K1190" s="4" t="inlineStr"/>
      <c r="L1190" s="3" t="inlineStr">
        <is>
          <t>White rice, long-grain, cooked — 500 g (17.6 oz)
Green peas — 100 g (3.5 oz)
Carrot — 80 g (2.8 oz)
Yellow onion — 60 g (2.1 oz)
Chicken broth, low sodium — 100 g (3.5 oz)
Butter — 15 g (0.5 oz)
Fresh parsley — 4 g (0.1 oz)</t>
        </is>
      </c>
      <c r="M1190" s="4" t="inlineStr">
        <is>
          <t>[{"ingredient_id": "white_rice", "name": "White rice, long-grain, cooked", "grams": 500.0, "note": ""}, {"ingredient_id": "green_peas", "name": "Green peas", "grams": 100.0, "note": ""}, {"ingredient_id": "carrot", "name": "Carrot", "grams": 80.0, "note": ""}, {"ingredient_id": "onion", "name": "Yellow onion", "grams": 60.0, "note": ""}, {"ingredient_id": "chicken_broth", "name": "Chicken broth, low sodium", "grams": 100.0, "note": ""}, {"ingredient_id": "butter", "name": "Butter", "grams": 15.0, "note": ""}, {"ingredient_id": "parsley", "name": "Fresh parsley", "grams": 4.0, "note": ""}]</t>
        </is>
      </c>
      <c r="N1190" s="2" t="n">
        <v>180</v>
      </c>
      <c r="O1190" s="5" t="n">
        <v>4.3</v>
      </c>
      <c r="P1190" s="5" t="n">
        <v>2.9</v>
      </c>
      <c r="Q1190" s="5" t="n">
        <v>33.6</v>
      </c>
      <c r="R1190" s="5" t="n">
        <v>2.2</v>
      </c>
      <c r="S1190" s="5" t="n">
        <v>31.4</v>
      </c>
      <c r="T1190" s="2" t="n">
        <v>72</v>
      </c>
      <c r="U1190" s="2" t="inlineStr">
        <is>
          <t>high</t>
        </is>
      </c>
      <c r="V1190" s="5" t="n">
        <v>22.6</v>
      </c>
      <c r="W1190" s="2" t="inlineStr">
        <is>
          <t>high</t>
        </is>
      </c>
      <c r="X1190" s="3" t="inlineStr">
        <is>
          <t>Medium-GI dish: keep to the stated portion and pair with the protein/fat in the recipe; GL per serving is the better guide.</t>
        </is>
      </c>
      <c r="Y1190" s="3" t="inlineStr">
        <is>
          <t>97% of this dish's available carbohydrate comes from ingredients with a published, measured GI; the rest uses conventional placeholders (see Ingredients sheet)</t>
        </is>
      </c>
      <c r="Z1190" s="2" t="n">
        <v>97</v>
      </c>
      <c r="AA1190" s="3" t="inlineStr">
        <is>
          <t>vegetarian, gluten-free, nut-free</t>
        </is>
      </c>
      <c r="AB1190" s="3" t="inlineStr">
        <is>
          <t>1. Sauté the onion and carrot in butter.
2. Add the rice, peas and broth and heat through.
3. Finish with parsley.</t>
        </is>
      </c>
      <c r="AC1190" s="4" t="inlineStr">
        <is>
          <t>["Sauté the onion and carrot in butter.", "Add the rice, peas and broth and heat through.", "Finish with parsley."]</t>
        </is>
      </c>
    </row>
    <row r="1191" ht="96" customHeight="1">
      <c r="A1191" s="2" t="inlineStr">
        <is>
          <t>DB-1190</t>
        </is>
      </c>
      <c r="B1191" s="3" t="inlineStr">
        <is>
          <t>Southern Baked Beans</t>
        </is>
      </c>
      <c r="C1191" s="4" t="inlineStr">
        <is>
          <t>Side Dish</t>
        </is>
      </c>
      <c r="D1191" s="4" t="inlineStr">
        <is>
          <t>American</t>
        </is>
      </c>
      <c r="E1191" s="2" t="n">
        <v>8</v>
      </c>
      <c r="F1191" s="2" t="n">
        <v>15</v>
      </c>
      <c r="G1191" s="2" t="n">
        <v>90</v>
      </c>
      <c r="H1191" s="2" t="n">
        <v>105</v>
      </c>
      <c r="I1191" s="4" t="inlineStr">
        <is>
          <t>southern-baked-beans.jpg</t>
        </is>
      </c>
      <c r="J1191" s="3" t="inlineStr">
        <is>
          <t>Southern Baked Beans, healthy food photography, plated, natural light</t>
        </is>
      </c>
      <c r="K1191" s="4" t="inlineStr"/>
      <c r="L1191" s="3" t="inlineStr">
        <is>
          <t>Navy beans, cooked — 800 g (28.2 oz)
Tomato paste — 60 g (2.1 oz)
Yellow onion — 120 g (4.2 oz)
Bacon — 50 g (1.8 oz)
Apple cider vinegar — 20 g (0.7 oz)
Yellow mustard — 15 g (0.5 oz)
Monk fruit/erythritol sweetener — 10 g (0.4 oz)
Smoked paprika — 3 g (0.1 oz)
Water / ice — 200 g (7.1 oz)</t>
        </is>
      </c>
      <c r="M1191" s="4" t="inlineStr">
        <is>
          <t>[{"ingredient_id": "navy_beans", "name": "Navy beans, cooked", "grams": 800.0, "note": ""}, {"ingredient_id": "tomato_paste", "name": "Tomato paste", "grams": 60.0, "note": ""}, {"ingredient_id": "onion", "name": "Yellow onion", "grams": 120.0, "note": ""}, {"ingredient_id": "bacon", "name": "Bacon", "grams": 50.0, "note": ""}, {"ingredient_id": "apple_cider_vinegar", "name": "Apple cider vinegar", "grams": 20.0, "note": ""}, {"ingredient_id": "yellow_mustard", "name": "Yellow mustard", "grams": 15.0, "note": ""}, {"ingredient_id": "monk_fruit_sweetener", "name": "Monk fruit/erythritol sweetener", "grams": 10.0, "note": ""}, {"ingredient_id": "smoked_paprika", "name": "Smoked paprika", "grams": 3.0, "note": ""}, {"ingredient_id": "water", "name": "Water / ice", "grams": 200.0, "note": ""}]</t>
        </is>
      </c>
      <c r="N1191" s="2" t="n">
        <v>189</v>
      </c>
      <c r="O1191" s="5" t="n">
        <v>11.1</v>
      </c>
      <c r="P1191" s="5" t="n">
        <v>3.4</v>
      </c>
      <c r="Q1191" s="5" t="n">
        <v>29.2</v>
      </c>
      <c r="R1191" s="5" t="n">
        <v>11.2</v>
      </c>
      <c r="S1191" s="5" t="n">
        <v>18</v>
      </c>
      <c r="T1191" s="2" t="n">
        <v>30</v>
      </c>
      <c r="U1191" s="2" t="inlineStr">
        <is>
          <t>low</t>
        </is>
      </c>
      <c r="V1191" s="5" t="n">
        <v>5.4</v>
      </c>
      <c r="W1191" s="2" t="inlineStr">
        <is>
          <t>low</t>
        </is>
      </c>
      <c r="X1191" s="3" t="inlineStr"/>
      <c r="Y1191" s="3" t="inlineStr">
        <is>
          <t>0% of this dish's available carbohydrate comes from ingredients with a published, measured GI; the rest uses conventional placeholders (see Ingredients sheet)</t>
        </is>
      </c>
      <c r="Z1191" s="2" t="n">
        <v>0</v>
      </c>
      <c r="AA1191" s="3" t="inlineStr">
        <is>
          <t>gluten-free, dairy-free, nut-free, high-fiber</t>
        </is>
      </c>
      <c r="AB1191" s="3" t="inlineStr">
        <is>
          <t>1. Crisp the bacon with the onion.
2. Stir in the paste, vinegar, mustard, sweetener, paprika and water.
3. Add the beans and bake covered at 325°F for 1 hour.</t>
        </is>
      </c>
      <c r="AC1191" s="4" t="inlineStr">
        <is>
          <t>["Crisp the bacon with the onion.", "Stir in the paste, vinegar, mustard, sweetener, paprika and water.", "Add the beans and bake covered at 325°F for 1 hour."]</t>
        </is>
      </c>
    </row>
    <row r="1192" ht="96" customHeight="1">
      <c r="A1192" s="2" t="inlineStr">
        <is>
          <t>DB-1191</t>
        </is>
      </c>
      <c r="B1192" s="3" t="inlineStr">
        <is>
          <t>Green Bean Casserole (Lightened)</t>
        </is>
      </c>
      <c r="C1192" s="4" t="inlineStr">
        <is>
          <t>Side Dish</t>
        </is>
      </c>
      <c r="D1192" s="4" t="inlineStr">
        <is>
          <t>American</t>
        </is>
      </c>
      <c r="E1192" s="2" t="n">
        <v>6</v>
      </c>
      <c r="F1192" s="2" t="n">
        <v>15</v>
      </c>
      <c r="G1192" s="2" t="n">
        <v>30</v>
      </c>
      <c r="H1192" s="2" t="n">
        <v>45</v>
      </c>
      <c r="I1192" s="4" t="inlineStr">
        <is>
          <t>green-bean-casserole-lightened.jpg</t>
        </is>
      </c>
      <c r="J1192" s="3" t="inlineStr">
        <is>
          <t>Green Bean Casserole (Lightened), healthy food photography, plated, natural light</t>
        </is>
      </c>
      <c r="K1192" s="4" t="inlineStr"/>
      <c r="L1192" s="3" t="inlineStr">
        <is>
          <t>Green beans — 600 g (21.2 oz)
Mushrooms (cremini/white) — 250 g (8.8 oz)
Milk, 2% — 200 g (7.1 oz)
Parmesan, grated — 30 g (1.1 oz)
Yellow onion — 80 g (2.8 oz)
Butter — 20 g (0.7 oz)
Garlic — 4 g (0.1 oz)
Almonds — 20 g (0.7 oz)</t>
        </is>
      </c>
      <c r="M1192" s="4" t="inlineStr">
        <is>
          <t>[{"ingredient_id": "green_beans", "name": "Green beans", "grams": 600.0, "note": ""}, {"ingredient_id": "mushrooms", "name": "Mushrooms (cremini/white)", "grams": 250.0, "note": ""}, {"ingredient_id": "milk", "name": "Milk, 2%", "grams": 200.0, "note": ""}, {"ingredient_id": "parmesan", "name": "Parmesan, grated", "grams": 30.0, "note": ""}, {"ingredient_id": "onion", "name": "Yellow onion", "grams": 80.0, "note": ""}, {"ingredient_id": "butter", "name": "Butter", "grams": 20.0, "note": ""}, {"ingredient_id": "garlic", "name": "Garlic", "grams": 4.0, "note": ""}, {"ingredient_id": "almonds", "name": "Almonds", "grams": 20.0, "note": ""}]</t>
        </is>
      </c>
      <c r="N1192" s="2" t="n">
        <v>128</v>
      </c>
      <c r="O1192" s="5" t="n">
        <v>7</v>
      </c>
      <c r="P1192" s="5" t="n">
        <v>6.8</v>
      </c>
      <c r="Q1192" s="5" t="n">
        <v>12.4</v>
      </c>
      <c r="R1192" s="5" t="n">
        <v>3.8</v>
      </c>
      <c r="S1192" s="5" t="n">
        <v>8.6</v>
      </c>
      <c r="T1192" s="2" t="n">
        <v>17</v>
      </c>
      <c r="U1192" s="2" t="inlineStr">
        <is>
          <t>low</t>
        </is>
      </c>
      <c r="V1192" s="5" t="n">
        <v>1.5</v>
      </c>
      <c r="W1192" s="2" t="inlineStr">
        <is>
          <t>low</t>
        </is>
      </c>
      <c r="X1192" s="3" t="inlineStr"/>
      <c r="Y1192" s="3" t="inlineStr">
        <is>
          <t>19% of this dish's available carbohydrate comes from ingredients with a published, measured GI; the rest uses conventional placeholders (see Ingredients sheet)</t>
        </is>
      </c>
      <c r="Z1192" s="2" t="n">
        <v>19</v>
      </c>
      <c r="AA1192" s="3" t="inlineStr">
        <is>
          <t>vegetarian, gluten-free, low-carb</t>
        </is>
      </c>
      <c r="AB1192" s="3" t="inlineStr">
        <is>
          <t>1. Sauté the mushrooms, onion and garlic in butter.
2. Add the milk and parmesan and reduce until creamy.
3. Fold in the blanched green beans.
4. Top with chopped almonds and bake at 375°F for 20 minutes.</t>
        </is>
      </c>
      <c r="AC1192" s="4" t="inlineStr">
        <is>
          <t>["Sauté the mushrooms, onion and garlic in butter.", "Add the milk and parmesan and reduce until creamy.", "Fold in the blanched green beans.", "Top with chopped almonds and bake at 375°F for 20 minutes."]</t>
        </is>
      </c>
    </row>
    <row r="1193" ht="96" customHeight="1">
      <c r="A1193" s="2" t="inlineStr">
        <is>
          <t>DB-1192</t>
        </is>
      </c>
      <c r="B1193" s="3" t="inlineStr">
        <is>
          <t>Creamed Corn</t>
        </is>
      </c>
      <c r="C1193" s="4" t="inlineStr">
        <is>
          <t>Side Dish</t>
        </is>
      </c>
      <c r="D1193" s="4" t="inlineStr">
        <is>
          <t>American</t>
        </is>
      </c>
      <c r="E1193" s="2" t="n">
        <v>5</v>
      </c>
      <c r="F1193" s="2" t="n">
        <v>5</v>
      </c>
      <c r="G1193" s="2" t="n">
        <v>15</v>
      </c>
      <c r="H1193" s="2" t="n">
        <v>20</v>
      </c>
      <c r="I1193" s="4" t="inlineStr">
        <is>
          <t>creamed-corn.jpg</t>
        </is>
      </c>
      <c r="J1193" s="3" t="inlineStr">
        <is>
          <t>Creamed Corn, healthy food photography, plated, natural light</t>
        </is>
      </c>
      <c r="K1193" s="4" t="inlineStr"/>
      <c r="L1193" s="3" t="inlineStr">
        <is>
          <t>Sweet corn kernels — 500 g (17.6 oz)
Milk, 2% — 150 g (5.3 oz)
Cream cheese — 60 g (2.1 oz)
Butter — 10 g (0.4 oz)
Black pepper — 1 g (0.0 oz)
Fresh chives — 3 g (0.1 oz)</t>
        </is>
      </c>
      <c r="M1193" s="4" t="inlineStr">
        <is>
          <t>[{"ingredient_id": "corn", "name": "Sweet corn kernels", "grams": 500.0, "note": ""}, {"ingredient_id": "milk", "name": "Milk, 2%", "grams": 150.0, "note": ""}, {"ingredient_id": "cream_cheese", "name": "Cream cheese", "grams": 60.0, "note": ""}, {"ingredient_id": "butter", "name": "Butter", "grams": 10.0, "note": ""}, {"ingredient_id": "black_pepper", "name": "Black pepper", "grams": 1.0, "note": ""}, {"ingredient_id": "chives", "name": "Fresh chives", "grams": 3.0, "note": ""}]</t>
        </is>
      </c>
      <c r="N1193" s="2" t="n">
        <v>157</v>
      </c>
      <c r="O1193" s="5" t="n">
        <v>5.1</v>
      </c>
      <c r="P1193" s="5" t="n">
        <v>7.7</v>
      </c>
      <c r="Q1193" s="5" t="n">
        <v>21.1</v>
      </c>
      <c r="R1193" s="5" t="n">
        <v>2.8</v>
      </c>
      <c r="S1193" s="5" t="n">
        <v>18.3</v>
      </c>
      <c r="T1193" s="2" t="n">
        <v>48</v>
      </c>
      <c r="U1193" s="2" t="inlineStr">
        <is>
          <t>low</t>
        </is>
      </c>
      <c r="V1193" s="5" t="n">
        <v>8.800000000000001</v>
      </c>
      <c r="W1193" s="2" t="inlineStr">
        <is>
          <t>low</t>
        </is>
      </c>
      <c r="X1193" s="3" t="inlineStr"/>
      <c r="Y1193" s="3" t="inlineStr">
        <is>
          <t>97% of this dish's available carbohydrate comes from ingredients with a published, measured GI; the rest uses conventional placeholders (see Ingredients sheet)</t>
        </is>
      </c>
      <c r="Z1193" s="2" t="n">
        <v>97</v>
      </c>
      <c r="AA1193" s="3" t="inlineStr">
        <is>
          <t>vegetarian, gluten-free, nut-free</t>
        </is>
      </c>
      <c r="AB1193" s="3" t="inlineStr">
        <is>
          <t>1. Warm the corn with butter and milk.
2. Stir in the cream cheese until smooth.
3. Season and top with chives.</t>
        </is>
      </c>
      <c r="AC1193" s="4" t="inlineStr">
        <is>
          <t>["Warm the corn with butter and milk.", "Stir in the cream cheese until smooth.", "Season and top with chives."]</t>
        </is>
      </c>
    </row>
    <row r="1194" ht="96" customHeight="1">
      <c r="A1194" s="2" t="inlineStr">
        <is>
          <t>DB-1193</t>
        </is>
      </c>
      <c r="B1194" s="3" t="inlineStr">
        <is>
          <t>Sweet Potato Casserole with Pecans</t>
        </is>
      </c>
      <c r="C1194" s="4" t="inlineStr">
        <is>
          <t>Side Dish</t>
        </is>
      </c>
      <c r="D1194" s="4" t="inlineStr">
        <is>
          <t>American</t>
        </is>
      </c>
      <c r="E1194" s="2" t="n">
        <v>6</v>
      </c>
      <c r="F1194" s="2" t="n">
        <v>15</v>
      </c>
      <c r="G1194" s="2" t="n">
        <v>35</v>
      </c>
      <c r="H1194" s="2" t="n">
        <v>50</v>
      </c>
      <c r="I1194" s="4" t="inlineStr">
        <is>
          <t>sweet-potato-casserole-with-pecans.jpg</t>
        </is>
      </c>
      <c r="J1194" s="3" t="inlineStr">
        <is>
          <t>Sweet Potato Casserole with Pecans, healthy food photography, plated, natural light</t>
        </is>
      </c>
      <c r="K1194" s="4" t="inlineStr"/>
      <c r="L1194" s="3" t="inlineStr">
        <is>
          <t>Sweet potato, boiled/simmered — 700 g (24.7 oz)
Pecans — 40 g (1.4 oz)
Butter — 20 g (0.7 oz)
Ground cinnamon — 2 g (0.1 oz)
Vanilla extract — 5 g (0.2 oz)
Milk, 2% — 60 g (2.1 oz)
Egg, large (50 g each) — 50 g (1.8 oz)</t>
        </is>
      </c>
      <c r="M1194" s="4" t="inlineStr">
        <is>
          <t>[{"ingredient_id": "sweet_potato", "name": "Sweet potato, boiled/simmered", "grams": 700.0, "note": ""}, {"ingredient_id": "pecans", "name": "Pecans", "grams": 40.0, "note": ""}, {"ingredient_id": "butter", "name": "Butter", "grams": 20.0, "note": ""}, {"ingredient_id": "cinnamon", "name": "Ground cinnamon", "grams": 2.0, "note": ""}, {"ingredient_id": "vanilla_extract", "name": "Vanilla extract", "grams": 5.0, "note": ""}, {"ingredient_id": "milk", "name": "Milk, 2%", "grams": 60.0, "note": ""}, {"ingredient_id": "egg", "name": "Egg, large (50 g each)", "grams": 50.0, "note": ""}]</t>
        </is>
      </c>
      <c r="N1194" s="2" t="n">
        <v>190</v>
      </c>
      <c r="O1194" s="5" t="n">
        <v>3.9</v>
      </c>
      <c r="P1194" s="5" t="n">
        <v>8.6</v>
      </c>
      <c r="Q1194" s="5" t="n">
        <v>25.2</v>
      </c>
      <c r="R1194" s="5" t="n">
        <v>4.3</v>
      </c>
      <c r="S1194" s="5" t="n">
        <v>20.9</v>
      </c>
      <c r="T1194" s="2" t="n">
        <v>45</v>
      </c>
      <c r="U1194" s="2" t="inlineStr">
        <is>
          <t>low</t>
        </is>
      </c>
      <c r="V1194" s="5" t="n">
        <v>9.4</v>
      </c>
      <c r="W1194" s="2" t="inlineStr">
        <is>
          <t>low</t>
        </is>
      </c>
      <c r="X1194" s="3" t="inlineStr"/>
      <c r="Y1194" s="3" t="inlineStr">
        <is>
          <t>97% of this dish's available carbohydrate comes from ingredients with a published, measured GI; the rest uses conventional placeholders (see Ingredients sheet)</t>
        </is>
      </c>
      <c r="Z1194" s="2" t="n">
        <v>97</v>
      </c>
      <c r="AA1194" s="3" t="inlineStr">
        <is>
          <t>vegetarian, gluten-free</t>
        </is>
      </c>
      <c r="AB1194" s="3" t="inlineStr">
        <is>
          <t>1. Mash the cooked sweet potatoes with butter, milk, egg, cinnamon and vanilla.
2. Spread in a dish and top with chopped pecans.
3. Bake at 375°F for 30 minutes.</t>
        </is>
      </c>
      <c r="AC1194" s="4" t="inlineStr">
        <is>
          <t>["Mash the cooked sweet potatoes with butter, milk, egg, cinnamon and vanilla.", "Spread in a dish and top with chopped pecans.", "Bake at 375°F for 30 minutes."]</t>
        </is>
      </c>
    </row>
    <row r="1195" ht="96" customHeight="1">
      <c r="A1195" s="2" t="inlineStr">
        <is>
          <t>DB-1194</t>
        </is>
      </c>
      <c r="B1195" s="3" t="inlineStr">
        <is>
          <t>Classic Coleslaw</t>
        </is>
      </c>
      <c r="C1195" s="4" t="inlineStr">
        <is>
          <t>Side Dish</t>
        </is>
      </c>
      <c r="D1195" s="4" t="inlineStr">
        <is>
          <t>American</t>
        </is>
      </c>
      <c r="E1195" s="2" t="n">
        <v>6</v>
      </c>
      <c r="F1195" s="2" t="n">
        <v>10</v>
      </c>
      <c r="G1195" s="2" t="n">
        <v>0</v>
      </c>
      <c r="H1195" s="2" t="n">
        <v>10</v>
      </c>
      <c r="I1195" s="4" t="inlineStr">
        <is>
          <t>classic-coleslaw.jpg</t>
        </is>
      </c>
      <c r="J1195" s="3" t="inlineStr">
        <is>
          <t>Classic Coleslaw, healthy food photography, plated, natural light</t>
        </is>
      </c>
      <c r="K1195" s="4" t="inlineStr"/>
      <c r="L1195" s="3" t="inlineStr">
        <is>
          <t>Coleslaw mix (cabbage &amp; carrot) — 400 g (14.1 oz)
Greek yogurt, plain 2% — 80 g (2.8 oz)
Mayonnaise (avocado oil) — 30 g (1.1 oz)
Apple cider vinegar — 20 g (0.7 oz)
Yellow mustard — 5 g (0.2 oz)
Monk fruit/erythritol sweetener — 3 g (0.1 oz)
Celery — 15 g (0.5 oz)</t>
        </is>
      </c>
      <c r="M1195" s="4" t="inlineStr">
        <is>
          <t>[{"ingredient_id": "coleslaw_mix", "name": "Coleslaw mix (cabbage &amp; carrot)", "grams": 400.0, "note": ""}, {"ingredient_id": "greek_yogurt", "name": "Greek yogurt, plain 2%", "grams": 80.0, "note": ""}, {"ingredient_id": "mayo", "name": "Mayonnaise (avocado oil)", "grams": 30.0, "note": ""}, {"ingredient_id": "apple_cider_vinegar", "name": "Apple cider vinegar", "grams": 20.0, "note": ""}, {"ingredient_id": "yellow_mustard", "name": "Yellow mustard", "grams": 5.0, "note": ""}, {"ingredient_id": "monk_fruit_sweetener", "name": "Monk fruit/erythritol sweetener", "grams": 3.0, "note": ""}, {"ingredient_id": "celery", "name": "Celery", "grams": 15.0, "note": ""}]</t>
        </is>
      </c>
      <c r="N1195" s="2" t="n">
        <v>64</v>
      </c>
      <c r="O1195" s="5" t="n">
        <v>2.3</v>
      </c>
      <c r="P1195" s="5" t="n">
        <v>4.3</v>
      </c>
      <c r="Q1195" s="5" t="n">
        <v>4.7</v>
      </c>
      <c r="R1195" s="5" t="n">
        <v>1.7</v>
      </c>
      <c r="S1195" s="5" t="n">
        <v>3</v>
      </c>
      <c r="T1195" s="2" t="n">
        <v>14</v>
      </c>
      <c r="U1195" s="2" t="inlineStr">
        <is>
          <t>low</t>
        </is>
      </c>
      <c r="V1195" s="5" t="n">
        <v>0.4</v>
      </c>
      <c r="W1195" s="2" t="inlineStr">
        <is>
          <t>low</t>
        </is>
      </c>
      <c r="X1195" s="3" t="inlineStr">
        <is>
          <t>Negligible carbohydrate (&lt;5 g net/serving): GI has little practical meaning, glycemic load is what matters.</t>
        </is>
      </c>
      <c r="Y1195" s="3" t="inlineStr">
        <is>
          <t>18% of this dish's available carbohydrate comes from ingredients with a published, measured GI; the rest uses conventional placeholders (see Ingredients sheet)</t>
        </is>
      </c>
      <c r="Z1195" s="2" t="n">
        <v>18</v>
      </c>
      <c r="AA1195" s="3" t="inlineStr">
        <is>
          <t>vegetarian, gluten-free, nut-free, low-carb, no-cook</t>
        </is>
      </c>
      <c r="AB1195" s="3" t="inlineStr">
        <is>
          <t>1. Whisk the yogurt, mayo, vinegar, mustard and sweetener.
2. Toss with the slaw mix and celery.
3. Chill 30 minutes.</t>
        </is>
      </c>
      <c r="AC1195" s="4" t="inlineStr">
        <is>
          <t>["Whisk the yogurt, mayo, vinegar, mustard and sweetener.", "Toss with the slaw mix and celery.", "Chill 30 minutes."]</t>
        </is>
      </c>
    </row>
    <row r="1196" ht="96" customHeight="1">
      <c r="A1196" s="2" t="inlineStr">
        <is>
          <t>DB-1195</t>
        </is>
      </c>
      <c r="B1196" s="3" t="inlineStr">
        <is>
          <t>Spanish Rice</t>
        </is>
      </c>
      <c r="C1196" s="4" t="inlineStr">
        <is>
          <t>Side Dish</t>
        </is>
      </c>
      <c r="D1196" s="4" t="inlineStr">
        <is>
          <t>Tex-Mex</t>
        </is>
      </c>
      <c r="E1196" s="2" t="n">
        <v>6</v>
      </c>
      <c r="F1196" s="2" t="n">
        <v>5</v>
      </c>
      <c r="G1196" s="2" t="n">
        <v>20</v>
      </c>
      <c r="H1196" s="2" t="n">
        <v>25</v>
      </c>
      <c r="I1196" s="4" t="inlineStr">
        <is>
          <t>spanish-rice.jpg</t>
        </is>
      </c>
      <c r="J1196" s="3" t="inlineStr">
        <is>
          <t>Spanish Rice, healthy food photography, plated, natural light</t>
        </is>
      </c>
      <c r="K1196" s="4" t="inlineStr"/>
      <c r="L1196" s="3" t="inlineStr">
        <is>
          <t>White rice, long-grain, cooked — 600 g (21.2 oz)
Tomato sauce, canned, no sugar added — 150 g (5.3 oz)
Yellow onion — 60 g (2.1 oz)
Garlic — 4 g (0.1 oz)
Ground cumin — 2 g (0.1 oz)
Chicken broth, low sodium — 100 g (3.5 oz)
Extra-virgin olive oil — 10 g (0.4 oz)</t>
        </is>
      </c>
      <c r="M1196" s="4" t="inlineStr">
        <is>
          <t>[{"ingredient_id": "white_rice", "name": "White rice, long-grain, cooked", "grams": 600.0, "note": ""}, {"ingredient_id": "tomato_sauce", "name": "Tomato sauce, canned, no sugar added", "grams": 150.0, "note": ""}, {"ingredient_id": "onion", "name": "Yellow onion", "grams": 60.0, "note": ""}, {"ingredient_id": "garlic", "name": "Garlic", "grams": 4.0, "note": ""}, {"ingredient_id": "cumin", "name": "Ground cumin", "grams": 2.0, "note": ""}, {"ingredient_id": "chicken_broth", "name": "Chicken broth, low sodium", "grams": 100.0, "note": ""}, {"ingredient_id": "olive_oil", "name": "Extra-virgin olive oil", "grams": 10.0, "note": ""}]</t>
        </is>
      </c>
      <c r="N1196" s="2" t="n">
        <v>157</v>
      </c>
      <c r="O1196" s="5" t="n">
        <v>3.4</v>
      </c>
      <c r="P1196" s="5" t="n">
        <v>2.1</v>
      </c>
      <c r="Q1196" s="5" t="n">
        <v>30.7</v>
      </c>
      <c r="R1196" s="5" t="n">
        <v>1</v>
      </c>
      <c r="S1196" s="5" t="n">
        <v>29.7</v>
      </c>
      <c r="T1196" s="2" t="n">
        <v>73</v>
      </c>
      <c r="U1196" s="2" t="inlineStr">
        <is>
          <t>high</t>
        </is>
      </c>
      <c r="V1196" s="5" t="n">
        <v>21.7</v>
      </c>
      <c r="W1196" s="2" t="inlineStr">
        <is>
          <t>high</t>
        </is>
      </c>
      <c r="X1196" s="3" t="inlineStr">
        <is>
          <t>Medium-GI dish: keep to the stated portion and pair with the protein/fat in the recipe; GL per serving is the better guide.</t>
        </is>
      </c>
      <c r="Y1196" s="3" t="inlineStr">
        <is>
          <t>93% of this dish's available carbohydrate comes from ingredients with a published, measured GI; the rest uses conventional placeholders (see Ingredients sheet)</t>
        </is>
      </c>
      <c r="Z1196" s="2" t="n">
        <v>93</v>
      </c>
      <c r="AA1196" s="3" t="inlineStr">
        <is>
          <t>vegan, gluten-free, dairy-free, nut-free</t>
        </is>
      </c>
      <c r="AB1196" s="3" t="inlineStr">
        <is>
          <t>1. Sauté the onion and garlic in oil with the cumin.
2. Add the tomato sauce and broth and simmer 3 minutes.
3. Fold in the cooked rice.</t>
        </is>
      </c>
      <c r="AC1196" s="4" t="inlineStr">
        <is>
          <t>["Sauté the onion and garlic in oil with the cumin.", "Add the tomato sauce and broth and simmer 3 minutes.", "Fold in the cooked rice."]</t>
        </is>
      </c>
    </row>
    <row r="1197" ht="96" customHeight="1">
      <c r="A1197" s="2" t="inlineStr">
        <is>
          <t>DB-1196</t>
        </is>
      </c>
      <c r="B1197" s="3" t="inlineStr">
        <is>
          <t>Cheesy Scalloped Potatoes (Lightened)</t>
        </is>
      </c>
      <c r="C1197" s="4" t="inlineStr">
        <is>
          <t>Side Dish</t>
        </is>
      </c>
      <c r="D1197" s="4" t="inlineStr">
        <is>
          <t>American</t>
        </is>
      </c>
      <c r="E1197" s="2" t="n">
        <v>6</v>
      </c>
      <c r="F1197" s="2" t="n">
        <v>15</v>
      </c>
      <c r="G1197" s="2" t="n">
        <v>50</v>
      </c>
      <c r="H1197" s="2" t="n">
        <v>65</v>
      </c>
      <c r="I1197" s="4" t="inlineStr">
        <is>
          <t>cheesy-scalloped-potatoes-lightened.jpg</t>
        </is>
      </c>
      <c r="J1197" s="3" t="inlineStr">
        <is>
          <t>Cheesy Scalloped Potatoes (Lightened), healthy food photography, plated, natural light</t>
        </is>
      </c>
      <c r="K1197" s="4" t="inlineStr"/>
      <c r="L1197" s="3" t="inlineStr">
        <is>
          <t>Potato, boiled, peeled — 720 g (25.4 oz)
Milk, 2% — 300 g (10.6 oz)
Swiss cheese — 90 g (3.2 oz)
Yellow onion — 80 g (2.8 oz)
Garlic — 6 g (0.2 oz)
Butter — 15 g (0.5 oz)
Fresh thyme — 2 g (0.1 oz)
Ground nutmeg — 1 g (0.0 oz)</t>
        </is>
      </c>
      <c r="M1197" s="4" t="inlineStr">
        <is>
          <t>[{"ingredient_id": "potato_boiled", "name": "Potato, boiled, peeled", "grams": 720.0, "note": ""}, {"ingredient_id": "milk", "name": "Milk, 2%", "grams": 300.0, "note": ""}, {"ingredient_id": "swiss_cheese", "name": "Swiss cheese", "grams": 90.0, "note": ""}, {"ingredient_id": "onion", "name": "Yellow onion", "grams": 80.0, "note": ""}, {"ingredient_id": "garlic", "name": "Garlic", "grams": 6.0, "note": ""}, {"ingredient_id": "butter", "name": "Butter", "grams": 15.0, "note": ""}, {"ingredient_id": "thyme", "name": "Fresh thyme", "grams": 2.0, "note": ""}, {"ingredient_id": "nutmeg", "name": "Ground nutmeg", "grams": 1.0, "note": ""}]</t>
        </is>
      </c>
      <c r="N1197" s="2" t="n">
        <v>220</v>
      </c>
      <c r="O1197" s="5" t="n">
        <v>8.300000000000001</v>
      </c>
      <c r="P1197" s="5" t="n">
        <v>7.4</v>
      </c>
      <c r="Q1197" s="5" t="n">
        <v>30.2</v>
      </c>
      <c r="R1197" s="5" t="n">
        <v>2.1</v>
      </c>
      <c r="S1197" s="5" t="n">
        <v>28</v>
      </c>
      <c r="T1197" s="2" t="n">
        <v>60</v>
      </c>
      <c r="U1197" s="2" t="inlineStr">
        <is>
          <t>medium</t>
        </is>
      </c>
      <c r="V1197" s="5" t="n">
        <v>16.8</v>
      </c>
      <c r="W1197" s="2" t="inlineStr">
        <is>
          <t>medium</t>
        </is>
      </c>
      <c r="X1197" s="3" t="inlineStr">
        <is>
          <t>Medium-GI dish: keep to the stated portion and pair with the protein/fat in the recipe; GL per serving is the better guide.</t>
        </is>
      </c>
      <c r="Y1197" s="3" t="inlineStr">
        <is>
          <t>94% of this dish's available carbohydrate comes from ingredients with a published, measured GI; the rest uses conventional placeholders (see Ingredients sheet)</t>
        </is>
      </c>
      <c r="Z1197" s="2" t="n">
        <v>94</v>
      </c>
      <c r="AA1197" s="3" t="inlineStr">
        <is>
          <t>vegetarian, gluten-free, nut-free</t>
        </is>
      </c>
      <c r="AB1197" s="3" t="inlineStr">
        <is>
          <t>1. Layer the sliced potatoes and onion in a dish.
2. Warm the milk with garlic, thyme and nutmeg and pour over.
3. Top with Swiss and bake covered at 375°F for 40 minutes, uncovered for 10.</t>
        </is>
      </c>
      <c r="AC1197" s="4" t="inlineStr">
        <is>
          <t>["Layer the sliced potatoes and onion in a dish.", "Warm the milk with garlic, thyme and nutmeg and pour over.", "Top with Swiss and bake covered at 375°F for 40 minutes, uncovered for 10."]</t>
        </is>
      </c>
    </row>
    <row r="1198" ht="96" customHeight="1">
      <c r="A1198" s="2" t="inlineStr">
        <is>
          <t>DB-1197</t>
        </is>
      </c>
      <c r="B1198" s="3" t="inlineStr">
        <is>
          <t>Italian Sub Salad</t>
        </is>
      </c>
      <c r="C1198" s="4" t="inlineStr">
        <is>
          <t>Salad</t>
        </is>
      </c>
      <c r="D1198" s="4" t="inlineStr">
        <is>
          <t>American</t>
        </is>
      </c>
      <c r="E1198" s="2" t="n">
        <v>3</v>
      </c>
      <c r="F1198" s="2" t="n">
        <v>15</v>
      </c>
      <c r="G1198" s="2" t="n">
        <v>0</v>
      </c>
      <c r="H1198" s="2" t="n">
        <v>15</v>
      </c>
      <c r="I1198" s="4" t="inlineStr">
        <is>
          <t>italian-sub-salad.jpg</t>
        </is>
      </c>
      <c r="J1198" s="3" t="inlineStr">
        <is>
          <t>Italian Sub Salad, healthy food photography, plated, natural light</t>
        </is>
      </c>
      <c r="K1198" s="4" t="inlineStr"/>
      <c r="L1198" s="3" t="inlineStr">
        <is>
          <t>Romaine lettuce — 200 g (7.1 oz)
Deli turkey breast, low sodium — 120 g (4.2 oz)
Ham, lean — 80 g (2.8 oz)
Mozzarella, part-skim — 60 g (2.1 oz)
Tomato — 150 g (5.3 oz)
Red onion — 30 g (1.1 oz)
Olives (kalamata/green) — 30 g (1.1 oz)
Red wine vinegar — 15 g (0.5 oz)
Extra-virgin olive oil — 20 g (0.7 oz)
Italian seasoning — 2 g (0.1 oz)</t>
        </is>
      </c>
      <c r="M1198" s="4" t="inlineStr">
        <is>
          <t>[{"ingredient_id": "romaine", "name": "Romaine lettuce", "grams": 200.0, "note": ""}, {"ingredient_id": "deli_turkey", "name": "Deli turkey breast, low sodium", "grams": 120.0, "note": ""}, {"ingredient_id": "ham", "name": "Ham, lean", "grams": 80.0, "note": ""}, {"ingredient_id": "mozzarella", "name": "Mozzarella, part-skim", "grams": 60.0, "note": ""}, {"ingredient_id": "tomato", "name": "Tomato", "grams": 150.0, "note": ""}, {"ingredient_id": "red_onion", "name": "Red onion", "grams": 30.0, "note": ""}, {"ingredient_id": "olives", "name": "Olives (kalamata/green)", "grams": 30.0, "note": ""}, {"ingredient_id": "red_wine_vinegar", "name": "Red wine vinegar", "grams": 15.0, "note": ""}, {"ingredient_id": "olive_oil", "name": "Extra-virgin olive oil", "grams": 20.0, "note": ""}, {"ingredient_id": "italian_seasoning", "name": "Italian seasoning", "grams": 2.0, "note": ""}]</t>
        </is>
      </c>
      <c r="N1198" s="2" t="n">
        <v>229</v>
      </c>
      <c r="O1198" s="5" t="n">
        <v>18.7</v>
      </c>
      <c r="P1198" s="5" t="n">
        <v>13.5</v>
      </c>
      <c r="Q1198" s="5" t="n">
        <v>8.800000000000001</v>
      </c>
      <c r="R1198" s="5" t="n">
        <v>2.8</v>
      </c>
      <c r="S1198" s="5" t="n">
        <v>6</v>
      </c>
      <c r="T1198" s="2" t="n">
        <v>8</v>
      </c>
      <c r="U1198" s="2" t="inlineStr">
        <is>
          <t>low</t>
        </is>
      </c>
      <c r="V1198" s="5" t="n">
        <v>0.5</v>
      </c>
      <c r="W1198" s="2" t="inlineStr">
        <is>
          <t>low</t>
        </is>
      </c>
      <c r="X1198" s="3" t="inlineStr"/>
      <c r="Y1198" s="3" t="inlineStr">
        <is>
          <t>0% of this dish's available carbohydrate comes from ingredients with a published, measured GI; the rest uses conventional placeholders (see Ingredients sheet)</t>
        </is>
      </c>
      <c r="Z1198" s="2" t="n">
        <v>0</v>
      </c>
      <c r="AA1198" s="3" t="inlineStr">
        <is>
          <t>gluten-free, nut-free, low-carb, no-cook</t>
        </is>
      </c>
      <c r="AB1198" s="3" t="inlineStr">
        <is>
          <t>1. Chop the romaine, tomato and onion.
2. Add sliced meats, mozzarella and olives.
3. Whisk the vinegar, oil and seasoning and toss.</t>
        </is>
      </c>
      <c r="AC1198" s="4" t="inlineStr">
        <is>
          <t>["Chop the romaine, tomato and onion.", "Add sliced meats, mozzarella and olives.", "Whisk the vinegar, oil and seasoning and toss."]</t>
        </is>
      </c>
    </row>
    <row r="1199" ht="96" customHeight="1">
      <c r="A1199" s="2" t="inlineStr">
        <is>
          <t>DB-1198</t>
        </is>
      </c>
      <c r="B1199" s="3" t="inlineStr">
        <is>
          <t>Chef Salad</t>
        </is>
      </c>
      <c r="C1199" s="4" t="inlineStr">
        <is>
          <t>Salad</t>
        </is>
      </c>
      <c r="D1199" s="4" t="inlineStr">
        <is>
          <t>American</t>
        </is>
      </c>
      <c r="E1199" s="2" t="n">
        <v>3</v>
      </c>
      <c r="F1199" s="2" t="n">
        <v>15</v>
      </c>
      <c r="G1199" s="2" t="n">
        <v>0</v>
      </c>
      <c r="H1199" s="2" t="n">
        <v>15</v>
      </c>
      <c r="I1199" s="4" t="inlineStr">
        <is>
          <t>chef-salad.jpg</t>
        </is>
      </c>
      <c r="J1199" s="3" t="inlineStr">
        <is>
          <t>Chef Salad, healthy food photography, plated, natural light</t>
        </is>
      </c>
      <c r="K1199" s="4" t="inlineStr"/>
      <c r="L1199" s="3" t="inlineStr">
        <is>
          <t>Romaine lettuce — 200 g (7.1 oz)
Deli turkey breast, low sodium — 100 g (3.5 oz)
Ham, lean — 80 g (2.8 oz)
Egg, large (50 g each) — 150 g (5.3 oz)
Swiss cheese — 50 g (1.8 oz)
Cucumber — 100 g (3.5 oz)
Tomato — 120 g (4.2 oz)
Extra-virgin olive oil — 15 g (0.5 oz)
Dijon mustard — 5 g (0.2 oz)
Red wine vinegar — 15 g (0.5 oz)</t>
        </is>
      </c>
      <c r="M1199" s="4" t="inlineStr">
        <is>
          <t>[{"ingredient_id": "romaine", "name": "Romaine lettuce", "grams": 200.0, "note": ""}, {"ingredient_id": "deli_turkey", "name": "Deli turkey breast, low sodium", "grams": 100.0, "note": ""}, {"ingredient_id": "ham", "name": "Ham, lean", "grams": 80.0, "note": ""}, {"ingredient_id": "egg", "name": "Egg, large (50 g each)", "grams": 150.0, "note": ""}, {"ingredient_id": "swiss_cheese", "name": "Swiss cheese", "grams": 50.0, "note": ""}, {"ingredient_id": "cucumber", "name": "Cucumber", "grams": 100.0, "note": ""}, {"ingredient_id": "tomato", "name": "Tomato", "grams": 120.0, "note": ""}, {"ingredient_id": "olive_oil", "name": "Extra-virgin olive oil", "grams": 15.0, "note": ""}, {"ingredient_id": "dijon", "name": "Dijon mustard", "grams": 5.0, "note": ""}, {"ingredient_id": "red_wine_vinegar", "name": "Red wine vinegar", "grams": 15.0, "note": ""}]</t>
        </is>
      </c>
      <c r="N1199" s="2" t="n">
        <v>278</v>
      </c>
      <c r="O1199" s="5" t="n">
        <v>23.5</v>
      </c>
      <c r="P1199" s="5" t="n">
        <v>16.9</v>
      </c>
      <c r="Q1199" s="5" t="n">
        <v>7.4</v>
      </c>
      <c r="R1199" s="5" t="n">
        <v>2.1</v>
      </c>
      <c r="S1199" s="5" t="n">
        <v>5.3</v>
      </c>
      <c r="T1199" s="2" t="n">
        <v>8</v>
      </c>
      <c r="U1199" s="2" t="inlineStr">
        <is>
          <t>low</t>
        </is>
      </c>
      <c r="V1199" s="5" t="n">
        <v>0.4</v>
      </c>
      <c r="W1199" s="2" t="inlineStr">
        <is>
          <t>low</t>
        </is>
      </c>
      <c r="X1199" s="3" t="inlineStr"/>
      <c r="Y1199" s="3" t="inlineStr">
        <is>
          <t>0% of this dish's available carbohydrate comes from ingredients with a published, measured GI; the rest uses conventional placeholders (see Ingredients sheet)</t>
        </is>
      </c>
      <c r="Z1199" s="2" t="n">
        <v>0</v>
      </c>
      <c r="AA1199" s="3" t="inlineStr">
        <is>
          <t>gluten-free, nut-free, low-carb, no-cook</t>
        </is>
      </c>
      <c r="AB1199" s="3" t="inlineStr">
        <is>
          <t>1. Arrange the romaine, cucumber and tomato.
2. Add rows of turkey, ham, sliced egg and Swiss.
3. Whisk the oil, mustard and vinegar and drizzle.</t>
        </is>
      </c>
      <c r="AC1199" s="4" t="inlineStr">
        <is>
          <t>["Arrange the romaine, cucumber and tomato.", "Add rows of turkey, ham, sliced egg and Swiss.", "Whisk the oil, mustard and vinegar and drizzle."]</t>
        </is>
      </c>
    </row>
    <row r="1200" ht="96" customHeight="1">
      <c r="A1200" s="2" t="inlineStr">
        <is>
          <t>DB-1199</t>
        </is>
      </c>
      <c r="B1200" s="3" t="inlineStr">
        <is>
          <t>Greek-Style Pasta Salad</t>
        </is>
      </c>
      <c r="C1200" s="4" t="inlineStr">
        <is>
          <t>Salad</t>
        </is>
      </c>
      <c r="D1200" s="4" t="inlineStr">
        <is>
          <t>Greek</t>
        </is>
      </c>
      <c r="E1200" s="2" t="n">
        <v>6</v>
      </c>
      <c r="F1200" s="2" t="n">
        <v>15</v>
      </c>
      <c r="G1200" s="2" t="n">
        <v>10</v>
      </c>
      <c r="H1200" s="2" t="n">
        <v>25</v>
      </c>
      <c r="I1200" s="4" t="inlineStr">
        <is>
          <t>greek-style-pasta-salad.jpg</t>
        </is>
      </c>
      <c r="J1200" s="3" t="inlineStr">
        <is>
          <t>Greek-Style Pasta Salad, healthy food photography, plated, natural light</t>
        </is>
      </c>
      <c r="K1200" s="4" t="inlineStr"/>
      <c r="L1200" s="3" t="inlineStr">
        <is>
          <t>White pasta, cooked al dente — 480 g (16.9 oz)
Cucumber — 150 g (5.3 oz)
Cherry tomatoes — 150 g (5.3 oz)
Olives (kalamata/green) — 50 g (1.8 oz)
Feta cheese — 80 g (2.8 oz)
Red onion — 40 g (1.4 oz)
Extra-virgin olive oil — 30 g (1.1 oz)
Red wine vinegar — 20 g (0.7 oz)
Dried oregano — 2 g (0.1 oz)</t>
        </is>
      </c>
      <c r="M1200" s="4" t="inlineStr">
        <is>
          <t>[{"ingredient_id": "white_pasta", "name": "White pasta, cooked al dente", "grams": 480.0, "note": ""}, {"ingredient_id": "cucumber", "name": "Cucumber", "grams": 150.0, "note": ""}, {"ingredient_id": "cherry_tomato", "name": "Cherry tomatoes", "grams": 150.0, "note": ""}, {"ingredient_id": "olives", "name": "Olives (kalamata/green)", "grams": 50.0, "note": ""}, {"ingredient_id": "feta", "name": "Feta cheese", "grams": 80.0, "note": ""}, {"ingredient_id": "red_onion", "name": "Red onion", "grams": 40.0, "note": ""}, {"ingredient_id": "olive_oil", "name": "Extra-virgin olive oil", "grams": 30.0, "note": ""}, {"ingredient_id": "red_wine_vinegar", "name": "Red wine vinegar", "grams": 20.0, "note": ""}, {"ingredient_id": "oregano", "name": "Dried oregano", "grams": 2.0, "note": ""}]</t>
        </is>
      </c>
      <c r="N1200" s="2" t="n">
        <v>227</v>
      </c>
      <c r="O1200" s="5" t="n">
        <v>7</v>
      </c>
      <c r="P1200" s="5" t="n">
        <v>9.5</v>
      </c>
      <c r="Q1200" s="5" t="n">
        <v>28.3</v>
      </c>
      <c r="R1200" s="5" t="n">
        <v>2.4</v>
      </c>
      <c r="S1200" s="5" t="n">
        <v>25.9</v>
      </c>
      <c r="T1200" s="2" t="n">
        <v>45</v>
      </c>
      <c r="U1200" s="2" t="inlineStr">
        <is>
          <t>low</t>
        </is>
      </c>
      <c r="V1200" s="5" t="n">
        <v>11.7</v>
      </c>
      <c r="W1200" s="2" t="inlineStr">
        <is>
          <t>medium</t>
        </is>
      </c>
      <c r="X1200" s="3" t="inlineStr"/>
      <c r="Y1200" s="3" t="inlineStr">
        <is>
          <t>89% of this dish's available carbohydrate comes from ingredients with a published, measured GI; the rest uses conventional placeholders (see Ingredients sheet)</t>
        </is>
      </c>
      <c r="Z1200" s="2" t="n">
        <v>89</v>
      </c>
      <c r="AA1200" s="3" t="inlineStr">
        <is>
          <t>vegetarian, nut-free</t>
        </is>
      </c>
      <c r="AB1200" s="3" t="inlineStr">
        <is>
          <t>1. Cook the pasta and cool under water.
2. Toss with cucumber, tomatoes, onion and olives.
3. Dress with oil, vinegar and oregano and add feta.</t>
        </is>
      </c>
      <c r="AC1200" s="4" t="inlineStr">
        <is>
          <t>["Cook the pasta and cool under water.", "Toss with cucumber, tomatoes, onion and olives.", "Dress with oil, vinegar and oregano and add feta."]</t>
        </is>
      </c>
    </row>
    <row r="1201" ht="96" customHeight="1">
      <c r="A1201" s="2" t="inlineStr">
        <is>
          <t>DB-1200</t>
        </is>
      </c>
      <c r="B1201" s="3" t="inlineStr">
        <is>
          <t>Barbecue Chicken Salad</t>
        </is>
      </c>
      <c r="C1201" s="4" t="inlineStr">
        <is>
          <t>Salad</t>
        </is>
      </c>
      <c r="D1201" s="4" t="inlineStr">
        <is>
          <t>American</t>
        </is>
      </c>
      <c r="E1201" s="2" t="n">
        <v>3</v>
      </c>
      <c r="F1201" s="2" t="n">
        <v>15</v>
      </c>
      <c r="G1201" s="2" t="n">
        <v>10</v>
      </c>
      <c r="H1201" s="2" t="n">
        <v>25</v>
      </c>
      <c r="I1201" s="4" t="inlineStr">
        <is>
          <t>barbecue-chicken-salad.jpg</t>
        </is>
      </c>
      <c r="J1201" s="3" t="inlineStr">
        <is>
          <t>Barbecue Chicken Salad, healthy food photography, plated, natural light</t>
        </is>
      </c>
      <c r="K1201" s="4" t="inlineStr"/>
      <c r="L1201" s="3" t="inlineStr">
        <is>
          <t>Chicken breast, skinless — 360 g (12.7 oz)
Romaine lettuce — 200 g (7.1 oz)
Black beans, cooked — 100 g (3.5 oz)
Sweet corn kernels — 80 g (2.8 oz)
Cherry tomatoes — 100 g (3.5 oz)
Avocado — 70 g (2.5 oz)
Tomato paste — 30 g (1.1 oz)
Apple cider vinegar — 20 g (0.7 oz)
Smoked paprika — 3 g (0.1 oz)
Greek yogurt, plain 2% — 60 g (2.1 oz)</t>
        </is>
      </c>
      <c r="M1201" s="4" t="inlineStr">
        <is>
          <t>[{"ingredient_id": "chicken_breast", "name": "Chicken breast, skinless", "grams": 360.0, "note": ""}, {"ingredient_id": "romaine", "name": "Romaine lettuce", "grams": 200.0, "note": ""}, {"ingredient_id": "black_beans", "name": "Black beans, cooked", "grams": 100.0, "note": ""}, {"ingredient_id": "corn", "name": "Sweet corn kernels", "grams": 80.0, "note": ""}, {"ingredient_id": "cherry_tomato", "name": "Cherry tomatoes", "grams": 100.0, "note": ""}, {"ingredient_id": "avocado", "name": "Avocado", "grams": 70.0, "note": ""}, {"ingredient_id": "tomato_paste", "name": "Tomato paste", "grams": 30.0, "note": ""}, {"ingredient_id": "apple_cider_vinegar", "name": "Apple cider vinegar", "grams": 20.0, "note": ""}, {"ingredient_id": "smoked_paprika", "name": "Smoked paprika", "grams": 3.0, "note": ""}, {"ingredient_id": "greek_yogurt", "name": "Greek yogurt, plain 2%", "grams": 60.0, "note": ""}]</t>
        </is>
      </c>
      <c r="N1201" s="2" t="n">
        <v>293</v>
      </c>
      <c r="O1201" s="5" t="n">
        <v>35</v>
      </c>
      <c r="P1201" s="5" t="n">
        <v>8</v>
      </c>
      <c r="Q1201" s="5" t="n">
        <v>21.8</v>
      </c>
      <c r="R1201" s="5" t="n">
        <v>7.7</v>
      </c>
      <c r="S1201" s="5" t="n">
        <v>14</v>
      </c>
      <c r="T1201" s="2" t="n">
        <v>34</v>
      </c>
      <c r="U1201" s="2" t="inlineStr">
        <is>
          <t>low</t>
        </is>
      </c>
      <c r="V1201" s="5" t="n">
        <v>4.8</v>
      </c>
      <c r="W1201" s="2" t="inlineStr">
        <is>
          <t>low</t>
        </is>
      </c>
      <c r="X1201" s="3" t="inlineStr"/>
      <c r="Y1201" s="3" t="inlineStr">
        <is>
          <t>72% of this dish's available carbohydrate comes from ingredients with a published, measured GI; the rest uses conventional placeholders (see Ingredients sheet)</t>
        </is>
      </c>
      <c r="Z1201" s="2" t="n">
        <v>72</v>
      </c>
      <c r="AA1201" s="3" t="inlineStr">
        <is>
          <t>gluten-free, nut-free, low-carb, high-protein, high-fiber</t>
        </is>
      </c>
      <c r="AB1201" s="3" t="inlineStr">
        <is>
          <t>1. Grill the chicken with a rub of paste, vinegar and paprika; slice.
2. Toss the romaine, beans, corn and tomatoes.
3. Top with chicken and avocado and drizzle with thinned yogurt.</t>
        </is>
      </c>
      <c r="AC1201" s="4" t="inlineStr">
        <is>
          <t>["Grill the chicken with a rub of paste, vinegar and paprika; slice.", "Toss the romaine, beans, corn and tomatoes.", "Top with chicken and avocado and drizzle with thinned yogurt."]</t>
        </is>
      </c>
    </row>
    <row r="1202" ht="96" customHeight="1">
      <c r="A1202" s="2" t="inlineStr">
        <is>
          <t>DB-1201</t>
        </is>
      </c>
      <c r="B1202" s="3" t="inlineStr">
        <is>
          <t>Loaded Potato Skins with Bacon and Cheddar</t>
        </is>
      </c>
      <c r="C1202" s="4" t="inlineStr">
        <is>
          <t>Snack &amp; Appetizer</t>
        </is>
      </c>
      <c r="D1202" s="4" t="inlineStr">
        <is>
          <t>American</t>
        </is>
      </c>
      <c r="E1202" s="2" t="n">
        <v>4</v>
      </c>
      <c r="F1202" s="2" t="n">
        <v>15</v>
      </c>
      <c r="G1202" s="2" t="n">
        <v>50</v>
      </c>
      <c r="H1202" s="2" t="n">
        <v>65</v>
      </c>
      <c r="I1202" s="4" t="inlineStr">
        <is>
          <t>loaded-potato-skins-with-bacon-and-cheddar.jpg</t>
        </is>
      </c>
      <c r="J1202" s="3" t="inlineStr">
        <is>
          <t>Loaded Potato Skins with Bacon and Cheddar, healthy food photography, plated, natural light</t>
        </is>
      </c>
      <c r="K1202" s="4" t="inlineStr"/>
      <c r="L1202" s="3" t="inlineStr">
        <is>
          <t>Potato, baked, flesh (russet) — 480 g (16.9 oz)
Cheddar cheese — 70 g (2.5 oz)
Bacon — 40 g (1.4 oz)
Greek yogurt, plain 2% — 60 g (2.1 oz)
Green onions (scallions) — 20 g (0.7 oz)
Extra-virgin olive oil — 10 g (0.4 oz)</t>
        </is>
      </c>
      <c r="M1202" s="4" t="inlineStr">
        <is>
          <t>[{"ingredient_id": "potato_baked", "name": "Potato, baked, flesh (russet)", "grams": 480.0, "note": ""}, {"ingredient_id": "cheddar", "name": "Cheddar cheese", "grams": 70.0, "note": ""}, {"ingredient_id": "bacon", "name": "Bacon", "grams": 40.0, "note": ""}, {"ingredient_id": "greek_yogurt", "name": "Greek yogurt, plain 2%", "grams": 60.0, "note": ""}, {"ingredient_id": "green_onion", "name": "Green onions (scallions)", "grams": 20.0, "note": ""}, {"ingredient_id": "olive_oil", "name": "Extra-virgin olive oil", "grams": 10.0, "note": ""}]</t>
        </is>
      </c>
      <c r="N1202" s="2" t="n">
        <v>271</v>
      </c>
      <c r="O1202" s="5" t="n">
        <v>11.7</v>
      </c>
      <c r="P1202" s="5" t="n">
        <v>12.9</v>
      </c>
      <c r="Q1202" s="5" t="n">
        <v>27.1</v>
      </c>
      <c r="R1202" s="5" t="n">
        <v>1.9</v>
      </c>
      <c r="S1202" s="5" t="n">
        <v>25.2</v>
      </c>
      <c r="T1202" s="2" t="n">
        <v>81</v>
      </c>
      <c r="U1202" s="2" t="inlineStr">
        <is>
          <t>high</t>
        </is>
      </c>
      <c r="V1202" s="5" t="n">
        <v>20.4</v>
      </c>
      <c r="W1202" s="2" t="inlineStr">
        <is>
          <t>high</t>
        </is>
      </c>
      <c r="X1202" s="3" t="inlineStr">
        <is>
          <t>Medium-GI dish: keep to the stated portion and pair with the protein/fat in the recipe; GL per serving is the better guide.</t>
        </is>
      </c>
      <c r="Y1202" s="3" t="inlineStr">
        <is>
          <t>98% of this dish's available carbohydrate comes from ingredients with a published, measured GI; the rest uses conventional placeholders (see Ingredients sheet)</t>
        </is>
      </c>
      <c r="Z1202" s="2" t="n">
        <v>98</v>
      </c>
      <c r="AA1202" s="3" t="inlineStr">
        <is>
          <t>gluten-free, nut-free</t>
        </is>
      </c>
      <c r="AB1202" s="3" t="inlineStr">
        <is>
          <t>1. Bake the potatoes, halve and scoop out most of the flesh.
2. Brush the skins with oil and crisp for 10 minutes at 425°F.
3. Fill with cheddar and bacon and melt.
4. Top with yogurt and green onion.</t>
        </is>
      </c>
      <c r="AC1202" s="4" t="inlineStr">
        <is>
          <t>["Bake the potatoes, halve and scoop out most of the flesh.", "Brush the skins with oil and crisp for 10 minutes at 425°F.", "Fill with cheddar and bacon and melt.", "Top with yogurt and green onion."]</t>
        </is>
      </c>
    </row>
    <row r="1203" ht="96" customHeight="1">
      <c r="A1203" s="2" t="inlineStr">
        <is>
          <t>DB-1202</t>
        </is>
      </c>
      <c r="B1203" s="3" t="inlineStr">
        <is>
          <t>Chips with Fresh Salsa and Guacamole</t>
        </is>
      </c>
      <c r="C1203" s="4" t="inlineStr">
        <is>
          <t>Snack &amp; Appetizer</t>
        </is>
      </c>
      <c r="D1203" s="4" t="inlineStr">
        <is>
          <t>Tex-Mex</t>
        </is>
      </c>
      <c r="E1203" s="2" t="n">
        <v>4</v>
      </c>
      <c r="F1203" s="2" t="n">
        <v>10</v>
      </c>
      <c r="G1203" s="2" t="n">
        <v>0</v>
      </c>
      <c r="H1203" s="2" t="n">
        <v>10</v>
      </c>
      <c r="I1203" s="4" t="inlineStr">
        <is>
          <t>chips-with-fresh-salsa-and-guacamole.jpg</t>
        </is>
      </c>
      <c r="J1203" s="3" t="inlineStr">
        <is>
          <t>Chips with Fresh Salsa and Guacamole, healthy food photography, plated, natural light</t>
        </is>
      </c>
      <c r="K1203" s="4" t="inlineStr"/>
      <c r="L1203" s="3" t="inlineStr">
        <is>
          <t>Tortilla chips, plain — 100 g (3.5 oz)
Pico de gallo — 200 g (7.1 oz)
Guacamole — 150 g (5.3 oz)</t>
        </is>
      </c>
      <c r="M1203" s="4" t="inlineStr">
        <is>
          <t>[{"ingredient_id": "tortilla_chips", "name": "Tortilla chips, plain", "grams": 100.0, "note": ""}, {"ingredient_id": "pico_de_gallo", "name": "Pico de gallo", "grams": 200.0, "note": ""}, {"ingredient_id": "guacamole", "name": "Guacamole", "grams": 150.0, "note": ""}]</t>
        </is>
      </c>
      <c r="N1203" s="2" t="n">
        <v>184</v>
      </c>
      <c r="O1203" s="5" t="n">
        <v>3</v>
      </c>
      <c r="P1203" s="5" t="n">
        <v>10.1</v>
      </c>
      <c r="Q1203" s="5" t="n">
        <v>22.4</v>
      </c>
      <c r="R1203" s="5" t="n">
        <v>4.2</v>
      </c>
      <c r="S1203" s="5" t="n">
        <v>18.2</v>
      </c>
      <c r="T1203" s="2" t="n">
        <v>52</v>
      </c>
      <c r="U1203" s="2" t="inlineStr">
        <is>
          <t>low</t>
        </is>
      </c>
      <c r="V1203" s="5" t="n">
        <v>9.5</v>
      </c>
      <c r="W1203" s="2" t="inlineStr">
        <is>
          <t>low</t>
        </is>
      </c>
      <c r="X1203" s="3" t="inlineStr"/>
      <c r="Y1203" s="3" t="inlineStr">
        <is>
          <t>86% of this dish's available carbohydrate comes from ingredients with a published, measured GI; the rest uses conventional placeholders (see Ingredients sheet)</t>
        </is>
      </c>
      <c r="Z1203" s="2" t="n">
        <v>86</v>
      </c>
      <c r="AA1203" s="3" t="inlineStr">
        <is>
          <t>vegan, gluten-free, dairy-free, nut-free, no-cook</t>
        </is>
      </c>
      <c r="AB1203" s="3" t="inlineStr">
        <is>
          <t>1. Serve the chips with pico de gallo and guacamole.</t>
        </is>
      </c>
      <c r="AC1203" s="4" t="inlineStr">
        <is>
          <t>["Serve the chips with pico de gallo and guacamole."]</t>
        </is>
      </c>
    </row>
    <row r="1204" ht="96" customHeight="1">
      <c r="A1204" s="2" t="inlineStr">
        <is>
          <t>DB-1203</t>
        </is>
      </c>
      <c r="B1204" s="3" t="inlineStr">
        <is>
          <t>Turkey and Cheese Roll-Ups</t>
        </is>
      </c>
      <c r="C1204" s="4" t="inlineStr">
        <is>
          <t>Snack &amp; Appetizer</t>
        </is>
      </c>
      <c r="D1204" s="4" t="inlineStr">
        <is>
          <t>American</t>
        </is>
      </c>
      <c r="E1204" s="2" t="n">
        <v>4</v>
      </c>
      <c r="F1204" s="2" t="n">
        <v>10</v>
      </c>
      <c r="G1204" s="2" t="n">
        <v>0</v>
      </c>
      <c r="H1204" s="2" t="n">
        <v>10</v>
      </c>
      <c r="I1204" s="4" t="inlineStr">
        <is>
          <t>turkey-and-cheese-roll-ups.jpg</t>
        </is>
      </c>
      <c r="J1204" s="3" t="inlineStr">
        <is>
          <t>Turkey and Cheese Roll-Ups, healthy food photography, plated, natural light</t>
        </is>
      </c>
      <c r="K1204" s="4" t="inlineStr"/>
      <c r="L1204" s="3" t="inlineStr">
        <is>
          <t>Deli turkey breast, low sodium — 200 g (7.1 oz)
Swiss cheese — 80 g (2.8 oz)
Dill pickles — 60 g (2.1 oz)
Yellow mustard — 10 g (0.4 oz)
Romaine lettuce — 40 g (1.4 oz)</t>
        </is>
      </c>
      <c r="M1204" s="4" t="inlineStr">
        <is>
          <t>[{"ingredient_id": "deli_turkey", "name": "Deli turkey breast, low sodium", "grams": 200.0, "note": ""}, {"ingredient_id": "swiss_cheese", "name": "Swiss cheese", "grams": 80.0, "note": ""}, {"ingredient_id": "dill_pickle", "name": "Dill pickles", "grams": 60.0, "note": ""}, {"ingredient_id": "yellow_mustard", "name": "Yellow mustard", "grams": 10.0, "note": ""}, {"ingredient_id": "romaine", "name": "Romaine lettuce", "grams": 40.0, "note": ""}]</t>
        </is>
      </c>
      <c r="N1204" s="2" t="n">
        <v>133</v>
      </c>
      <c r="O1204" s="5" t="n">
        <v>14.2</v>
      </c>
      <c r="P1204" s="5" t="n">
        <v>6.5</v>
      </c>
      <c r="Q1204" s="5" t="n">
        <v>3.1</v>
      </c>
      <c r="R1204" s="5" t="n">
        <v>0.5</v>
      </c>
      <c r="S1204" s="5" t="n">
        <v>2.6</v>
      </c>
      <c r="T1204" s="2" t="n">
        <v>2</v>
      </c>
      <c r="U1204" s="2" t="inlineStr">
        <is>
          <t>low</t>
        </is>
      </c>
      <c r="V1204" s="5" t="n">
        <v>0.1</v>
      </c>
      <c r="W1204" s="2" t="inlineStr">
        <is>
          <t>low</t>
        </is>
      </c>
      <c r="X1204" s="3" t="inlineStr">
        <is>
          <t>Negligible carbohydrate (&lt;5 g net/serving): GI has little practical meaning, glycemic load is what matters.</t>
        </is>
      </c>
      <c r="Y1204" s="3" t="inlineStr">
        <is>
          <t>0% of this dish's available carbohydrate comes from ingredients with a published, measured GI; the rest uses conventional placeholders (see Ingredients sheet)</t>
        </is>
      </c>
      <c r="Z1204" s="2" t="n">
        <v>0</v>
      </c>
      <c r="AA1204" s="3" t="inlineStr">
        <is>
          <t>gluten-free, nut-free, low-carb, no-cook</t>
        </is>
      </c>
      <c r="AB1204" s="3" t="inlineStr">
        <is>
          <t>1. Spread the turkey with mustard.
2. Add Swiss, pickle and lettuce.
3. Roll tight and slice.</t>
        </is>
      </c>
      <c r="AC1204" s="4" t="inlineStr">
        <is>
          <t>["Spread the turkey with mustard.", "Add Swiss, pickle and lettuce.", "Roll tight and slice."]</t>
        </is>
      </c>
    </row>
    <row r="1205" ht="96" customHeight="1">
      <c r="A1205" s="2" t="inlineStr">
        <is>
          <t>DB-1204</t>
        </is>
      </c>
      <c r="B1205" s="3" t="inlineStr">
        <is>
          <t>Baked Pepper Jack Quesadilla Wedges</t>
        </is>
      </c>
      <c r="C1205" s="4" t="inlineStr">
        <is>
          <t>Snack &amp; Appetizer</t>
        </is>
      </c>
      <c r="D1205" s="4" t="inlineStr">
        <is>
          <t>Tex-Mex</t>
        </is>
      </c>
      <c r="E1205" s="2" t="n">
        <v>4</v>
      </c>
      <c r="F1205" s="2" t="n">
        <v>5</v>
      </c>
      <c r="G1205" s="2" t="n">
        <v>10</v>
      </c>
      <c r="H1205" s="2" t="n">
        <v>15</v>
      </c>
      <c r="I1205" s="4" t="inlineStr">
        <is>
          <t>baked-pepper-jack-quesadilla-wedges.jpg</t>
        </is>
      </c>
      <c r="J1205" s="3" t="inlineStr">
        <is>
          <t>Baked Pepper Jack Quesadilla Wedges, healthy food photography, plated, natural light</t>
        </is>
      </c>
      <c r="K1205" s="4" t="inlineStr"/>
      <c r="L1205" s="3" t="inlineStr">
        <is>
          <t>Flour tortilla, 8-inch — 160 g (5.6 oz)
Pepper jack cheese — 100 g (3.5 oz)
Diced green chiles, canned — 60 g (2.1 oz)
Salsa, no sugar added — 100 g (3.5 oz)</t>
        </is>
      </c>
      <c r="M1205" s="4" t="inlineStr">
        <is>
          <t>[{"ingredient_id": "flour_tortilla", "name": "Flour tortilla, 8-inch", "grams": 160.0, "note": ""}, {"ingredient_id": "pepper_jack", "name": "Pepper jack cheese", "grams": 100.0, "note": ""}, {"ingredient_id": "green_chiles", "name": "Diced green chiles, canned", "grams": 60.0, "note": ""}, {"ingredient_id": "salsa", "name": "Salsa, no sugar added", "grams": 100.0, "note": ""}]</t>
        </is>
      </c>
      <c r="N1205" s="2" t="n">
        <v>229</v>
      </c>
      <c r="O1205" s="5" t="n">
        <v>9.800000000000001</v>
      </c>
      <c r="P1205" s="5" t="n">
        <v>10.8</v>
      </c>
      <c r="Q1205" s="5" t="n">
        <v>22.6</v>
      </c>
      <c r="R1205" s="5" t="n">
        <v>2</v>
      </c>
      <c r="S1205" s="5" t="n">
        <v>20.6</v>
      </c>
      <c r="T1205" s="2" t="n">
        <v>33</v>
      </c>
      <c r="U1205" s="2" t="inlineStr">
        <is>
          <t>low</t>
        </is>
      </c>
      <c r="V1205" s="5" t="n">
        <v>6.8</v>
      </c>
      <c r="W1205" s="2" t="inlineStr">
        <is>
          <t>low</t>
        </is>
      </c>
      <c r="X1205" s="3" t="inlineStr"/>
      <c r="Y1205" s="3" t="inlineStr">
        <is>
          <t>89% of this dish's available carbohydrate comes from ingredients with a published, measured GI; the rest uses conventional placeholders (see Ingredients sheet)</t>
        </is>
      </c>
      <c r="Z1205" s="2" t="n">
        <v>89</v>
      </c>
      <c r="AA1205" s="3" t="inlineStr">
        <is>
          <t>vegetarian, nut-free</t>
        </is>
      </c>
      <c r="AB1205" s="3" t="inlineStr">
        <is>
          <t>1. Fill half of each tortilla with pepper jack and chiles.
2. Fold and crisp in a pan.
3. Cut into wedges and serve with salsa.</t>
        </is>
      </c>
      <c r="AC1205" s="4" t="inlineStr">
        <is>
          <t>["Fill half of each tortilla with pepper jack and chiles.", "Fold and crisp in a pan.", "Cut into wedges and serve with salsa."]</t>
        </is>
      </c>
    </row>
    <row r="1206" ht="96" customHeight="1">
      <c r="A1206" s="2" t="inlineStr">
        <is>
          <t>DB-1205</t>
        </is>
      </c>
      <c r="B1206" s="3" t="inlineStr">
        <is>
          <t>Bagel Chips with Hummus</t>
        </is>
      </c>
      <c r="C1206" s="4" t="inlineStr">
        <is>
          <t>Snack &amp; Appetizer</t>
        </is>
      </c>
      <c r="D1206" s="4" t="inlineStr">
        <is>
          <t>American</t>
        </is>
      </c>
      <c r="E1206" s="2" t="n">
        <v>4</v>
      </c>
      <c r="F1206" s="2" t="n">
        <v>5</v>
      </c>
      <c r="G1206" s="2" t="n">
        <v>12</v>
      </c>
      <c r="H1206" s="2" t="n">
        <v>17</v>
      </c>
      <c r="I1206" s="4" t="inlineStr">
        <is>
          <t>bagel-chips-with-hummus.jpg</t>
        </is>
      </c>
      <c r="J1206" s="3" t="inlineStr">
        <is>
          <t>Bagel Chips with Hummus, healthy food photography, plated, natural light</t>
        </is>
      </c>
      <c r="K1206" s="4" t="inlineStr"/>
      <c r="L1206" s="3" t="inlineStr">
        <is>
          <t>Bagel, plain — 100 g (3.5 oz)
Hummus — 120 g (4.2 oz)
Extra-virgin olive oil — 10 g (0.4 oz)
Garlic powder — 1 g (0.0 oz)
Cucumber — 100 g (3.5 oz)</t>
        </is>
      </c>
      <c r="M1206" s="4" t="inlineStr">
        <is>
          <t>[{"ingredient_id": "bagel", "name": "Bagel, plain", "grams": 100.0, "note": ""}, {"ingredient_id": "hummus", "name": "Hummus", "grams": 120.0, "note": ""}, {"ingredient_id": "olive_oil", "name": "Extra-virgin olive oil", "grams": 10.0, "note": ""}, {"ingredient_id": "garlic_powder", "name": "Garlic powder", "grams": 1.0, "note": ""}, {"ingredient_id": "cucumber", "name": "Cucumber", "grams": 100.0, "note": ""}]</t>
        </is>
      </c>
      <c r="N1206" s="2" t="n">
        <v>142</v>
      </c>
      <c r="O1206" s="5" t="n">
        <v>5.3</v>
      </c>
      <c r="P1206" s="5" t="n">
        <v>5.7</v>
      </c>
      <c r="Q1206" s="5" t="n">
        <v>18.4</v>
      </c>
      <c r="R1206" s="5" t="n">
        <v>2.3</v>
      </c>
      <c r="S1206" s="5" t="n">
        <v>16</v>
      </c>
      <c r="T1206" s="2" t="n">
        <v>63</v>
      </c>
      <c r="U1206" s="2" t="inlineStr">
        <is>
          <t>medium</t>
        </is>
      </c>
      <c r="V1206" s="5" t="n">
        <v>10.1</v>
      </c>
      <c r="W1206" s="2" t="inlineStr">
        <is>
          <t>medium</t>
        </is>
      </c>
      <c r="X1206" s="3" t="inlineStr">
        <is>
          <t>Medium-GI dish: keep to the stated portion and pair with the protein/fat in the recipe; GL per serving is the better guide.</t>
        </is>
      </c>
      <c r="Y1206" s="3" t="inlineStr">
        <is>
          <t>94% of this dish's available carbohydrate comes from ingredients with a published, measured GI; the rest uses conventional placeholders (see Ingredients sheet)</t>
        </is>
      </c>
      <c r="Z1206" s="2" t="n">
        <v>94</v>
      </c>
      <c r="AA1206" s="3" t="inlineStr">
        <is>
          <t>vegan, dairy-free, nut-free</t>
        </is>
      </c>
      <c r="AB1206" s="3" t="inlineStr">
        <is>
          <t>1. Slice the bagel thin, brush with oil and garlic powder.
2. Bake at 375°F for 10 to 12 minutes.
3. Serve with hummus and cucumber.</t>
        </is>
      </c>
      <c r="AC1206" s="4" t="inlineStr">
        <is>
          <t>["Slice the bagel thin, brush with oil and garlic powder.", "Bake at 375°F for 10 to 12 minutes.", "Serve with hummus and cucumber."]</t>
        </is>
      </c>
    </row>
    <row r="1207" ht="96" customHeight="1">
      <c r="A1207" s="2" t="inlineStr">
        <is>
          <t>DB-1206</t>
        </is>
      </c>
      <c r="B1207" s="3" t="inlineStr">
        <is>
          <t>Cheese and Fruit Snack Plate</t>
        </is>
      </c>
      <c r="C1207" s="4" t="inlineStr">
        <is>
          <t>Snack &amp; Appetizer</t>
        </is>
      </c>
      <c r="D1207" s="4" t="inlineStr">
        <is>
          <t>American</t>
        </is>
      </c>
      <c r="E1207" s="2" t="n">
        <v>2</v>
      </c>
      <c r="F1207" s="2" t="n">
        <v>5</v>
      </c>
      <c r="G1207" s="2" t="n">
        <v>0</v>
      </c>
      <c r="H1207" s="2" t="n">
        <v>5</v>
      </c>
      <c r="I1207" s="4" t="inlineStr">
        <is>
          <t>cheese-and-fruit-snack-plate.jpg</t>
        </is>
      </c>
      <c r="J1207" s="3" t="inlineStr">
        <is>
          <t>Cheese and Fruit Snack Plate, healthy food photography, plated, natural light</t>
        </is>
      </c>
      <c r="K1207" s="4" t="inlineStr"/>
      <c r="L1207" s="3" t="inlineStr">
        <is>
          <t>Cheddar cheese — 50 g (1.8 oz)
Swiss cheese — 30 g (1.1 oz)
Apple — 150 g (5.3 oz)
Almonds — 20 g (0.7 oz)
Whole grain seed crackers — 30 g (1.1 oz)</t>
        </is>
      </c>
      <c r="M1207" s="4" t="inlineStr">
        <is>
          <t>[{"ingredient_id": "cheddar", "name": "Cheddar cheese", "grams": 50.0, "note": ""}, {"ingredient_id": "swiss_cheese", "name": "Swiss cheese", "grams": 30.0, "note": ""}, {"ingredient_id": "apple", "name": "Apple", "grams": 150.0, "note": ""}, {"ingredient_id": "almonds", "name": "Almonds", "grams": 20.0, "note": ""}, {"ingredient_id": "whole_grain_crackers", "name": "Whole grain seed crackers", "grams": 30.0, "note": ""}]</t>
        </is>
      </c>
      <c r="N1207" s="2" t="n">
        <v>318</v>
      </c>
      <c r="O1207" s="5" t="n">
        <v>13.6</v>
      </c>
      <c r="P1207" s="5" t="n">
        <v>19.7</v>
      </c>
      <c r="Q1207" s="5" t="n">
        <v>23.1</v>
      </c>
      <c r="R1207" s="5" t="n">
        <v>4.5</v>
      </c>
      <c r="S1207" s="5" t="n">
        <v>18.6</v>
      </c>
      <c r="T1207" s="2" t="n">
        <v>42</v>
      </c>
      <c r="U1207" s="2" t="inlineStr">
        <is>
          <t>low</t>
        </is>
      </c>
      <c r="V1207" s="5" t="n">
        <v>7.8</v>
      </c>
      <c r="W1207" s="2" t="inlineStr">
        <is>
          <t>low</t>
        </is>
      </c>
      <c r="X1207" s="3" t="inlineStr"/>
      <c r="Y1207" s="3" t="inlineStr">
        <is>
          <t>92% of this dish's available carbohydrate comes from ingredients with a published, measured GI; the rest uses conventional placeholders (see Ingredients sheet)</t>
        </is>
      </c>
      <c r="Z1207" s="2" t="n">
        <v>92</v>
      </c>
      <c r="AA1207" s="3" t="inlineStr">
        <is>
          <t>vegetarian, no-cook</t>
        </is>
      </c>
      <c r="AB1207" s="3" t="inlineStr">
        <is>
          <t>1. Slice the cheeses and apple.
2. Arrange with the almonds and crackers.</t>
        </is>
      </c>
      <c r="AC1207" s="4" t="inlineStr">
        <is>
          <t>["Slice the cheeses and apple.", "Arrange with the almonds and crackers."]</t>
        </is>
      </c>
    </row>
    <row r="1208" ht="96" customHeight="1">
      <c r="A1208" s="2" t="inlineStr">
        <is>
          <t>DB-1207</t>
        </is>
      </c>
      <c r="B1208" s="3" t="inlineStr">
        <is>
          <t>Smothered Pork Chops with Rice</t>
        </is>
      </c>
      <c r="C1208" s="4" t="inlineStr">
        <is>
          <t>Beef, Pork &amp; Lamb</t>
        </is>
      </c>
      <c r="D1208" s="4" t="inlineStr">
        <is>
          <t>American</t>
        </is>
      </c>
      <c r="E1208" s="2" t="n">
        <v>4</v>
      </c>
      <c r="F1208" s="2" t="n">
        <v>10</v>
      </c>
      <c r="G1208" s="2" t="n">
        <v>35</v>
      </c>
      <c r="H1208" s="2" t="n">
        <v>45</v>
      </c>
      <c r="I1208" s="4" t="inlineStr">
        <is>
          <t>smothered-pork-chops-with-rice.jpg</t>
        </is>
      </c>
      <c r="J1208" s="3" t="inlineStr">
        <is>
          <t>Smothered Pork Chops with Rice, healthy food photography, plated, natural light</t>
        </is>
      </c>
      <c r="K1208" s="4" t="inlineStr"/>
      <c r="L1208" s="3" t="inlineStr">
        <is>
          <t>Pork loin chop, trimmed — 600 g (21.2 oz)
White rice, long-grain, cooked — 360 g (12.7 oz)
Yellow onion — 150 g (5.3 oz)
Mushrooms (cremini/white) — 150 g (5.3 oz)
Chicken broth, low sodium — 250 g (8.8 oz)
Milk, 2% — 80 g (2.8 oz)
Paprika — 3 g (0.1 oz)
Garlic powder — 3 g (0.1 oz)
Extra-virgin olive oil — 15 g (0.5 oz)</t>
        </is>
      </c>
      <c r="M1208" s="4" t="inlineStr">
        <is>
          <t>[{"ingredient_id": "pork_chop", "name": "Pork loin chop, trimmed", "grams": 600.0, "note": ""}, {"ingredient_id": "white_rice", "name": "White rice, long-grain, cooked", "grams": 360.0, "note": ""}, {"ingredient_id": "onion", "name": "Yellow onion", "grams": 150.0, "note": ""}, {"ingredient_id": "mushrooms", "name": "Mushrooms (cremini/white)", "grams": 150.0, "note": ""}, {"ingredient_id": "chicken_broth", "name": "Chicken broth, low sodium", "grams": 250.0, "note": ""}, {"ingredient_id": "milk", "name": "Milk, 2%", "grams": 80.0, "note": ""}, {"ingredient_id": "paprika", "name": "Paprika", "grams": 3.0, "note": ""}, {"ingredient_id": "garlic_powder", "name": "Garlic powder", "grams": 3.0, "note": ""}, {"ingredient_id": "olive_oil", "name": "Extra-virgin olive oil", "grams": 15.0, "note": ""}]</t>
        </is>
      </c>
      <c r="N1208" s="2" t="n">
        <v>416</v>
      </c>
      <c r="O1208" s="5" t="n">
        <v>38.5</v>
      </c>
      <c r="P1208" s="5" t="n">
        <v>14.5</v>
      </c>
      <c r="Q1208" s="5" t="n">
        <v>32.1</v>
      </c>
      <c r="R1208" s="5" t="n">
        <v>1.7</v>
      </c>
      <c r="S1208" s="5" t="n">
        <v>30.4</v>
      </c>
      <c r="T1208" s="2" t="n">
        <v>66</v>
      </c>
      <c r="U1208" s="2" t="inlineStr">
        <is>
          <t>medium</t>
        </is>
      </c>
      <c r="V1208" s="5" t="n">
        <v>20.1</v>
      </c>
      <c r="W1208" s="2" t="inlineStr">
        <is>
          <t>high</t>
        </is>
      </c>
      <c r="X1208" s="3" t="inlineStr">
        <is>
          <t>Medium-GI dish: keep to the stated portion and pair with the protein/fat in the recipe; GL per serving is the better guide.</t>
        </is>
      </c>
      <c r="Y1208" s="3" t="inlineStr">
        <is>
          <t>85% of this dish's available carbohydrate comes from ingredients with a published, measured GI; the rest uses conventional placeholders (see Ingredients sheet)</t>
        </is>
      </c>
      <c r="Z1208" s="2" t="n">
        <v>85</v>
      </c>
      <c r="AA1208" s="3" t="inlineStr">
        <is>
          <t>gluten-free, nut-free, high-protein</t>
        </is>
      </c>
      <c r="AB1208" s="3" t="inlineStr">
        <is>
          <t>1. Season the chops and sear in oil.
2. Cook the onion and mushrooms in the pan, add broth and milk and simmer to a gravy.
3. Return the chops and simmer 15 minutes.
4. Serve over the rice.</t>
        </is>
      </c>
      <c r="AC1208" s="4" t="inlineStr">
        <is>
          <t>["Season the chops and sear in oil.", "Cook the onion and mushrooms in the pan, add broth and milk and simmer to a gravy.", "Return the chops and simmer 15 minutes.", "Serve over the rice."]</t>
        </is>
      </c>
    </row>
    <row r="1209" ht="96" customHeight="1">
      <c r="A1209" s="2" t="inlineStr">
        <is>
          <t>DB-1208</t>
        </is>
      </c>
      <c r="B1209" s="3" t="inlineStr">
        <is>
          <t>Oven BBQ Chicken Thighs with Slaw and Beans</t>
        </is>
      </c>
      <c r="C1209" s="4" t="inlineStr">
        <is>
          <t>Poultry</t>
        </is>
      </c>
      <c r="D1209" s="4" t="inlineStr">
        <is>
          <t>American</t>
        </is>
      </c>
      <c r="E1209" s="2" t="n">
        <v>4</v>
      </c>
      <c r="F1209" s="2" t="n">
        <v>15</v>
      </c>
      <c r="G1209" s="2" t="n">
        <v>40</v>
      </c>
      <c r="H1209" s="2" t="n">
        <v>55</v>
      </c>
      <c r="I1209" s="4" t="inlineStr">
        <is>
          <t>oven-bbq-chicken-thighs-with-slaw-and-beans.jpg</t>
        </is>
      </c>
      <c r="J1209" s="3" t="inlineStr">
        <is>
          <t>Oven BBQ Chicken Thighs with Slaw and Beans, healthy food photography, plated, natural light</t>
        </is>
      </c>
      <c r="K1209" s="4" t="inlineStr"/>
      <c r="L1209" s="3" t="inlineStr">
        <is>
          <t>Chicken thigh, skinless boneless — 700 g (24.7 oz)
Tomato paste — 60 g (2.1 oz)
Apple cider vinegar — 40 g (1.4 oz)
Smoked paprika — 4 g (0.1 oz)
Garlic powder — 3 g (0.1 oz)
Monk fruit/erythritol sweetener — 6 g (0.2 oz)
Coleslaw mix (cabbage &amp; carrot) — 240 g (8.5 oz)
Greek yogurt, plain 2% — 60 g (2.1 oz)
Navy beans, cooked — 300 g (10.6 oz)</t>
        </is>
      </c>
      <c r="M1209" s="4" t="inlineStr">
        <is>
          <t>[{"ingredient_id": "chicken_thigh", "name": "Chicken thigh, skinless boneless", "grams": 700.0, "note": ""}, {"ingredient_id": "tomato_paste", "name": "Tomato paste", "grams": 60.0, "note": ""}, {"ingredient_id": "apple_cider_vinegar", "name": "Apple cider vinegar", "grams": 40.0, "note": ""}, {"ingredient_id": "smoked_paprika", "name": "Smoked paprika", "grams": 4.0, "note": ""}, {"ingredient_id": "garlic_powder", "name": "Garlic powder", "grams": 3.0, "note": ""}, {"ingredient_id": "monk_fruit_sweetener", "name": "Monk fruit/erythritol sweetener", "grams": 6.0, "note": ""}, {"ingredient_id": "coleslaw_mix", "name": "Coleslaw mix (cabbage &amp; carrot)", "grams": 240.0, "note": ""}, {"ingredient_id": "greek_yogurt", "name": "Greek yogurt, plain 2%", "grams": 60.0, "note": ""}, {"ingredient_id": "navy_beans", "name": "Navy beans, cooked", "grams": 300.0, "note": ""}]</t>
        </is>
      </c>
      <c r="N1209" s="2" t="n">
        <v>364</v>
      </c>
      <c r="O1209" s="5" t="n">
        <v>43.8</v>
      </c>
      <c r="P1209" s="5" t="n">
        <v>8.199999999999999</v>
      </c>
      <c r="Q1209" s="5" t="n">
        <v>27.7</v>
      </c>
      <c r="R1209" s="5" t="n">
        <v>10.3</v>
      </c>
      <c r="S1209" s="5" t="n">
        <v>17.4</v>
      </c>
      <c r="T1209" s="2" t="n">
        <v>28</v>
      </c>
      <c r="U1209" s="2" t="inlineStr">
        <is>
          <t>low</t>
        </is>
      </c>
      <c r="V1209" s="5" t="n">
        <v>4.9</v>
      </c>
      <c r="W1209" s="2" t="inlineStr">
        <is>
          <t>low</t>
        </is>
      </c>
      <c r="X1209" s="3" t="inlineStr"/>
      <c r="Y1209" s="3" t="inlineStr">
        <is>
          <t>3% of this dish's available carbohydrate comes from ingredients with a published, measured GI; the rest uses conventional placeholders (see Ingredients sheet)</t>
        </is>
      </c>
      <c r="Z1209" s="2" t="n">
        <v>3</v>
      </c>
      <c r="AA1209" s="3" t="inlineStr">
        <is>
          <t>gluten-free, nut-free, high-protein, high-fiber</t>
        </is>
      </c>
      <c r="AB1209" s="3" t="inlineStr">
        <is>
          <t>1. Whisk the paste, vinegar, paprika, garlic powder and sweetener into a sauce.
2. Coat the chicken and roast at 425°F for 35 minutes.
3. Toss the slaw with the yogurt.
4. Serve with warmed beans.</t>
        </is>
      </c>
      <c r="AC1209" s="4" t="inlineStr">
        <is>
          <t>["Whisk the paste, vinegar, paprika, garlic powder and sweetener into a sauce.", "Coat the chicken and roast at 425°F for 35 minutes.", "Toss the slaw with the yogurt.", "Serve with warmed beans."]</t>
        </is>
      </c>
    </row>
    <row r="1210" ht="96" customHeight="1">
      <c r="A1210" s="2" t="inlineStr">
        <is>
          <t>DB-1209</t>
        </is>
      </c>
      <c r="B1210" s="3" t="inlineStr">
        <is>
          <t>Slow Cooker Beef Chili with Beans</t>
        </is>
      </c>
      <c r="C1210" s="4" t="inlineStr">
        <is>
          <t>Soup &amp; Stew</t>
        </is>
      </c>
      <c r="D1210" s="4" t="inlineStr">
        <is>
          <t>American</t>
        </is>
      </c>
      <c r="E1210" s="2" t="n">
        <v>8</v>
      </c>
      <c r="F1210" s="2" t="n">
        <v>15</v>
      </c>
      <c r="G1210" s="2" t="n">
        <v>360</v>
      </c>
      <c r="H1210" s="2" t="n">
        <v>375</v>
      </c>
      <c r="I1210" s="4" t="inlineStr">
        <is>
          <t>slow-cooker-beef-chili-with-beans.jpg</t>
        </is>
      </c>
      <c r="J1210" s="3" t="inlineStr">
        <is>
          <t>Slow Cooker Beef Chili with Beans, healthy food photography, plated, natural light</t>
        </is>
      </c>
      <c r="K1210" s="4" t="inlineStr"/>
      <c r="L1210" s="3" t="inlineStr">
        <is>
          <t>Ground beef 90% lean — 700 g (24.7 oz)
Kidney beans, cooked — 400 g (14.1 oz)
Pinto beans, cooked — 300 g (10.6 oz)
Diced tomatoes, canned — 800 g (28.2 oz)
Tomato paste — 60 g (2.1 oz)
Yellow onion — 200 g (7.1 oz)
Chili powder — 15 g (0.5 oz)
Ground cumin — 5 g (0.2 oz)
Garlic — 10 g (0.4 oz)
Beef broth, low sodium — 300 g (10.6 oz)</t>
        </is>
      </c>
      <c r="M1210" s="4" t="inlineStr">
        <is>
          <t>[{"ingredient_id": "ground_beef", "name": "Ground beef 90% lean", "grams": 700.0, "note": ""}, {"ingredient_id": "kidney_beans", "name": "Kidney beans, cooked", "grams": 400.0, "note": ""}, {"ingredient_id": "pinto_beans", "name": "Pinto beans, cooked", "grams": 300.0, "note": ""}, {"ingredient_id": "diced_tomatoes", "name": "Diced tomatoes, canned", "grams": 800.0, "note": ""}, {"ingredient_id": "tomato_paste", "name": "Tomato paste", "grams": 60.0, "note": ""}, {"ingredient_id": "onion", "name": "Yellow onion", "grams": 200.0, "note": ""}, {"ingredient_id": "chili_powder", "name": "Chili powder", "grams": 15.0, "note": ""}, {"ingredient_id": "cumin", "name": "Ground cumin", "grams": 5.0, "note": ""}, {"ingredient_id": "garlic", "name": "Garlic", "grams": 10.0, "note": ""}, {"ingredient_id": "beef_broth", "name": "Beef broth, low sodium", "grams": 300.0, "note": ""}]</t>
        </is>
      </c>
      <c r="N1210" s="2" t="n">
        <v>323</v>
      </c>
      <c r="O1210" s="5" t="n">
        <v>28</v>
      </c>
      <c r="P1210" s="5" t="n">
        <v>10</v>
      </c>
      <c r="Q1210" s="5" t="n">
        <v>31.7</v>
      </c>
      <c r="R1210" s="5" t="n">
        <v>9.5</v>
      </c>
      <c r="S1210" s="5" t="n">
        <v>22.1</v>
      </c>
      <c r="T1210" s="2" t="n">
        <v>32</v>
      </c>
      <c r="U1210" s="2" t="inlineStr">
        <is>
          <t>low</t>
        </is>
      </c>
      <c r="V1210" s="5" t="n">
        <v>7.1</v>
      </c>
      <c r="W1210" s="2" t="inlineStr">
        <is>
          <t>low</t>
        </is>
      </c>
      <c r="X1210" s="3" t="inlineStr"/>
      <c r="Y1210" s="3" t="inlineStr">
        <is>
          <t>66% of this dish's available carbohydrate comes from ingredients with a published, measured GI; the rest uses conventional placeholders (see Ingredients sheet)</t>
        </is>
      </c>
      <c r="Z1210" s="2" t="n">
        <v>66</v>
      </c>
      <c r="AA1210" s="3" t="inlineStr">
        <is>
          <t>gluten-free, dairy-free, nut-free, high-protein, high-fiber, slow-cooker</t>
        </is>
      </c>
      <c r="AB1210" s="3" t="inlineStr">
        <is>
          <t>1. Brown the beef with the onion.
2. Put everything in the slow cooker.
3. Cook on low 6 hours.</t>
        </is>
      </c>
      <c r="AC1210" s="4" t="inlineStr">
        <is>
          <t>["Brown the beef with the onion.", "Put everything in the slow cooker.", "Cook on low 6 hours."]</t>
        </is>
      </c>
    </row>
    <row r="1211" ht="96" customHeight="1">
      <c r="A1211" s="2" t="inlineStr">
        <is>
          <t>DB-1210</t>
        </is>
      </c>
      <c r="B1211" s="3" t="inlineStr">
        <is>
          <t>Chili Cheese Baked Potato</t>
        </is>
      </c>
      <c r="C1211" s="4" t="inlineStr">
        <is>
          <t>Beef, Pork &amp; Lamb</t>
        </is>
      </c>
      <c r="D1211" s="4" t="inlineStr">
        <is>
          <t>American</t>
        </is>
      </c>
      <c r="E1211" s="2" t="n">
        <v>3</v>
      </c>
      <c r="F1211" s="2" t="n">
        <v>10</v>
      </c>
      <c r="G1211" s="2" t="n">
        <v>60</v>
      </c>
      <c r="H1211" s="2" t="n">
        <v>70</v>
      </c>
      <c r="I1211" s="4" t="inlineStr">
        <is>
          <t>chili-cheese-baked-potato.jpg</t>
        </is>
      </c>
      <c r="J1211" s="3" t="inlineStr">
        <is>
          <t>Chili Cheese Baked Potato, healthy food photography, plated, natural light</t>
        </is>
      </c>
      <c r="K1211" s="4" t="inlineStr"/>
      <c r="L1211" s="3" t="inlineStr">
        <is>
          <t>Potato, baked, flesh (russet) — 450 g (15.9 oz)
Ground beef 90% lean — 250 g (8.8 oz)
Kidney beans, cooked — 150 g (5.3 oz)
Diced tomatoes, canned — 200 g (7.1 oz)
Chili powder — 6 g (0.2 oz)
Cheddar cheese — 60 g (2.1 oz)
Yellow onion — 60 g (2.1 oz)</t>
        </is>
      </c>
      <c r="M1211" s="4" t="inlineStr">
        <is>
          <t>[{"ingredient_id": "potato_baked", "name": "Potato, baked, flesh (russet)", "grams": 450.0, "note": ""}, {"ingredient_id": "ground_beef", "name": "Ground beef 90% lean", "grams": 250.0, "note": ""}, {"ingredient_id": "kidney_beans", "name": "Kidney beans, cooked", "grams": 150.0, "note": ""}, {"ingredient_id": "diced_tomatoes", "name": "Diced tomatoes, canned", "grams": 200.0, "note": ""}, {"ingredient_id": "chili_powder", "name": "Chili powder", "grams": 6.0, "note": ""}, {"ingredient_id": "cheddar", "name": "Cheddar cheese", "grams": 60.0, "note": ""}, {"ingredient_id": "onion", "name": "Yellow onion", "grams": 60.0, "note": ""}]</t>
        </is>
      </c>
      <c r="N1211" s="2" t="n">
        <v>460</v>
      </c>
      <c r="O1211" s="5" t="n">
        <v>29.8</v>
      </c>
      <c r="P1211" s="5" t="n">
        <v>15.8</v>
      </c>
      <c r="Q1211" s="5" t="n">
        <v>50.1</v>
      </c>
      <c r="R1211" s="5" t="n">
        <v>7.5</v>
      </c>
      <c r="S1211" s="5" t="n">
        <v>42.6</v>
      </c>
      <c r="T1211" s="2" t="n">
        <v>69</v>
      </c>
      <c r="U1211" s="2" t="inlineStr">
        <is>
          <t>medium</t>
        </is>
      </c>
      <c r="V1211" s="5" t="n">
        <v>29.4</v>
      </c>
      <c r="W1211" s="2" t="inlineStr">
        <is>
          <t>high</t>
        </is>
      </c>
      <c r="X1211" s="3" t="inlineStr">
        <is>
          <t>Medium-GI dish: keep to the stated portion and pair with the protein/fat in the recipe; GL per serving is the better guide.</t>
        </is>
      </c>
      <c r="Y1211" s="3" t="inlineStr">
        <is>
          <t>90% of this dish's available carbohydrate comes from ingredients with a published, measured GI; the rest uses conventional placeholders (see Ingredients sheet)</t>
        </is>
      </c>
      <c r="Z1211" s="2" t="n">
        <v>90</v>
      </c>
      <c r="AA1211" s="3" t="inlineStr">
        <is>
          <t>gluten-free, nut-free, high-protein, high-fiber</t>
        </is>
      </c>
      <c r="AB1211" s="3" t="inlineStr">
        <is>
          <t>1. Bake the potatoes until tender.
2. Brown the beef with onion and chili powder; add tomatoes and beans and simmer 15 minutes.
3. Split the potatoes and top with chili and cheddar.</t>
        </is>
      </c>
      <c r="AC1211" s="4" t="inlineStr">
        <is>
          <t>["Bake the potatoes until tender.", "Brown the beef with onion and chili powder; add tomatoes and beans and simmer 15 minutes.", "Split the potatoes and top with chili and cheddar."]</t>
        </is>
      </c>
    </row>
    <row r="1212" ht="96" customHeight="1">
      <c r="A1212" s="2" t="inlineStr">
        <is>
          <t>DB-1211</t>
        </is>
      </c>
      <c r="B1212" s="3" t="inlineStr">
        <is>
          <t>Turkey Chili Dogs</t>
        </is>
      </c>
      <c r="C1212" s="4" t="inlineStr">
        <is>
          <t>Sandwiches &amp; Wraps</t>
        </is>
      </c>
      <c r="D1212" s="4" t="inlineStr">
        <is>
          <t>American</t>
        </is>
      </c>
      <c r="E1212" s="2" t="n">
        <v>4</v>
      </c>
      <c r="F1212" s="2" t="n">
        <v>10</v>
      </c>
      <c r="G1212" s="2" t="n">
        <v>20</v>
      </c>
      <c r="H1212" s="2" t="n">
        <v>30</v>
      </c>
      <c r="I1212" s="4" t="inlineStr">
        <is>
          <t>turkey-chili-dogs.jpg</t>
        </is>
      </c>
      <c r="J1212" s="3" t="inlineStr">
        <is>
          <t>Turkey Chili Dogs, healthy food photography, plated, natural light</t>
        </is>
      </c>
      <c r="K1212" s="4" t="inlineStr"/>
      <c r="L1212" s="3" t="inlineStr">
        <is>
          <t>Turkey sausage — 400 g (14.1 oz)
Hamburger bun, white — 160 g (5.6 oz)
Ground turkey 93% lean — 200 g (7.1 oz)
Tomato sauce, canned, no sugar added — 150 g (5.3 oz)
Chili powder — 6 g (0.2 oz)
Yellow onion — 60 g (2.1 oz)
Cheddar cheese — 40 g (1.4 oz)</t>
        </is>
      </c>
      <c r="M1212" s="4" t="inlineStr">
        <is>
          <t>[{"ingredient_id": "turkey_sausage", "name": "Turkey sausage", "grams": 400.0, "note": ""}, {"ingredient_id": "hamburger_bun", "name": "Hamburger bun, white", "grams": 160.0, "note": ""}, {"ingredient_id": "ground_turkey", "name": "Ground turkey 93% lean", "grams": 200.0, "note": ""}, {"ingredient_id": "tomato_sauce", "name": "Tomato sauce, canned, no sugar added", "grams": 150.0, "note": ""}, {"ingredient_id": "chili_powder", "name": "Chili powder", "grams": 6.0, "note": ""}, {"ingredient_id": "onion", "name": "Yellow onion", "grams": 60.0, "note": ""}, {"ingredient_id": "cheddar", "name": "Cheddar cheese", "grams": 40.0, "note": ""}]</t>
        </is>
      </c>
      <c r="N1212" s="2" t="n">
        <v>396</v>
      </c>
      <c r="O1212" s="5" t="n">
        <v>31.3</v>
      </c>
      <c r="P1212" s="5" t="n">
        <v>19</v>
      </c>
      <c r="Q1212" s="5" t="n">
        <v>25.9</v>
      </c>
      <c r="R1212" s="5" t="n">
        <v>2.3</v>
      </c>
      <c r="S1212" s="5" t="n">
        <v>23.7</v>
      </c>
      <c r="T1212" s="2" t="n">
        <v>52</v>
      </c>
      <c r="U1212" s="2" t="inlineStr">
        <is>
          <t>low</t>
        </is>
      </c>
      <c r="V1212" s="5" t="n">
        <v>12.3</v>
      </c>
      <c r="W1212" s="2" t="inlineStr">
        <is>
          <t>medium</t>
        </is>
      </c>
      <c r="X1212" s="3" t="inlineStr"/>
      <c r="Y1212" s="3" t="inlineStr">
        <is>
          <t>79% of this dish's available carbohydrate comes from ingredients with a published, measured GI; the rest uses conventional placeholders (see Ingredients sheet)</t>
        </is>
      </c>
      <c r="Z1212" s="2" t="n">
        <v>79</v>
      </c>
      <c r="AA1212" s="3" t="inlineStr">
        <is>
          <t>nut-free, high-protein</t>
        </is>
      </c>
      <c r="AB1212" s="3" t="inlineStr">
        <is>
          <t>1. Brown the ground turkey with the onion and chili powder; add the sauce and simmer 10 minutes.
2. Grill the sausages.
3. Serve in buns with the chili and cheddar.</t>
        </is>
      </c>
      <c r="AC1212" s="4" t="inlineStr">
        <is>
          <t>["Brown the ground turkey with the onion and chili powder; add the sauce and simmer 10 minutes.", "Grill the sausages.", "Serve in buns with the chili and cheddar."]</t>
        </is>
      </c>
    </row>
    <row r="1213" ht="96" customHeight="1">
      <c r="A1213" s="2" t="inlineStr">
        <is>
          <t>DB-1212</t>
        </is>
      </c>
      <c r="B1213" s="3" t="inlineStr">
        <is>
          <t>Cheese Pizza-Style Flatbread</t>
        </is>
      </c>
      <c r="C1213" s="4" t="inlineStr">
        <is>
          <t>Sandwiches &amp; Wraps</t>
        </is>
      </c>
      <c r="D1213" s="4" t="inlineStr">
        <is>
          <t>Italian</t>
        </is>
      </c>
      <c r="E1213" s="2" t="n">
        <v>3</v>
      </c>
      <c r="F1213" s="2" t="n">
        <v>5</v>
      </c>
      <c r="G1213" s="2" t="n">
        <v>12</v>
      </c>
      <c r="H1213" s="2" t="n">
        <v>17</v>
      </c>
      <c r="I1213" s="4" t="inlineStr">
        <is>
          <t>cheese-pizza-style-flatbread.jpg</t>
        </is>
      </c>
      <c r="J1213" s="3" t="inlineStr">
        <is>
          <t>Cheese Pizza-Style Flatbread, healthy food photography, plated, natural light</t>
        </is>
      </c>
      <c r="K1213" s="4" t="inlineStr"/>
      <c r="L1213" s="3" t="inlineStr">
        <is>
          <t>Flour tortilla, 8-inch — 120 g (4.2 oz)
Marinara sauce, no sugar added — 120 g (4.2 oz)
Mozzarella, part-skim — 120 g (4.2 oz)
Fresh basil — 4 g (0.1 oz)
Extra-virgin olive oil — 10 g (0.4 oz)
Italian seasoning — 2 g (0.1 oz)</t>
        </is>
      </c>
      <c r="M1213" s="4" t="inlineStr">
        <is>
          <t>[{"ingredient_id": "flour_tortilla", "name": "Flour tortilla, 8-inch", "grams": 120.0, "note": ""}, {"ingredient_id": "marinara", "name": "Marinara sauce, no sugar added", "grams": 120.0, "note": ""}, {"ingredient_id": "mozzarella", "name": "Mozzarella, part-skim", "grams": 120.0, "note": ""}, {"ingredient_id": "basil", "name": "Fresh basil", "grams": 4.0, "note": ""}, {"ingredient_id": "olive_oil", "name": "Extra-virgin olive oil", "grams": 10.0, "note": ""}, {"ingredient_id": "italian_seasoning", "name": "Italian seasoning", "grams": 2.0, "note": ""}]</t>
        </is>
      </c>
      <c r="N1213" s="2" t="n">
        <v>274</v>
      </c>
      <c r="O1213" s="5" t="n">
        <v>13.6</v>
      </c>
      <c r="P1213" s="5" t="n">
        <v>14</v>
      </c>
      <c r="Q1213" s="5" t="n">
        <v>23.5</v>
      </c>
      <c r="R1213" s="5" t="n">
        <v>2.3</v>
      </c>
      <c r="S1213" s="5" t="n">
        <v>21.2</v>
      </c>
      <c r="T1213" s="2" t="n">
        <v>32</v>
      </c>
      <c r="U1213" s="2" t="inlineStr">
        <is>
          <t>low</t>
        </is>
      </c>
      <c r="V1213" s="5" t="n">
        <v>6.8</v>
      </c>
      <c r="W1213" s="2" t="inlineStr">
        <is>
          <t>low</t>
        </is>
      </c>
      <c r="X1213" s="3" t="inlineStr"/>
      <c r="Y1213" s="3" t="inlineStr">
        <is>
          <t>93% of this dish's available carbohydrate comes from ingredients with a published, measured GI; the rest uses conventional placeholders (see Ingredients sheet)</t>
        </is>
      </c>
      <c r="Z1213" s="2" t="n">
        <v>93</v>
      </c>
      <c r="AA1213" s="3" t="inlineStr">
        <is>
          <t>vegetarian, nut-free</t>
        </is>
      </c>
      <c r="AB1213" s="3" t="inlineStr">
        <is>
          <t>1. Crisp the tortillas on a tray at 425°F for 3 minutes.
2. Spread with marinara, mozzarella and seasoning.
3. Bake 8 minutes and finish with basil.</t>
        </is>
      </c>
      <c r="AC1213" s="4" t="inlineStr">
        <is>
          <t>["Crisp the tortillas on a tray at 425°F for 3 minutes.", "Spread with marinara, mozzarella and seasoning.", "Bake 8 minutes and finish with basil."]</t>
        </is>
      </c>
    </row>
    <row r="1214" ht="96" customHeight="1">
      <c r="A1214" s="2" t="inlineStr">
        <is>
          <t>DB-1213</t>
        </is>
      </c>
      <c r="B1214" s="3" t="inlineStr">
        <is>
          <t>Pepperoni-Style Turkey Flatbread</t>
        </is>
      </c>
      <c r="C1214" s="4" t="inlineStr">
        <is>
          <t>Sandwiches &amp; Wraps</t>
        </is>
      </c>
      <c r="D1214" s="4" t="inlineStr">
        <is>
          <t>Italian</t>
        </is>
      </c>
      <c r="E1214" s="2" t="n">
        <v>3</v>
      </c>
      <c r="F1214" s="2" t="n">
        <v>5</v>
      </c>
      <c r="G1214" s="2" t="n">
        <v>12</v>
      </c>
      <c r="H1214" s="2" t="n">
        <v>17</v>
      </c>
      <c r="I1214" s="4" t="inlineStr">
        <is>
          <t>pepperoni-style-turkey-flatbread.jpg</t>
        </is>
      </c>
      <c r="J1214" s="3" t="inlineStr">
        <is>
          <t>Pepperoni-Style Turkey Flatbread, healthy food photography, plated, natural light</t>
        </is>
      </c>
      <c r="K1214" s="4" t="inlineStr"/>
      <c r="L1214" s="3" t="inlineStr">
        <is>
          <t>Flour tortilla, 8-inch — 120 g (4.2 oz)
Marinara sauce, no sugar added — 120 g (4.2 oz)
Mozzarella, part-skim — 100 g (3.5 oz)
Turkey sausage — 100 g (3.5 oz)
Bell pepper — 60 g (2.1 oz)
Red onion — 30 g (1.1 oz)</t>
        </is>
      </c>
      <c r="M1214" s="4" t="inlineStr">
        <is>
          <t>[{"ingredient_id": "flour_tortilla", "name": "Flour tortilla, 8-inch", "grams": 120.0, "note": ""}, {"ingredient_id": "marinara", "name": "Marinara sauce, no sugar added", "grams": 120.0, "note": ""}, {"ingredient_id": "mozzarella", "name": "Mozzarella, part-skim", "grams": 100.0, "note": ""}, {"ingredient_id": "turkey_sausage", "name": "Turkey sausage", "grams": 100.0, "note": ""}, {"ingredient_id": "bell_pepper", "name": "Bell pepper", "grams": 60.0, "note": ""}, {"ingredient_id": "red_onion", "name": "Red onion", "grams": 30.0, "note": ""}]</t>
        </is>
      </c>
      <c r="N1214" s="2" t="n">
        <v>287</v>
      </c>
      <c r="O1214" s="5" t="n">
        <v>17.2</v>
      </c>
      <c r="P1214" s="5" t="n">
        <v>12.9</v>
      </c>
      <c r="Q1214" s="5" t="n">
        <v>25.6</v>
      </c>
      <c r="R1214" s="5" t="n">
        <v>2.6</v>
      </c>
      <c r="S1214" s="5" t="n">
        <v>23</v>
      </c>
      <c r="T1214" s="2" t="n">
        <v>30</v>
      </c>
      <c r="U1214" s="2" t="inlineStr">
        <is>
          <t>low</t>
        </is>
      </c>
      <c r="V1214" s="5" t="n">
        <v>6.9</v>
      </c>
      <c r="W1214" s="2" t="inlineStr">
        <is>
          <t>low</t>
        </is>
      </c>
      <c r="X1214" s="3" t="inlineStr"/>
      <c r="Y1214" s="3" t="inlineStr">
        <is>
          <t>86% of this dish's available carbohydrate comes from ingredients with a published, measured GI; the rest uses conventional placeholders (see Ingredients sheet)</t>
        </is>
      </c>
      <c r="Z1214" s="2" t="n">
        <v>86</v>
      </c>
      <c r="AA1214" s="3" t="inlineStr">
        <is>
          <t>nut-free</t>
        </is>
      </c>
      <c r="AB1214" s="3" t="inlineStr">
        <is>
          <t>1. Crisp the tortillas.
2. Top with marinara, mozzarella, sliced sausage, pepper and onion.
3. Bake at 425°F for 8 minutes.</t>
        </is>
      </c>
      <c r="AC1214" s="4" t="inlineStr">
        <is>
          <t>["Crisp the tortillas.", "Top with marinara, mozzarella, sliced sausage, pepper and onion.", "Bake at 425°F for 8 minutes."]</t>
        </is>
      </c>
    </row>
    <row r="1215" ht="96" customHeight="1">
      <c r="A1215" s="2" t="inlineStr">
        <is>
          <t>DB-1214</t>
        </is>
      </c>
      <c r="B1215" s="3" t="inlineStr">
        <is>
          <t>Apple Crisp with Oat Topping</t>
        </is>
      </c>
      <c r="C1215" s="4" t="inlineStr">
        <is>
          <t>Dessert</t>
        </is>
      </c>
      <c r="D1215" s="4" t="inlineStr">
        <is>
          <t>American</t>
        </is>
      </c>
      <c r="E1215" s="2" t="n">
        <v>6</v>
      </c>
      <c r="F1215" s="2" t="n">
        <v>15</v>
      </c>
      <c r="G1215" s="2" t="n">
        <v>40</v>
      </c>
      <c r="H1215" s="2" t="n">
        <v>55</v>
      </c>
      <c r="I1215" s="4" t="inlineStr">
        <is>
          <t>apple-crisp-with-oat-topping.jpg</t>
        </is>
      </c>
      <c r="J1215" s="3" t="inlineStr">
        <is>
          <t>Apple Crisp with Oat Topping, healthy food photography, plated, natural light</t>
        </is>
      </c>
      <c r="K1215" s="4" t="inlineStr"/>
      <c r="L1215" s="3" t="inlineStr">
        <is>
          <t>Apple — 700 g (24.7 oz)
Rolled oats, dry — 80 g (2.8 oz)
Pecans — 40 g (1.4 oz)
Butter — 30 g (1.1 oz)
Ground cinnamon — 4 g (0.1 oz)
White sugar — 15 g (0.5 oz)
Lemon juice — 15 g (0.5 oz)</t>
        </is>
      </c>
      <c r="M1215" s="4" t="inlineStr">
        <is>
          <t>[{"ingredient_id": "apple", "name": "Apple", "grams": 700.0, "note": ""}, {"ingredient_id": "rolled_oats", "name": "Rolled oats, dry", "grams": 80.0, "note": ""}, {"ingredient_id": "pecans", "name": "Pecans", "grams": 40.0, "note": ""}, {"ingredient_id": "butter", "name": "Butter", "grams": 30.0, "note": ""}, {"ingredient_id": "cinnamon", "name": "Ground cinnamon", "grams": 4.0, "note": ""}, {"ingredient_id": "sugar_white", "name": "White sugar", "grams": 15.0, "note": ""}, {"ingredient_id": "lemon_juice", "name": "Lemon juice", "grams": 15.0, "note": ""}]</t>
        </is>
      </c>
      <c r="N1215" s="2" t="n">
        <v>205</v>
      </c>
      <c r="O1215" s="5" t="n">
        <v>2.8</v>
      </c>
      <c r="P1215" s="5" t="n">
        <v>10</v>
      </c>
      <c r="Q1215" s="5" t="n">
        <v>29.5</v>
      </c>
      <c r="R1215" s="5" t="n">
        <v>5.1</v>
      </c>
      <c r="S1215" s="5" t="n">
        <v>24.4</v>
      </c>
      <c r="T1215" s="2" t="n">
        <v>45</v>
      </c>
      <c r="U1215" s="2" t="inlineStr">
        <is>
          <t>low</t>
        </is>
      </c>
      <c r="V1215" s="5" t="n">
        <v>11</v>
      </c>
      <c r="W1215" s="2" t="inlineStr">
        <is>
          <t>medium</t>
        </is>
      </c>
      <c r="X1215" s="3" t="inlineStr"/>
      <c r="Y1215" s="3" t="inlineStr">
        <is>
          <t>97% of this dish's available carbohydrate comes from ingredients with a published, measured GI; the rest uses conventional placeholders (see Ingredients sheet)</t>
        </is>
      </c>
      <c r="Z1215" s="2" t="n">
        <v>97</v>
      </c>
      <c r="AA1215" s="3" t="inlineStr">
        <is>
          <t>vegetarian</t>
        </is>
      </c>
      <c r="AB1215" s="3" t="inlineStr">
        <is>
          <t>1. Slice the apples and toss with lemon, cinnamon and half the sugar.
2. Rub the oats, pecans, butter and remaining sugar into a crumble.
3. Spread over the apples and bake at 350°F for 35 minutes.</t>
        </is>
      </c>
      <c r="AC1215" s="4" t="inlineStr">
        <is>
          <t>["Slice the apples and toss with lemon, cinnamon and half the sugar.", "Rub the oats, pecans, butter and remaining sugar into a crumble.", "Spread over the apples and bake at 350°F for 35 minutes."]</t>
        </is>
      </c>
    </row>
    <row r="1216" ht="96" customHeight="1">
      <c r="A1216" s="2" t="inlineStr">
        <is>
          <t>DB-1215</t>
        </is>
      </c>
      <c r="B1216" s="3" t="inlineStr">
        <is>
          <t>Creamy Rice Pudding</t>
        </is>
      </c>
      <c r="C1216" s="4" t="inlineStr">
        <is>
          <t>Dessert</t>
        </is>
      </c>
      <c r="D1216" s="4" t="inlineStr">
        <is>
          <t>American</t>
        </is>
      </c>
      <c r="E1216" s="2" t="n">
        <v>5</v>
      </c>
      <c r="F1216" s="2" t="n">
        <v>5</v>
      </c>
      <c r="G1216" s="2" t="n">
        <v>25</v>
      </c>
      <c r="H1216" s="2" t="n">
        <v>30</v>
      </c>
      <c r="I1216" s="4" t="inlineStr">
        <is>
          <t>creamy-rice-pudding.jpg</t>
        </is>
      </c>
      <c r="J1216" s="3" t="inlineStr">
        <is>
          <t>Creamy Rice Pudding, healthy food photography, plated, natural light</t>
        </is>
      </c>
      <c r="K1216" s="4" t="inlineStr"/>
      <c r="L1216" s="3" t="inlineStr">
        <is>
          <t>White rice, long-grain, cooked — 300 g (10.6 oz)
Milk, 2% — 500 g (17.6 oz)
Egg, large (50 g each) — 50 g (1.8 oz)
White sugar — 20 g (0.7 oz)
Vanilla extract — 5 g (0.2 oz)
Ground cinnamon — 2 g (0.1 oz)</t>
        </is>
      </c>
      <c r="M1216" s="4" t="inlineStr">
        <is>
          <t>[{"ingredient_id": "white_rice", "name": "White rice, long-grain, cooked", "grams": 300.0, "note": ""}, {"ingredient_id": "milk", "name": "Milk, 2%", "grams": 500.0, "note": ""}, {"ingredient_id": "egg", "name": "Egg, large (50 g each)", "grams": 50.0, "note": ""}, {"ingredient_id": "sugar_white", "name": "White sugar", "grams": 20.0, "note": ""}, {"ingredient_id": "vanilla_extract", "name": "Vanilla extract", "grams": 5.0, "note": ""}, {"ingredient_id": "cinnamon", "name": "Ground cinnamon", "grams": 2.0, "note": ""}]</t>
        </is>
      </c>
      <c r="N1216" s="2" t="n">
        <v>162</v>
      </c>
      <c r="O1216" s="5" t="n">
        <v>6.2</v>
      </c>
      <c r="P1216" s="5" t="n">
        <v>3.1</v>
      </c>
      <c r="Q1216" s="5" t="n">
        <v>26.1</v>
      </c>
      <c r="R1216" s="5" t="n">
        <v>0.5</v>
      </c>
      <c r="S1216" s="5" t="n">
        <v>25.7</v>
      </c>
      <c r="T1216" s="2" t="n">
        <v>65</v>
      </c>
      <c r="U1216" s="2" t="inlineStr">
        <is>
          <t>medium</t>
        </is>
      </c>
      <c r="V1216" s="5" t="n">
        <v>16.7</v>
      </c>
      <c r="W1216" s="2" t="inlineStr">
        <is>
          <t>medium</t>
        </is>
      </c>
      <c r="X1216" s="3" t="inlineStr">
        <is>
          <t>Medium-GI dish: keep to the stated portion and pair with the protein/fat in the recipe; GL per serving is the better guide.</t>
        </is>
      </c>
      <c r="Y1216" s="3" t="inlineStr">
        <is>
          <t>99% of this dish's available carbohydrate comes from ingredients with a published, measured GI; the rest uses conventional placeholders (see Ingredients sheet)</t>
        </is>
      </c>
      <c r="Z1216" s="2" t="n">
        <v>99</v>
      </c>
      <c r="AA1216" s="3" t="inlineStr">
        <is>
          <t>vegetarian, gluten-free, nut-free</t>
        </is>
      </c>
      <c r="AB1216" s="3" t="inlineStr">
        <is>
          <t>1. Simmer the cooked rice and milk for 15 minutes.
2. Whisk the egg with sugar and vanilla and stir in over low heat until thick.
3. Dust with cinnamon.</t>
        </is>
      </c>
      <c r="AC1216" s="4" t="inlineStr">
        <is>
          <t>["Simmer the cooked rice and milk for 15 minutes.", "Whisk the egg with sugar and vanilla and stir in over low heat until thick.", "Dust with cinnamon."]</t>
        </is>
      </c>
    </row>
    <row r="1217" ht="96" customHeight="1">
      <c r="A1217" s="2" t="inlineStr">
        <is>
          <t>DB-1216</t>
        </is>
      </c>
      <c r="B1217" s="3" t="inlineStr">
        <is>
          <t>Chocolate Pudding Cups</t>
        </is>
      </c>
      <c r="C1217" s="4" t="inlineStr">
        <is>
          <t>Dessert</t>
        </is>
      </c>
      <c r="D1217" s="4" t="inlineStr">
        <is>
          <t>American</t>
        </is>
      </c>
      <c r="E1217" s="2" t="n">
        <v>4</v>
      </c>
      <c r="F1217" s="2" t="n">
        <v>5</v>
      </c>
      <c r="G1217" s="2" t="n">
        <v>10</v>
      </c>
      <c r="H1217" s="2" t="n">
        <v>15</v>
      </c>
      <c r="I1217" s="4" t="inlineStr">
        <is>
          <t>chocolate-pudding-cups.jpg</t>
        </is>
      </c>
      <c r="J1217" s="3" t="inlineStr">
        <is>
          <t>Chocolate Pudding Cups, healthy food photography, plated, natural light</t>
        </is>
      </c>
      <c r="K1217" s="4" t="inlineStr"/>
      <c r="L1217" s="3" t="inlineStr">
        <is>
          <t>Milk, 2% — 500 g (17.6 oz)
Cocoa powder, unsweetened — 25 g (0.9 oz)
White sugar — 20 g (0.7 oz)
Egg, large (50 g each) — 100 g (3.5 oz)
Vanilla extract — 4 g (0.1 oz)</t>
        </is>
      </c>
      <c r="M1217" s="4" t="inlineStr">
        <is>
          <t>[{"ingredient_id": "milk", "name": "Milk, 2%", "grams": 500.0, "note": ""}, {"ingredient_id": "cocoa_powder", "name": "Cocoa powder, unsweetened", "grams": 25.0, "note": ""}, {"ingredient_id": "sugar_white", "name": "White sugar", "grams": 20.0, "note": ""}, {"ingredient_id": "egg", "name": "Egg, large (50 g each)", "grams": 100.0, "note": ""}, {"ingredient_id": "vanilla_extract", "name": "Vanilla extract", "grams": 4.0, "note": ""}]</t>
        </is>
      </c>
      <c r="N1217" s="2" t="n">
        <v>135</v>
      </c>
      <c r="O1217" s="5" t="n">
        <v>8.5</v>
      </c>
      <c r="P1217" s="5" t="n">
        <v>5.8</v>
      </c>
      <c r="Q1217" s="5" t="n">
        <v>14.9</v>
      </c>
      <c r="R1217" s="5" t="n">
        <v>2.1</v>
      </c>
      <c r="S1217" s="5" t="n">
        <v>12.8</v>
      </c>
      <c r="T1217" s="2" t="n">
        <v>39</v>
      </c>
      <c r="U1217" s="2" t="inlineStr">
        <is>
          <t>low</t>
        </is>
      </c>
      <c r="V1217" s="5" t="n">
        <v>5</v>
      </c>
      <c r="W1217" s="2" t="inlineStr">
        <is>
          <t>low</t>
        </is>
      </c>
      <c r="X1217" s="3" t="inlineStr"/>
      <c r="Y1217" s="3" t="inlineStr">
        <is>
          <t>85% of this dish's available carbohydrate comes from ingredients with a published, measured GI; the rest uses conventional placeholders (see Ingredients sheet)</t>
        </is>
      </c>
      <c r="Z1217" s="2" t="n">
        <v>85</v>
      </c>
      <c r="AA1217" s="3" t="inlineStr">
        <is>
          <t>vegetarian, gluten-free, nut-free, low-carb</t>
        </is>
      </c>
      <c r="AB1217" s="3" t="inlineStr">
        <is>
          <t>1. Warm the milk with cocoa and sugar.
2. Whisk in the eggs over low heat until thick.
3. Add vanilla and chill.</t>
        </is>
      </c>
      <c r="AC1217" s="4" t="inlineStr">
        <is>
          <t>["Warm the milk with cocoa and sugar.", "Whisk in the eggs over low heat until thick.", "Add vanilla and chill."]</t>
        </is>
      </c>
    </row>
    <row r="1218" ht="96" customHeight="1">
      <c r="A1218" s="2" t="inlineStr">
        <is>
          <t>DB-1217</t>
        </is>
      </c>
      <c r="B1218" s="3" t="inlineStr">
        <is>
          <t>Banana Oat Cookies</t>
        </is>
      </c>
      <c r="C1218" s="4" t="inlineStr">
        <is>
          <t>Dessert</t>
        </is>
      </c>
      <c r="D1218" s="4" t="inlineStr">
        <is>
          <t>American</t>
        </is>
      </c>
      <c r="E1218" s="2" t="n">
        <v>10</v>
      </c>
      <c r="F1218" s="2" t="n">
        <v>10</v>
      </c>
      <c r="G1218" s="2" t="n">
        <v>12</v>
      </c>
      <c r="H1218" s="2" t="n">
        <v>22</v>
      </c>
      <c r="I1218" s="4" t="inlineStr">
        <is>
          <t>banana-oat-cookies.jpg</t>
        </is>
      </c>
      <c r="J1218" s="3" t="inlineStr">
        <is>
          <t>Banana Oat Cookies, healthy food photography, plated, natural light</t>
        </is>
      </c>
      <c r="K1218" s="4" t="inlineStr"/>
      <c r="L1218" s="3" t="inlineStr">
        <is>
          <t>Banana (small amount) — 240 g (8.5 oz)
Rolled oats, dry — 160 g (5.6 oz)
Walnuts — 40 g (1.4 oz)
Ground cinnamon — 2 g (0.1 oz)
Vanilla extract — 4 g (0.1 oz)</t>
        </is>
      </c>
      <c r="M1218" s="4" t="inlineStr">
        <is>
          <t>[{"ingredient_id": "banana", "name": "Banana (small amount)", "grams": 240.0, "note": ""}, {"ingredient_id": "rolled_oats", "name": "Rolled oats, dry", "grams": 160.0, "note": ""}, {"ingredient_id": "walnuts", "name": "Walnuts", "grams": 40.0, "note": ""}, {"ingredient_id": "cinnamon", "name": "Ground cinnamon", "grams": 2.0, "note": ""}, {"ingredient_id": "vanilla_extract", "name": "Vanilla extract", "grams": 4.0, "note": ""}]</t>
        </is>
      </c>
      <c r="N1218" s="2" t="n">
        <v>110</v>
      </c>
      <c r="O1218" s="5" t="n">
        <v>3</v>
      </c>
      <c r="P1218" s="5" t="n">
        <v>3.7</v>
      </c>
      <c r="Q1218" s="5" t="n">
        <v>17.2</v>
      </c>
      <c r="R1218" s="5" t="n">
        <v>2.6</v>
      </c>
      <c r="S1218" s="5" t="n">
        <v>14.6</v>
      </c>
      <c r="T1218" s="2" t="n">
        <v>54</v>
      </c>
      <c r="U1218" s="2" t="inlineStr">
        <is>
          <t>low</t>
        </is>
      </c>
      <c r="V1218" s="5" t="n">
        <v>7.9</v>
      </c>
      <c r="W1218" s="2" t="inlineStr">
        <is>
          <t>low</t>
        </is>
      </c>
      <c r="X1218" s="3" t="inlineStr"/>
      <c r="Y1218" s="3" t="inlineStr">
        <is>
          <t>97% of this dish's available carbohydrate comes from ingredients with a published, measured GI; the rest uses conventional placeholders (see Ingredients sheet)</t>
        </is>
      </c>
      <c r="Z1218" s="2" t="n">
        <v>97</v>
      </c>
      <c r="AA1218" s="3" t="inlineStr">
        <is>
          <t>vegan, dairy-free, low-carb</t>
        </is>
      </c>
      <c r="AB1218" s="3" t="inlineStr">
        <is>
          <t>1. Mash the bananas and mix with oats, walnuts, cinnamon and vanilla.
2. Scoop ten cookies onto a tray.
3. Bake at 350°F for 12 minutes.</t>
        </is>
      </c>
      <c r="AC1218" s="4" t="inlineStr">
        <is>
          <t>["Mash the bananas and mix with oats, walnuts, cinnamon and vanilla.", "Scoop ten cookies onto a tray.", "Bake at 350°F for 12 minutes."]</t>
        </is>
      </c>
    </row>
    <row r="1219" ht="96" customHeight="1">
      <c r="A1219" s="2" t="inlineStr">
        <is>
          <t>DB-1218</t>
        </is>
      </c>
      <c r="B1219" s="3" t="inlineStr">
        <is>
          <t>Strawberry Shortcake-Style Parfait</t>
        </is>
      </c>
      <c r="C1219" s="4" t="inlineStr">
        <is>
          <t>Dessert</t>
        </is>
      </c>
      <c r="D1219" s="4" t="inlineStr">
        <is>
          <t>American</t>
        </is>
      </c>
      <c r="E1219" s="2" t="n">
        <v>4</v>
      </c>
      <c r="F1219" s="2" t="n">
        <v>10</v>
      </c>
      <c r="G1219" s="2" t="n">
        <v>0</v>
      </c>
      <c r="H1219" s="2" t="n">
        <v>10</v>
      </c>
      <c r="I1219" s="4" t="inlineStr">
        <is>
          <t>strawberry-shortcake-style-parfait.jpg</t>
        </is>
      </c>
      <c r="J1219" s="3" t="inlineStr">
        <is>
          <t>Strawberry Shortcake-Style Parfait, healthy food photography, plated, natural light</t>
        </is>
      </c>
      <c r="K1219" s="4" t="inlineStr"/>
      <c r="L1219" s="3" t="inlineStr">
        <is>
          <t>Strawberries — 300 g (10.6 oz)
Greek yogurt, plain 2% — 300 g (10.6 oz)
Rolled oats, dry — 40 g (1.4 oz)
Vanilla extract — 4 g (0.1 oz)
Monk fruit/erythritol sweetener — 4 g (0.1 oz)</t>
        </is>
      </c>
      <c r="M1219" s="4" t="inlineStr">
        <is>
          <t>[{"ingredient_id": "strawberries", "name": "Strawberries", "grams": 300.0, "note": ""}, {"ingredient_id": "greek_yogurt", "name": "Greek yogurt, plain 2%", "grams": 300.0, "note": ""}, {"ingredient_id": "rolled_oats", "name": "Rolled oats, dry", "grams": 40.0, "note": ""}, {"ingredient_id": "vanilla_extract", "name": "Vanilla extract", "grams": 4.0, "note": ""}, {"ingredient_id": "monk_fruit_sweetener", "name": "Monk fruit/erythritol sweetener", "grams": 4.0, "note": ""}]</t>
        </is>
      </c>
      <c r="N1219" s="2" t="n">
        <v>120</v>
      </c>
      <c r="O1219" s="5" t="n">
        <v>9.300000000000001</v>
      </c>
      <c r="P1219" s="5" t="n">
        <v>2.4</v>
      </c>
      <c r="Q1219" s="5" t="n">
        <v>15.7</v>
      </c>
      <c r="R1219" s="5" t="n">
        <v>2.5</v>
      </c>
      <c r="S1219" s="5" t="n">
        <v>13.2</v>
      </c>
      <c r="T1219" s="2" t="n">
        <v>40</v>
      </c>
      <c r="U1219" s="2" t="inlineStr">
        <is>
          <t>low</t>
        </is>
      </c>
      <c r="V1219" s="5" t="n">
        <v>5.3</v>
      </c>
      <c r="W1219" s="2" t="inlineStr">
        <is>
          <t>low</t>
        </is>
      </c>
      <c r="X1219" s="3" t="inlineStr"/>
      <c r="Y1219" s="3" t="inlineStr">
        <is>
          <t>99% of this dish's available carbohydrate comes from ingredients with a published, measured GI; the rest uses conventional placeholders (see Ingredients sheet)</t>
        </is>
      </c>
      <c r="Z1219" s="2" t="n">
        <v>99</v>
      </c>
      <c r="AA1219" s="3" t="inlineStr">
        <is>
          <t>vegetarian, nut-free, low-carb, no-cook</t>
        </is>
      </c>
      <c r="AB1219" s="3" t="inlineStr">
        <is>
          <t>1. Stir the vanilla and sweetener into the yogurt.
2. Layer yogurt, sliced strawberries and toasted oats in glasses.</t>
        </is>
      </c>
      <c r="AC1219" s="4" t="inlineStr">
        <is>
          <t>["Stir the vanilla and sweetener into the yogurt.", "Layer yogurt, sliced strawberries and toasted oats in glasses."]</t>
        </is>
      </c>
    </row>
    <row r="1220" ht="96" customHeight="1">
      <c r="A1220" s="2" t="inlineStr">
        <is>
          <t>DB-1219</t>
        </is>
      </c>
      <c r="B1220" s="3" t="inlineStr">
        <is>
          <t>Peanut Butter Hot Cocoa</t>
        </is>
      </c>
      <c r="C1220" s="4" t="inlineStr">
        <is>
          <t>Drinks &amp; Smoothies</t>
        </is>
      </c>
      <c r="D1220" s="4" t="inlineStr">
        <is>
          <t>American</t>
        </is>
      </c>
      <c r="E1220" s="2" t="n">
        <v>2</v>
      </c>
      <c r="F1220" s="2" t="n">
        <v>3</v>
      </c>
      <c r="G1220" s="2" t="n">
        <v>5</v>
      </c>
      <c r="H1220" s="2" t="n">
        <v>8</v>
      </c>
      <c r="I1220" s="4" t="inlineStr">
        <is>
          <t>peanut-butter-hot-cocoa.jpg</t>
        </is>
      </c>
      <c r="J1220" s="3" t="inlineStr">
        <is>
          <t>Peanut Butter Hot Cocoa, healthy food photography, plated, natural light</t>
        </is>
      </c>
      <c r="K1220" s="4" t="inlineStr"/>
      <c r="L1220" s="3" t="inlineStr">
        <is>
          <t>Milk, 2% — 450 g (15.9 oz)
Cocoa powder, unsweetened — 12 g (0.4 oz)
Peanut butter, natural — 16 g (0.6 oz)
Monk fruit/erythritol sweetener — 4 g (0.1 oz)
Vanilla extract — 2 g (0.1 oz)</t>
        </is>
      </c>
      <c r="M1220" s="4" t="inlineStr">
        <is>
          <t>[{"ingredient_id": "milk", "name": "Milk, 2%", "grams": 450.0, "note": ""}, {"ingredient_id": "cocoa_powder", "name": "Cocoa powder, unsweetened", "grams": 12.0, "note": ""}, {"ingredient_id": "peanut_butter", "name": "Peanut butter, natural", "grams": 16.0, "note": ""}, {"ingredient_id": "monk_fruit_sweetener", "name": "Monk fruit/erythritol sweetener", "grams": 4.0, "note": ""}, {"ingredient_id": "vanilla_extract", "name": "Vanilla extract", "grams": 2.0, "note": ""}]</t>
        </is>
      </c>
      <c r="N1220" s="2" t="n">
        <v>176</v>
      </c>
      <c r="O1220" s="5" t="n">
        <v>10.6</v>
      </c>
      <c r="P1220" s="5" t="n">
        <v>9.300000000000001</v>
      </c>
      <c r="Q1220" s="5" t="n">
        <v>16</v>
      </c>
      <c r="R1220" s="5" t="n">
        <v>2.5</v>
      </c>
      <c r="S1220" s="5" t="n">
        <v>13.5</v>
      </c>
      <c r="T1220" s="2" t="n">
        <v>25</v>
      </c>
      <c r="U1220" s="2" t="inlineStr">
        <is>
          <t>low</t>
        </is>
      </c>
      <c r="V1220" s="5" t="n">
        <v>3.4</v>
      </c>
      <c r="W1220" s="2" t="inlineStr">
        <is>
          <t>low</t>
        </is>
      </c>
      <c r="X1220" s="3" t="inlineStr"/>
      <c r="Y1220" s="3" t="inlineStr">
        <is>
          <t>80% of this dish's available carbohydrate comes from ingredients with a published, measured GI; the rest uses conventional placeholders (see Ingredients sheet)</t>
        </is>
      </c>
      <c r="Z1220" s="2" t="n">
        <v>80</v>
      </c>
      <c r="AA1220" s="3" t="inlineStr">
        <is>
          <t>vegetarian, gluten-free, low-carb</t>
        </is>
      </c>
      <c r="AB1220" s="3" t="inlineStr">
        <is>
          <t>1. Warm the milk.
2. Whisk in cocoa, peanut butter, sweetener and vanilla until smooth.</t>
        </is>
      </c>
      <c r="AC1220" s="4" t="inlineStr">
        <is>
          <t>["Warm the milk.", "Whisk in cocoa, peanut butter, sweetener and vanilla until smooth."]</t>
        </is>
      </c>
    </row>
    <row r="1221" ht="96" customHeight="1">
      <c r="A1221" s="2" t="inlineStr">
        <is>
          <t>DB-1220</t>
        </is>
      </c>
      <c r="B1221" s="3" t="inlineStr">
        <is>
          <t>Sugar-Free Lemonade</t>
        </is>
      </c>
      <c r="C1221" s="4" t="inlineStr">
        <is>
          <t>Drinks &amp; Smoothies</t>
        </is>
      </c>
      <c r="D1221" s="4" t="inlineStr">
        <is>
          <t>American</t>
        </is>
      </c>
      <c r="E1221" s="2" t="n">
        <v>4</v>
      </c>
      <c r="F1221" s="2" t="n">
        <v>5</v>
      </c>
      <c r="G1221" s="2" t="n">
        <v>0</v>
      </c>
      <c r="H1221" s="2" t="n">
        <v>5</v>
      </c>
      <c r="I1221" s="4" t="inlineStr">
        <is>
          <t>sugar-free-lemonade.jpg</t>
        </is>
      </c>
      <c r="J1221" s="3" t="inlineStr">
        <is>
          <t>Sugar-Free Lemonade, healthy food photography, plated, natural light</t>
        </is>
      </c>
      <c r="K1221" s="4" t="inlineStr"/>
      <c r="L1221" s="3" t="inlineStr">
        <is>
          <t>Water / ice — 800 g (28.2 oz)
Lemon juice — 120 g (4.2 oz)
Monk fruit/erythritol sweetener — 12 g (0.4 oz)
Fresh mint — 4 g (0.1 oz)</t>
        </is>
      </c>
      <c r="M1221" s="4" t="inlineStr">
        <is>
          <t>[{"ingredient_id": "water", "name": "Water / ice", "grams": 800.0, "note": ""}, {"ingredient_id": "lemon_juice", "name": "Lemon juice", "grams": 120.0, "note": ""}, {"ingredient_id": "monk_fruit_sweetener", "name": "Monk fruit/erythritol sweetener", "grams": 12.0, "note": ""}, {"ingredient_id": "mint", "name": "Fresh mint", "grams": 4.0, "note": ""}]</t>
        </is>
      </c>
      <c r="N1221" s="2" t="n">
        <v>7</v>
      </c>
      <c r="O1221" s="5" t="n">
        <v>0.2</v>
      </c>
      <c r="P1221" s="5" t="n">
        <v>0.1</v>
      </c>
      <c r="Q1221" s="5" t="n">
        <v>2.2</v>
      </c>
      <c r="R1221" s="5" t="n">
        <v>0.2</v>
      </c>
      <c r="S1221" s="5" t="n">
        <v>2</v>
      </c>
      <c r="T1221" s="2" t="n">
        <v>20</v>
      </c>
      <c r="U1221" s="2" t="inlineStr">
        <is>
          <t>low</t>
        </is>
      </c>
      <c r="V1221" s="5" t="n">
        <v>0.4</v>
      </c>
      <c r="W1221" s="2" t="inlineStr">
        <is>
          <t>low</t>
        </is>
      </c>
      <c r="X1221" s="3" t="inlineStr">
        <is>
          <t>Negligible carbohydrate (&lt;5 g net/serving): GI has little practical meaning, glycemic load is what matters.</t>
        </is>
      </c>
      <c r="Y1221" s="3" t="inlineStr">
        <is>
          <t>0% of this dish's available carbohydrate comes from ingredients with a published, measured GI; the rest uses conventional placeholders (see Ingredients sheet)</t>
        </is>
      </c>
      <c r="Z1221" s="2" t="n">
        <v>0</v>
      </c>
      <c r="AA1221" s="3" t="inlineStr">
        <is>
          <t>vegan, gluten-free, dairy-free, nut-free, low-carb, no-cook</t>
        </is>
      </c>
      <c r="AB1221" s="3" t="inlineStr">
        <is>
          <t>1. Stir the juice and sweetener into the water until dissolved.
2. Serve over ice with mint.</t>
        </is>
      </c>
      <c r="AC1221" s="4" t="inlineStr">
        <is>
          <t>["Stir the juice and sweetener into the water until dissolved.", "Serve over ice with mint."]</t>
        </is>
      </c>
    </row>
    <row r="1222" ht="96" customHeight="1">
      <c r="A1222" s="2" t="inlineStr">
        <is>
          <t>DB-1221</t>
        </is>
      </c>
      <c r="B1222" s="3" t="inlineStr">
        <is>
          <t>Banana Peanut Butter Smoothie</t>
        </is>
      </c>
      <c r="C1222" s="4" t="inlineStr">
        <is>
          <t>Drinks &amp; Smoothies</t>
        </is>
      </c>
      <c r="D1222" s="4" t="inlineStr">
        <is>
          <t>American</t>
        </is>
      </c>
      <c r="E1222" s="2" t="n">
        <v>2</v>
      </c>
      <c r="F1222" s="2" t="n">
        <v>5</v>
      </c>
      <c r="G1222" s="2" t="n">
        <v>0</v>
      </c>
      <c r="H1222" s="2" t="n">
        <v>5</v>
      </c>
      <c r="I1222" s="4" t="inlineStr">
        <is>
          <t>banana-peanut-butter-smoothie.jpg</t>
        </is>
      </c>
      <c r="J1222" s="3" t="inlineStr">
        <is>
          <t>Banana Peanut Butter Smoothie, healthy food photography, plated, natural light</t>
        </is>
      </c>
      <c r="K1222" s="4" t="inlineStr"/>
      <c r="L1222" s="3" t="inlineStr">
        <is>
          <t>Banana (small amount) — 120 g (4.2 oz)
Milk, 2% — 300 g (10.6 oz)
Peanut butter, natural — 30 g (1.1 oz)
Greek yogurt, plain 2% — 100 g (3.5 oz)
Ground cinnamon — 1 g (0.0 oz)</t>
        </is>
      </c>
      <c r="M1222" s="4" t="inlineStr">
        <is>
          <t>[{"ingredient_id": "banana", "name": "Banana (small amount)", "grams": 120.0, "note": ""}, {"ingredient_id": "milk", "name": "Milk, 2%", "grams": 300.0, "note": ""}, {"ingredient_id": "peanut_butter", "name": "Peanut butter, natural", "grams": 30.0, "note": ""}, {"ingredient_id": "greek_yogurt", "name": "Greek yogurt, plain 2%", "grams": 100.0, "note": ""}, {"ingredient_id": "cinnamon", "name": "Ground cinnamon", "grams": 1.0, "note": ""}]</t>
        </is>
      </c>
      <c r="N1222" s="2" t="n">
        <v>254</v>
      </c>
      <c r="O1222" s="5" t="n">
        <v>14.4</v>
      </c>
      <c r="P1222" s="5" t="n">
        <v>11.7</v>
      </c>
      <c r="Q1222" s="5" t="n">
        <v>26.4</v>
      </c>
      <c r="R1222" s="5" t="n">
        <v>2.7</v>
      </c>
      <c r="S1222" s="5" t="n">
        <v>23.7</v>
      </c>
      <c r="T1222" s="2" t="n">
        <v>37</v>
      </c>
      <c r="U1222" s="2" t="inlineStr">
        <is>
          <t>low</t>
        </is>
      </c>
      <c r="V1222" s="5" t="n">
        <v>8.800000000000001</v>
      </c>
      <c r="W1222" s="2" t="inlineStr">
        <is>
          <t>low</t>
        </is>
      </c>
      <c r="X1222" s="3" t="inlineStr"/>
      <c r="Y1222" s="3" t="inlineStr">
        <is>
          <t>91% of this dish's available carbohydrate comes from ingredients with a published, measured GI; the rest uses conventional placeholders (see Ingredients sheet)</t>
        </is>
      </c>
      <c r="Z1222" s="2" t="n">
        <v>91</v>
      </c>
      <c r="AA1222" s="3" t="inlineStr">
        <is>
          <t>vegetarian, gluten-free, no-cook</t>
        </is>
      </c>
      <c r="AB1222" s="3" t="inlineStr">
        <is>
          <t>1. Blend everything with ice until smooth.</t>
        </is>
      </c>
      <c r="AC1222" s="4" t="inlineStr">
        <is>
          <t>["Blend everything with ice until smooth."]</t>
        </is>
      </c>
    </row>
    <row r="1223" ht="96" customHeight="1">
      <c r="A1223" s="2" t="inlineStr">
        <is>
          <t>DB-1222</t>
        </is>
      </c>
      <c r="B1223" s="3" t="inlineStr">
        <is>
          <t>Blueberry Oat Smoothie</t>
        </is>
      </c>
      <c r="C1223" s="4" t="inlineStr">
        <is>
          <t>Drinks &amp; Smoothies</t>
        </is>
      </c>
      <c r="D1223" s="4" t="inlineStr">
        <is>
          <t>American</t>
        </is>
      </c>
      <c r="E1223" s="2" t="n">
        <v>2</v>
      </c>
      <c r="F1223" s="2" t="n">
        <v>5</v>
      </c>
      <c r="G1223" s="2" t="n">
        <v>0</v>
      </c>
      <c r="H1223" s="2" t="n">
        <v>5</v>
      </c>
      <c r="I1223" s="4" t="inlineStr">
        <is>
          <t>blueberry-oat-smoothie.jpg</t>
        </is>
      </c>
      <c r="J1223" s="3" t="inlineStr">
        <is>
          <t>Blueberry Oat Smoothie, healthy food photography, plated, natural light</t>
        </is>
      </c>
      <c r="K1223" s="4" t="inlineStr"/>
      <c r="L1223" s="3" t="inlineStr">
        <is>
          <t>Blueberries — 150 g (5.3 oz)
Rolled oats, dry — 30 g (1.1 oz)
Milk, 2% — 300 g (10.6 oz)
Greek yogurt, plain 2% — 120 g (4.2 oz)
Vanilla extract — 3 g (0.1 oz)</t>
        </is>
      </c>
      <c r="M1223" s="4" t="inlineStr">
        <is>
          <t>[{"ingredient_id": "blueberries", "name": "Blueberries", "grams": 150.0, "note": ""}, {"ingredient_id": "rolled_oats", "name": "Rolled oats, dry", "grams": 30.0, "note": ""}, {"ingredient_id": "milk", "name": "Milk, 2%", "grams": 300.0, "note": ""}, {"ingredient_id": "greek_yogurt", "name": "Greek yogurt, plain 2%", "grams": 120.0, "note": ""}, {"ingredient_id": "vanilla_extract", "name": "Vanilla extract", "grams": 3.0, "note": ""}]</t>
        </is>
      </c>
      <c r="N1223" s="2" t="n">
        <v>223</v>
      </c>
      <c r="O1223" s="5" t="n">
        <v>13.4</v>
      </c>
      <c r="P1223" s="5" t="n">
        <v>5.4</v>
      </c>
      <c r="Q1223" s="5" t="n">
        <v>30.9</v>
      </c>
      <c r="R1223" s="5" t="n">
        <v>3.3</v>
      </c>
      <c r="S1223" s="5" t="n">
        <v>27.6</v>
      </c>
      <c r="T1223" s="2" t="n">
        <v>43</v>
      </c>
      <c r="U1223" s="2" t="inlineStr">
        <is>
          <t>low</t>
        </is>
      </c>
      <c r="V1223" s="5" t="n">
        <v>11.9</v>
      </c>
      <c r="W1223" s="2" t="inlineStr">
        <is>
          <t>medium</t>
        </is>
      </c>
      <c r="X1223" s="3" t="inlineStr"/>
      <c r="Y1223" s="3" t="inlineStr">
        <is>
          <t>99% of this dish's available carbohydrate comes from ingredients with a published, measured GI; the rest uses conventional placeholders (see Ingredients sheet)</t>
        </is>
      </c>
      <c r="Z1223" s="2" t="n">
        <v>99</v>
      </c>
      <c r="AA1223" s="3" t="inlineStr">
        <is>
          <t>vegetarian, nut-free, no-cook</t>
        </is>
      </c>
      <c r="AB1223" s="3" t="inlineStr">
        <is>
          <t>1. Blend everything until smooth.</t>
        </is>
      </c>
      <c r="AC1223" s="4" t="inlineStr">
        <is>
          <t>["Blend everything until smooth."]</t>
        </is>
      </c>
    </row>
    <row r="1224" ht="96" customHeight="1">
      <c r="A1224" s="2" t="inlineStr">
        <is>
          <t>DB-1223</t>
        </is>
      </c>
      <c r="B1224" s="3" t="inlineStr">
        <is>
          <t>Gumbo with Chicken and Sausage</t>
        </is>
      </c>
      <c r="C1224" s="4" t="inlineStr">
        <is>
          <t>Soup &amp; Stew</t>
        </is>
      </c>
      <c r="D1224" s="4" t="inlineStr">
        <is>
          <t>Cajun</t>
        </is>
      </c>
      <c r="E1224" s="2" t="n">
        <v>6</v>
      </c>
      <c r="F1224" s="2" t="n">
        <v>20</v>
      </c>
      <c r="G1224" s="2" t="n">
        <v>50</v>
      </c>
      <c r="H1224" s="2" t="n">
        <v>70</v>
      </c>
      <c r="I1224" s="4" t="inlineStr">
        <is>
          <t>gumbo-with-chicken-and-sausage.jpg</t>
        </is>
      </c>
      <c r="J1224" s="3" t="inlineStr">
        <is>
          <t>Gumbo with Chicken and Sausage, healthy food photography, plated, natural light</t>
        </is>
      </c>
      <c r="K1224" s="4" t="inlineStr"/>
      <c r="L1224" s="3" t="inlineStr">
        <is>
          <t>Chicken thigh, skinless boneless — 450 g (15.9 oz)
Chicken sausage — 250 g (8.8 oz)
Okra — 250 g (8.8 oz)
Bell pepper — 150 g (5.3 oz)
Celery — 100 g (3.5 oz)
Yellow onion — 150 g (5.3 oz)
Chicken broth, low sodium — 900 g (31.7 oz)
Diced tomatoes, canned — 200 g (7.1 oz)
Cajun seasoning — 10 g (0.4 oz)
Garlic — 8 g (0.3 oz)
Extra-virgin olive oil — 20 g (0.7 oz)
White rice, long-grain, cooked — 360 g (12.7 oz)</t>
        </is>
      </c>
      <c r="M1224" s="4" t="inlineStr">
        <is>
          <t>[{"ingredient_id": "chicken_thigh", "name": "Chicken thigh, skinless boneless", "grams": 450.0, "note": ""}, {"ingredient_id": "chicken_sausage", "name": "Chicken sausage", "grams": 250.0, "note": ""}, {"ingredient_id": "okra", "name": "Okra", "grams": 250.0, "note": ""}, {"ingredient_id": "bell_pepper", "name": "Bell pepper", "grams": 150.0, "note": ""}, {"ingredient_id": "celery", "name": "Celery", "grams": 100.0, "note": ""}, {"ingredient_id": "onion", "name": "Yellow onion", "grams": 150.0, "note": ""}, {"ingredient_id": "chicken_broth", "name": "Chicken broth, low sodium", "grams": 900.0, "note": ""}, {"ingredient_id": "diced_tomatoes", "name": "Diced tomatoes, canned", "grams": 200.0, "note": ""}, {"ingredient_id": "cajun_seasoning", "name": "Cajun seasoning", "grams": 10.0, "note": ""}, {"ingredient_id": "garlic", "name": "Garlic", "grams": 8.0, "note": ""}, {"ingredient_id": "olive_oil", "name": "Extra-virgin olive oil", "grams": 20.0, "note": ""}, {"ingredient_id": "white_rice", "name": "White rice, long-grain, cooked", "grams": 360.0, "note": ""}]</t>
        </is>
      </c>
      <c r="N1224" s="2" t="n">
        <v>328</v>
      </c>
      <c r="O1224" s="5" t="n">
        <v>26.2</v>
      </c>
      <c r="P1224" s="5" t="n">
        <v>11.9</v>
      </c>
      <c r="Q1224" s="5" t="n">
        <v>28.9</v>
      </c>
      <c r="R1224" s="5" t="n">
        <v>3.7</v>
      </c>
      <c r="S1224" s="5" t="n">
        <v>25.1</v>
      </c>
      <c r="T1224" s="2" t="n">
        <v>56</v>
      </c>
      <c r="U1224" s="2" t="inlineStr">
        <is>
          <t>medium</t>
        </is>
      </c>
      <c r="V1224" s="5" t="n">
        <v>14.1</v>
      </c>
      <c r="W1224" s="2" t="inlineStr">
        <is>
          <t>medium</t>
        </is>
      </c>
      <c r="X1224" s="3" t="inlineStr">
        <is>
          <t>Medium-GI dish: keep to the stated portion and pair with the protein/fat in the recipe; GL per serving is the better guide.</t>
        </is>
      </c>
      <c r="Y1224" s="3" t="inlineStr">
        <is>
          <t>66% of this dish's available carbohydrate comes from ingredients with a published, measured GI; the rest uses conventional placeholders (see Ingredients sheet)</t>
        </is>
      </c>
      <c r="Z1224" s="2" t="n">
        <v>66</v>
      </c>
      <c r="AA1224" s="3" t="inlineStr">
        <is>
          <t>gluten-free, dairy-free, nut-free, high-protein</t>
        </is>
      </c>
      <c r="AB1224" s="3" t="inlineStr">
        <is>
          <t>1. Brown the chicken and sausage in oil and set aside.
2. Soften the onion, pepper, celery and garlic in the same pot.
3. Add the broth, tomatoes, okra, seasoning and meats and simmer 35 minutes.
4. Serve over the rice.</t>
        </is>
      </c>
      <c r="AC1224" s="4" t="inlineStr">
        <is>
          <t>["Brown the chicken and sausage in oil and set aside.", "Soften the onion, pepper, celery and garlic in the same pot.", "Add the broth, tomatoes, okra, seasoning and meats and simmer 35 minutes.", "Serve over the rice."]</t>
        </is>
      </c>
    </row>
    <row r="1225" ht="96" customHeight="1">
      <c r="A1225" s="2" t="inlineStr">
        <is>
          <t>DB-1224</t>
        </is>
      </c>
      <c r="B1225" s="3" t="inlineStr">
        <is>
          <t>Seafood Gumbo with Shrimp and Crab</t>
        </is>
      </c>
      <c r="C1225" s="4" t="inlineStr">
        <is>
          <t>Soup &amp; Stew</t>
        </is>
      </c>
      <c r="D1225" s="4" t="inlineStr">
        <is>
          <t>Cajun</t>
        </is>
      </c>
      <c r="E1225" s="2" t="n">
        <v>6</v>
      </c>
      <c r="F1225" s="2" t="n">
        <v>20</v>
      </c>
      <c r="G1225" s="2" t="n">
        <v>40</v>
      </c>
      <c r="H1225" s="2" t="n">
        <v>60</v>
      </c>
      <c r="I1225" s="4" t="inlineStr">
        <is>
          <t>seafood-gumbo-with-shrimp-and-crab.jpg</t>
        </is>
      </c>
      <c r="J1225" s="3" t="inlineStr">
        <is>
          <t>Seafood Gumbo with Shrimp and Crab, healthy food photography, plated, natural light</t>
        </is>
      </c>
      <c r="K1225" s="4" t="inlineStr"/>
      <c r="L1225" s="3" t="inlineStr">
        <is>
          <t>Shrimp, peeled — 350 g (12.3 oz)
Crab meat, lump — 250 g (8.8 oz)
Okra — 250 g (8.8 oz)
Bell pepper — 150 g (5.3 oz)
Celery — 100 g (3.5 oz)
Yellow onion — 150 g (5.3 oz)
Fish sauce — 5 g (0.2 oz)
Chicken broth, low sodium — 900 g (31.7 oz)
Diced tomatoes, canned — 250 g (8.8 oz)
Cajun seasoning — 10 g (0.4 oz)
Garlic — 8 g (0.3 oz)
Extra-virgin olive oil — 20 g (0.7 oz)</t>
        </is>
      </c>
      <c r="M1225" s="4" t="inlineStr">
        <is>
          <t>[{"ingredient_id": "shrimp", "name": "Shrimp, peeled", "grams": 350.0, "note": ""}, {"ingredient_id": "crab", "name": "Crab meat, lump", "grams": 250.0, "note": ""}, {"ingredient_id": "okra", "name": "Okra", "grams": 250.0, "note": ""}, {"ingredient_id": "bell_pepper", "name": "Bell pepper", "grams": 150.0, "note": ""}, {"ingredient_id": "celery", "name": "Celery", "grams": 100.0, "note": ""}, {"ingredient_id": "onion", "name": "Yellow onion", "grams": 150.0, "note": ""}, {"ingredient_id": "fish_sauce", "name": "Fish sauce", "grams": 5.0, "note": ""}, {"ingredient_id": "chicken_broth", "name": "Chicken broth, low sodium", "grams": 900.0, "note": ""}, {"ingredient_id": "diced_tomatoes", "name": "Diced tomatoes, canned", "grams": 250.0, "note": ""}, {"ingredient_id": "cajun_seasoning", "name": "Cajun seasoning", "grams": 10.0, "note": ""}, {"ingredient_id": "garlic", "name": "Garlic", "grams": 8.0, "note": ""}, {"ingredient_id": "olive_oil", "name": "Extra-virgin olive oil", "grams": 20.0, "note": ""}]</t>
        </is>
      </c>
      <c r="N1225" s="2" t="n">
        <v>176</v>
      </c>
      <c r="O1225" s="5" t="n">
        <v>22.9</v>
      </c>
      <c r="P1225" s="5" t="n">
        <v>4.8</v>
      </c>
      <c r="Q1225" s="5" t="n">
        <v>11.7</v>
      </c>
      <c r="R1225" s="5" t="n">
        <v>3.6</v>
      </c>
      <c r="S1225" s="5" t="n">
        <v>8.1</v>
      </c>
      <c r="T1225" s="2" t="n">
        <v>19</v>
      </c>
      <c r="U1225" s="2" t="inlineStr">
        <is>
          <t>low</t>
        </is>
      </c>
      <c r="V1225" s="5" t="n">
        <v>1.5</v>
      </c>
      <c r="W1225" s="2" t="inlineStr">
        <is>
          <t>low</t>
        </is>
      </c>
      <c r="X1225" s="3" t="inlineStr"/>
      <c r="Y1225" s="3" t="inlineStr">
        <is>
          <t>0% of this dish's available carbohydrate comes from ingredients with a published, measured GI; the rest uses conventional placeholders (see Ingredients sheet)</t>
        </is>
      </c>
      <c r="Z1225" s="2" t="n">
        <v>0</v>
      </c>
      <c r="AA1225" s="3" t="inlineStr">
        <is>
          <t>pescatarian, gluten-free, dairy-free, nut-free, low-carb</t>
        </is>
      </c>
      <c r="AB1225" s="3" t="inlineStr">
        <is>
          <t>1. Soften the onion, pepper, celery and garlic in oil.
2. Add the broth, tomatoes, okra and seasoning and simmer 25 minutes.
3. Add the shrimp and crab for the last 5 minutes.</t>
        </is>
      </c>
      <c r="AC1225" s="4" t="inlineStr">
        <is>
          <t>["Soften the onion, pepper, celery and garlic in oil.", "Add the broth, tomatoes, okra and seasoning and simmer 25 minutes.", "Add the shrimp and crab for the last 5 minutes."]</t>
        </is>
      </c>
    </row>
    <row r="1226" ht="96" customHeight="1">
      <c r="A1226" s="2" t="inlineStr">
        <is>
          <t>DB-1225</t>
        </is>
      </c>
      <c r="B1226" s="3" t="inlineStr">
        <is>
          <t>Crawfish-Style Shrimp Étouffée</t>
        </is>
      </c>
      <c r="C1226" s="4" t="inlineStr">
        <is>
          <t>Seafood</t>
        </is>
      </c>
      <c r="D1226" s="4" t="inlineStr">
        <is>
          <t>Cajun</t>
        </is>
      </c>
      <c r="E1226" s="2" t="n">
        <v>4</v>
      </c>
      <c r="F1226" s="2" t="n">
        <v>15</v>
      </c>
      <c r="G1226" s="2" t="n">
        <v>30</v>
      </c>
      <c r="H1226" s="2" t="n">
        <v>45</v>
      </c>
      <c r="I1226" s="4" t="inlineStr">
        <is>
          <t>crawfish-style-shrimp-touff-e.jpg</t>
        </is>
      </c>
      <c r="J1226" s="3" t="inlineStr">
        <is>
          <t>Crawfish-Style Shrimp Étouffée, healthy food photography, plated, natural light</t>
        </is>
      </c>
      <c r="K1226" s="4" t="inlineStr"/>
      <c r="L1226" s="3" t="inlineStr">
        <is>
          <t>Shrimp, peeled — 500 g (17.6 oz)
Yellow onion — 150 g (5.3 oz)
Bell pepper — 120 g (4.2 oz)
Celery — 80 g (2.8 oz)
Garlic — 8 g (0.3 oz)
Tomato paste — 30 g (1.1 oz)
Chicken broth, low sodium — 300 g (10.6 oz)
Cajun seasoning — 8 g (0.3 oz)
Butter — 20 g (0.7 oz)
White rice, long-grain, cooked — 360 g (12.7 oz)
Green onions (scallions) — 20 g (0.7 oz)</t>
        </is>
      </c>
      <c r="M1226" s="4" t="inlineStr">
        <is>
          <t>[{"ingredient_id": "shrimp", "name": "Shrimp, peeled", "grams": 500.0, "note": ""}, {"ingredient_id": "onion", "name": "Yellow onion", "grams": 150.0, "note": ""}, {"ingredient_id": "bell_pepper", "name": "Bell pepper", "grams": 120.0, "note": ""}, {"ingredient_id": "celery", "name": "Celery", "grams": 80.0, "note": ""}, {"ingredient_id": "garlic", "name": "Garlic", "grams": 8.0, "note": ""}, {"ingredient_id": "tomato_paste", "name": "Tomato paste", "grams": 30.0, "note": ""}, {"ingredient_id": "chicken_broth", "name": "Chicken broth, low sodium", "grams": 300.0, "note": ""}, {"ingredient_id": "cajun_seasoning", "name": "Cajun seasoning", "grams": 8.0, "note": ""}, {"ingredient_id": "butter", "name": "Butter", "grams": 20.0, "note": ""}, {"ingredient_id": "white_rice", "name": "White rice, long-grain, cooked", "grams": 360.0, "note": ""}, {"ingredient_id": "green_onion", "name": "Green onions (scallions)", "grams": 20.0, "note": ""}]</t>
        </is>
      </c>
      <c r="N1226" s="2" t="n">
        <v>308</v>
      </c>
      <c r="O1226" s="5" t="n">
        <v>29.8</v>
      </c>
      <c r="P1226" s="5" t="n">
        <v>5.5</v>
      </c>
      <c r="Q1226" s="5" t="n">
        <v>35</v>
      </c>
      <c r="R1226" s="5" t="n">
        <v>2.9</v>
      </c>
      <c r="S1226" s="5" t="n">
        <v>32.1</v>
      </c>
      <c r="T1226" s="2" t="n">
        <v>64</v>
      </c>
      <c r="U1226" s="2" t="inlineStr">
        <is>
          <t>medium</t>
        </is>
      </c>
      <c r="V1226" s="5" t="n">
        <v>20.5</v>
      </c>
      <c r="W1226" s="2" t="inlineStr">
        <is>
          <t>high</t>
        </is>
      </c>
      <c r="X1226" s="3" t="inlineStr">
        <is>
          <t>Medium-GI dish: keep to the stated portion and pair with the protein/fat in the recipe; GL per serving is the better guide.</t>
        </is>
      </c>
      <c r="Y1226" s="3" t="inlineStr">
        <is>
          <t>77% of this dish's available carbohydrate comes from ingredients with a published, measured GI; the rest uses conventional placeholders (see Ingredients sheet)</t>
        </is>
      </c>
      <c r="Z1226" s="2" t="n">
        <v>77</v>
      </c>
      <c r="AA1226" s="3" t="inlineStr">
        <is>
          <t>pescatarian, gluten-free, nut-free, high-protein</t>
        </is>
      </c>
      <c r="AB1226" s="3" t="inlineStr">
        <is>
          <t>1. Soften the onion, pepper, celery and garlic in butter.
2. Stir in the paste, broth and seasoning and simmer 12 minutes.
3. Add the shrimp and cook 4 minutes.
4. Serve over rice with green onion.</t>
        </is>
      </c>
      <c r="AC1226" s="4" t="inlineStr">
        <is>
          <t>["Soften the onion, pepper, celery and garlic in butter.", "Stir in the paste, broth and seasoning and simmer 12 minutes.", "Add the shrimp and cook 4 minutes.", "Serve over rice with green onion."]</t>
        </is>
      </c>
    </row>
    <row r="1227" ht="96" customHeight="1">
      <c r="A1227" s="2" t="inlineStr">
        <is>
          <t>DB-1226</t>
        </is>
      </c>
      <c r="B1227" s="3" t="inlineStr">
        <is>
          <t>Blackened Chicken with Dirty Cauliflower Rice</t>
        </is>
      </c>
      <c r="C1227" s="4" t="inlineStr">
        <is>
          <t>Poultry</t>
        </is>
      </c>
      <c r="D1227" s="4" t="inlineStr">
        <is>
          <t>Cajun</t>
        </is>
      </c>
      <c r="E1227" s="2" t="n">
        <v>4</v>
      </c>
      <c r="F1227" s="2" t="n">
        <v>15</v>
      </c>
      <c r="G1227" s="2" t="n">
        <v>20</v>
      </c>
      <c r="H1227" s="2" t="n">
        <v>35</v>
      </c>
      <c r="I1227" s="4" t="inlineStr">
        <is>
          <t>blackened-chicken-with-dirty-cauliflower-rice.jpg</t>
        </is>
      </c>
      <c r="J1227" s="3" t="inlineStr">
        <is>
          <t>Blackened Chicken with Dirty Cauliflower Rice, healthy food photography, plated, natural light</t>
        </is>
      </c>
      <c r="K1227" s="4" t="inlineStr"/>
      <c r="L1227" s="3" t="inlineStr">
        <is>
          <t>Chicken breast, skinless — 560 g (19.8 oz)
Cajun seasoning — 12 g (0.4 oz)
Cauliflower rice — 400 g (14.1 oz)
Ground turkey 93% lean — 150 g (5.3 oz)
Bell pepper — 100 g (3.5 oz)
Celery — 60 g (2.1 oz)
Yellow onion — 80 g (2.8 oz)
Extra-virgin olive oil — 25 g (0.9 oz)
Green onions (scallions) — 15 g (0.5 oz)</t>
        </is>
      </c>
      <c r="M1227" s="4" t="inlineStr">
        <is>
          <t>[{"ingredient_id": "chicken_breast", "name": "Chicken breast, skinless", "grams": 560.0, "note": ""}, {"ingredient_id": "cajun_seasoning", "name": "Cajun seasoning", "grams": 12.0, "note": ""}, {"ingredient_id": "cauliflower_rice", "name": "Cauliflower rice", "grams": 400.0, "note": ""}, {"ingredient_id": "ground_turkey", "name": "Ground turkey 93% lean", "grams": 150.0, "note": ""}, {"ingredient_id": "bell_pepper", "name": "Bell pepper", "grams": 100.0, "note": ""}, {"ingredient_id": "celery", "name": "Celery", "grams": 60.0, "note": ""}, {"ingredient_id": "onion", "name": "Yellow onion", "grams": 80.0, "note": ""}, {"ingredient_id": "olive_oil", "name": "Extra-virgin olive oil", "grams": 25.0, "note": ""}, {"ingredient_id": "green_onion", "name": "Green onions (scallions)", "grams": 15.0, "note": ""}]</t>
        </is>
      </c>
      <c r="N1227" s="2" t="n">
        <v>333</v>
      </c>
      <c r="O1227" s="5" t="n">
        <v>41.4</v>
      </c>
      <c r="P1227" s="5" t="n">
        <v>13.6</v>
      </c>
      <c r="Q1227" s="5" t="n">
        <v>10.7</v>
      </c>
      <c r="R1227" s="5" t="n">
        <v>4</v>
      </c>
      <c r="S1227" s="5" t="n">
        <v>6.8</v>
      </c>
      <c r="T1227" s="2" t="n">
        <v>15</v>
      </c>
      <c r="U1227" s="2" t="inlineStr">
        <is>
          <t>low</t>
        </is>
      </c>
      <c r="V1227" s="5" t="n">
        <v>1</v>
      </c>
      <c r="W1227" s="2" t="inlineStr">
        <is>
          <t>low</t>
        </is>
      </c>
      <c r="X1227" s="3" t="inlineStr"/>
      <c r="Y1227" s="3" t="inlineStr">
        <is>
          <t>0% of this dish's available carbohydrate comes from ingredients with a published, measured GI; the rest uses conventional placeholders (see Ingredients sheet)</t>
        </is>
      </c>
      <c r="Z1227" s="2" t="n">
        <v>0</v>
      </c>
      <c r="AA1227" s="3" t="inlineStr">
        <is>
          <t>gluten-free, dairy-free, nut-free, low-carb, high-protein</t>
        </is>
      </c>
      <c r="AB1227" s="3" t="inlineStr">
        <is>
          <t>1. Coat the chicken in Cajun seasoning and sear in oil, 5 minutes a side.
2. Brown the turkey with the onion, pepper and celery and add the cauliflower rice.
3. Serve the sliced chicken over the rice with green onion.</t>
        </is>
      </c>
      <c r="AC1227" s="4" t="inlineStr">
        <is>
          <t>["Coat the chicken in Cajun seasoning and sear in oil, 5 minutes a side.", "Brown the turkey with the onion, pepper and celery and add the cauliflower rice.", "Serve the sliced chicken over the rice with green onion."]</t>
        </is>
      </c>
    </row>
    <row r="1228" ht="96" customHeight="1">
      <c r="A1228" s="2" t="inlineStr">
        <is>
          <t>DB-1227</t>
        </is>
      </c>
      <c r="B1228" s="3" t="inlineStr">
        <is>
          <t>Louisiana Red Rice with Smoked Sausage</t>
        </is>
      </c>
      <c r="C1228" s="4" t="inlineStr">
        <is>
          <t>Beef, Pork &amp; Lamb</t>
        </is>
      </c>
      <c r="D1228" s="4" t="inlineStr">
        <is>
          <t>Cajun</t>
        </is>
      </c>
      <c r="E1228" s="2" t="n">
        <v>5</v>
      </c>
      <c r="F1228" s="2" t="n">
        <v>10</v>
      </c>
      <c r="G1228" s="2" t="n">
        <v>30</v>
      </c>
      <c r="H1228" s="2" t="n">
        <v>40</v>
      </c>
      <c r="I1228" s="4" t="inlineStr">
        <is>
          <t>louisiana-red-rice-with-smoked-sausage.jpg</t>
        </is>
      </c>
      <c r="J1228" s="3" t="inlineStr">
        <is>
          <t>Louisiana Red Rice with Smoked Sausage, healthy food photography, plated, natural light</t>
        </is>
      </c>
      <c r="K1228" s="4" t="inlineStr"/>
      <c r="L1228" s="3" t="inlineStr">
        <is>
          <t>White rice, long-grain, cooked — 450 g (15.9 oz)
Chicken sausage — 250 g (8.8 oz)
Tomato paste — 40 g (1.4 oz)
Yellow onion — 100 g (3.5 oz)
Bell pepper — 100 g (3.5 oz)
Celery — 60 g (2.1 oz)
Chicken broth, low sodium — 200 g (7.1 oz)
Cajun seasoning — 6 g (0.2 oz)
Garlic — 6 g (0.2 oz)
Extra-virgin olive oil — 10 g (0.4 oz)</t>
        </is>
      </c>
      <c r="M1228" s="4" t="inlineStr">
        <is>
          <t>[{"ingredient_id": "white_rice", "name": "White rice, long-grain, cooked", "grams": 450.0, "note": ""}, {"ingredient_id": "chicken_sausage", "name": "Chicken sausage", "grams": 250.0, "note": ""}, {"ingredient_id": "tomato_paste", "name": "Tomato paste", "grams": 40.0, "note": ""}, {"ingredient_id": "onion", "name": "Yellow onion", "grams": 100.0, "note": ""}, {"ingredient_id": "bell_pepper", "name": "Bell pepper", "grams": 100.0, "note": ""}, {"ingredient_id": "celery", "name": "Celery", "grams": 60.0, "note": ""}, {"ingredient_id": "chicken_broth", "name": "Chicken broth, low sodium", "grams": 200.0, "note": ""}, {"ingredient_id": "cajun_seasoning", "name": "Cajun seasoning", "grams": 6.0, "note": ""}, {"ingredient_id": "garlic", "name": "Garlic", "grams": 6.0, "note": ""}, {"ingredient_id": "olive_oil", "name": "Extra-virgin olive oil", "grams": 10.0, "note": ""}]</t>
        </is>
      </c>
      <c r="N1228" s="2" t="n">
        <v>250</v>
      </c>
      <c r="O1228" s="5" t="n">
        <v>11.3</v>
      </c>
      <c r="P1228" s="5" t="n">
        <v>8.1</v>
      </c>
      <c r="Q1228" s="5" t="n">
        <v>32.4</v>
      </c>
      <c r="R1228" s="5" t="n">
        <v>2</v>
      </c>
      <c r="S1228" s="5" t="n">
        <v>30.4</v>
      </c>
      <c r="T1228" s="2" t="n">
        <v>66</v>
      </c>
      <c r="U1228" s="2" t="inlineStr">
        <is>
          <t>medium</t>
        </is>
      </c>
      <c r="V1228" s="5" t="n">
        <v>20.1</v>
      </c>
      <c r="W1228" s="2" t="inlineStr">
        <is>
          <t>high</t>
        </is>
      </c>
      <c r="X1228" s="3" t="inlineStr">
        <is>
          <t>Medium-GI dish: keep to the stated portion and pair with the protein/fat in the recipe; GL per serving is the better guide.</t>
        </is>
      </c>
      <c r="Y1228" s="3" t="inlineStr">
        <is>
          <t>82% of this dish's available carbohydrate comes from ingredients with a published, measured GI; the rest uses conventional placeholders (see Ingredients sheet)</t>
        </is>
      </c>
      <c r="Z1228" s="2" t="n">
        <v>82</v>
      </c>
      <c r="AA1228" s="3" t="inlineStr">
        <is>
          <t>gluten-free, dairy-free, nut-free</t>
        </is>
      </c>
      <c r="AB1228" s="3" t="inlineStr">
        <is>
          <t>1. Brown the sliced sausage in oil.
2. Add the onion, pepper, celery and garlic and soften.
3. Stir in the paste, broth and seasoning, then the cooked rice, and heat through.</t>
        </is>
      </c>
      <c r="AC1228" s="4" t="inlineStr">
        <is>
          <t>["Brown the sliced sausage in oil.", "Add the onion, pepper, celery and garlic and soften.", "Stir in the paste, broth and seasoning, then the cooked rice, and heat through."]</t>
        </is>
      </c>
    </row>
    <row r="1229" ht="96" customHeight="1">
      <c r="A1229" s="2" t="inlineStr">
        <is>
          <t>DB-1228</t>
        </is>
      </c>
      <c r="B1229" s="3" t="inlineStr">
        <is>
          <t>Hoppin' John with Black-Eyed Peas</t>
        </is>
      </c>
      <c r="C1229" s="4" t="inlineStr">
        <is>
          <t>Vegetarian &amp; Vegan</t>
        </is>
      </c>
      <c r="D1229" s="4" t="inlineStr">
        <is>
          <t>American</t>
        </is>
      </c>
      <c r="E1229" s="2" t="n">
        <v>6</v>
      </c>
      <c r="F1229" s="2" t="n">
        <v>10</v>
      </c>
      <c r="G1229" s="2" t="n">
        <v>40</v>
      </c>
      <c r="H1229" s="2" t="n">
        <v>50</v>
      </c>
      <c r="I1229" s="4" t="inlineStr">
        <is>
          <t>hoppin-john-with-black-eyed-peas.jpg</t>
        </is>
      </c>
      <c r="J1229" s="3" t="inlineStr">
        <is>
          <t>Hoppin' John with Black-Eyed Peas, healthy food photography, plated, natural light</t>
        </is>
      </c>
      <c r="K1229" s="4" t="inlineStr"/>
      <c r="L1229" s="3" t="inlineStr">
        <is>
          <t>Black-eyed peas, cooked — 600 g (21.2 oz)
White rice, long-grain, cooked — 360 g (12.7 oz)
Ham, lean — 120 g (4.2 oz)
Yellow onion — 120 g (4.2 oz)
Celery — 80 g (2.8 oz)
Bell pepper — 100 g (3.5 oz)
Garlic — 6 g (0.2 oz)
Chicken broth, low sodium — 400 g (14.1 oz)
Hot sauce (Tabasco/Frank's) — 10 g (0.4 oz)</t>
        </is>
      </c>
      <c r="M1229" s="4" t="inlineStr">
        <is>
          <t>[{"ingredient_id": "black_eyed_peas", "name": "Black-eyed peas, cooked", "grams": 600.0, "note": ""}, {"ingredient_id": "white_rice", "name": "White rice, long-grain, cooked", "grams": 360.0, "note": ""}, {"ingredient_id": "ham", "name": "Ham, lean", "grams": 120.0, "note": ""}, {"ingredient_id": "onion", "name": "Yellow onion", "grams": 120.0, "note": ""}, {"ingredient_id": "celery", "name": "Celery", "grams": 80.0, "note": ""}, {"ingredient_id": "bell_pepper", "name": "Bell pepper", "grams": 100.0, "note": ""}, {"ingredient_id": "garlic", "name": "Garlic", "grams": 6.0, "note": ""}, {"ingredient_id": "chicken_broth", "name": "Chicken broth, low sodium", "grams": 400.0, "note": ""}, {"ingredient_id": "hot_sauce", "name": "Hot sauce (Tabasco/Frank's)", "grams": 10.0, "note": ""}]</t>
        </is>
      </c>
      <c r="N1229" s="2" t="n">
        <v>244</v>
      </c>
      <c r="O1229" s="5" t="n">
        <v>14.7</v>
      </c>
      <c r="P1229" s="5" t="n">
        <v>2.1</v>
      </c>
      <c r="Q1229" s="5" t="n">
        <v>41.9</v>
      </c>
      <c r="R1229" s="5" t="n">
        <v>7.7</v>
      </c>
      <c r="S1229" s="5" t="n">
        <v>34.2</v>
      </c>
      <c r="T1229" s="2" t="n">
        <v>60</v>
      </c>
      <c r="U1229" s="2" t="inlineStr">
        <is>
          <t>medium</t>
        </is>
      </c>
      <c r="V1229" s="5" t="n">
        <v>20.5</v>
      </c>
      <c r="W1229" s="2" t="inlineStr">
        <is>
          <t>high</t>
        </is>
      </c>
      <c r="X1229" s="3" t="inlineStr">
        <is>
          <t>Medium-GI dish: keep to the stated portion and pair with the protein/fat in the recipe; GL per serving is the better guide.</t>
        </is>
      </c>
      <c r="Y1229" s="3" t="inlineStr">
        <is>
          <t>90% of this dish's available carbohydrate comes from ingredients with a published, measured GI; the rest uses conventional placeholders (see Ingredients sheet)</t>
        </is>
      </c>
      <c r="Z1229" s="2" t="n">
        <v>90</v>
      </c>
      <c r="AA1229" s="3" t="inlineStr">
        <is>
          <t>gluten-free, dairy-free, nut-free, high-fiber</t>
        </is>
      </c>
      <c r="AB1229" s="3" t="inlineStr">
        <is>
          <t>1. Simmer the peas with the ham, onion, celery, pepper, garlic and broth for 30 minutes.
2. Serve over the rice with hot sauce.</t>
        </is>
      </c>
      <c r="AC1229" s="4" t="inlineStr">
        <is>
          <t>["Simmer the peas with the ham, onion, celery, pepper, garlic and broth for 30 minutes.", "Serve over the rice with hot sauce."]</t>
        </is>
      </c>
    </row>
    <row r="1230" ht="96" customHeight="1">
      <c r="A1230" s="2" t="inlineStr">
        <is>
          <t>DB-1229</t>
        </is>
      </c>
      <c r="B1230" s="3" t="inlineStr">
        <is>
          <t>Smothered Chicken Thighs with Onion Gravy</t>
        </is>
      </c>
      <c r="C1230" s="4" t="inlineStr">
        <is>
          <t>Poultry</t>
        </is>
      </c>
      <c r="D1230" s="4" t="inlineStr">
        <is>
          <t>American</t>
        </is>
      </c>
      <c r="E1230" s="2" t="n">
        <v>4</v>
      </c>
      <c r="F1230" s="2" t="n">
        <v>10</v>
      </c>
      <c r="G1230" s="2" t="n">
        <v>40</v>
      </c>
      <c r="H1230" s="2" t="n">
        <v>50</v>
      </c>
      <c r="I1230" s="4" t="inlineStr">
        <is>
          <t>smothered-chicken-thighs-with-onion-gravy.jpg</t>
        </is>
      </c>
      <c r="J1230" s="3" t="inlineStr">
        <is>
          <t>Smothered Chicken Thighs with Onion Gravy, healthy food photography, plated, natural light</t>
        </is>
      </c>
      <c r="K1230" s="4" t="inlineStr"/>
      <c r="L1230" s="3" t="inlineStr">
        <is>
          <t>Chicken thigh, skinless boneless — 700 g (24.7 oz)
Yellow onion — 250 g (8.8 oz)
Chicken broth, low sodium — 300 g (10.6 oz)
Arrowroot starch — 8 g (0.3 oz)
Paprika — 3 g (0.1 oz)
Garlic powder — 3 g (0.1 oz)
Fresh thyme — 2 g (0.1 oz)
Extra-virgin olive oil — 20 g (0.7 oz)
Green beans — 300 g (10.6 oz)</t>
        </is>
      </c>
      <c r="M1230" s="4" t="inlineStr">
        <is>
          <t>[{"ingredient_id": "chicken_thigh", "name": "Chicken thigh, skinless boneless", "grams": 700.0, "note": ""}, {"ingredient_id": "onion", "name": "Yellow onion", "grams": 250.0, "note": ""}, {"ingredient_id": "chicken_broth", "name": "Chicken broth, low sodium", "grams": 300.0, "note": ""}, {"ingredient_id": "arrowroot", "name": "Arrowroot starch", "grams": 8.0, "note": ""}, {"ingredient_id": "paprika", "name": "Paprika", "grams": 3.0, "note": ""}, {"ingredient_id": "garlic_powder", "name": "Garlic powder", "grams": 3.0, "note": ""}, {"ingredient_id": "thyme", "name": "Fresh thyme", "grams": 2.0, "note": ""}, {"ingredient_id": "olive_oil", "name": "Extra-virgin olive oil", "grams": 20.0, "note": ""}, {"ingredient_id": "green_beans", "name": "Green beans", "grams": 300.0, "note": ""}]</t>
        </is>
      </c>
      <c r="N1230" s="2" t="n">
        <v>322</v>
      </c>
      <c r="O1230" s="5" t="n">
        <v>37.5</v>
      </c>
      <c r="P1230" s="5" t="n">
        <v>12.7</v>
      </c>
      <c r="Q1230" s="5" t="n">
        <v>14.3</v>
      </c>
      <c r="R1230" s="5" t="n">
        <v>3.6</v>
      </c>
      <c r="S1230" s="5" t="n">
        <v>10.7</v>
      </c>
      <c r="T1230" s="2" t="n">
        <v>22</v>
      </c>
      <c r="U1230" s="2" t="inlineStr">
        <is>
          <t>low</t>
        </is>
      </c>
      <c r="V1230" s="5" t="n">
        <v>2.4</v>
      </c>
      <c r="W1230" s="2" t="inlineStr">
        <is>
          <t>low</t>
        </is>
      </c>
      <c r="X1230" s="3" t="inlineStr"/>
      <c r="Y1230" s="3" t="inlineStr">
        <is>
          <t>16% of this dish's available carbohydrate comes from ingredients with a published, measured GI; the rest uses conventional placeholders (see Ingredients sheet)</t>
        </is>
      </c>
      <c r="Z1230" s="2" t="n">
        <v>16</v>
      </c>
      <c r="AA1230" s="3" t="inlineStr">
        <is>
          <t>gluten-free, dairy-free, nut-free, low-carb, high-protein</t>
        </is>
      </c>
      <c r="AB1230" s="3" t="inlineStr">
        <is>
          <t>1. Season and sear the chicken in oil, then set aside.
2. Cook the onions slowly in the pan until deep golden.
3. Add the broth, thyme and arrowroot slurry and simmer to a gravy.
4. Return the chicken and braise 20 minutes; serve with green beans.</t>
        </is>
      </c>
      <c r="AC1230" s="4" t="inlineStr">
        <is>
          <t>["Season and sear the chicken in oil, then set aside.", "Cook the onions slowly in the pan until deep golden.", "Add the broth, thyme and arrowroot slurry and simmer to a gravy.", "Return the chicken and braise 20 minutes; serve with green beans."]</t>
        </is>
      </c>
    </row>
    <row r="1231" ht="96" customHeight="1">
      <c r="A1231" s="2" t="inlineStr">
        <is>
          <t>DB-1230</t>
        </is>
      </c>
      <c r="B1231" s="3" t="inlineStr">
        <is>
          <t>Southern Pan-Fried Catfish with Slaw</t>
        </is>
      </c>
      <c r="C1231" s="4" t="inlineStr">
        <is>
          <t>Seafood</t>
        </is>
      </c>
      <c r="D1231" s="4" t="inlineStr">
        <is>
          <t>American</t>
        </is>
      </c>
      <c r="E1231" s="2" t="n">
        <v>4</v>
      </c>
      <c r="F1231" s="2" t="n">
        <v>15</v>
      </c>
      <c r="G1231" s="2" t="n">
        <v>15</v>
      </c>
      <c r="H1231" s="2" t="n">
        <v>30</v>
      </c>
      <c r="I1231" s="4" t="inlineStr">
        <is>
          <t>southern-pan-fried-catfish-with-slaw.jpg</t>
        </is>
      </c>
      <c r="J1231" s="3" t="inlineStr">
        <is>
          <t>Southern Pan-Fried Catfish with Slaw, healthy food photography, plated, natural light</t>
        </is>
      </c>
      <c r="K1231" s="4" t="inlineStr"/>
      <c r="L1231" s="3" t="inlineStr">
        <is>
          <t>Catfish fillet — 560 g (19.8 oz)
Almond flour — 50 g (1.8 oz)
Parmesan, grated — 20 g (0.7 oz)
Egg, large (50 g each) — 50 g (1.8 oz)
Cajun seasoning — 5 g (0.2 oz)
Extra-virgin olive oil — 30 g (1.1 oz)
Coleslaw mix (cabbage &amp; carrot) — 250 g (8.8 oz)
Greek yogurt, plain 2% — 70 g (2.5 oz)
Apple cider vinegar — 15 g (0.5 oz)</t>
        </is>
      </c>
      <c r="M1231" s="4" t="inlineStr">
        <is>
          <t>[{"ingredient_id": "catfish", "name": "Catfish fillet", "grams": 560.0, "note": ""}, {"ingredient_id": "almond_flour", "name": "Almond flour", "grams": 50.0, "note": ""}, {"ingredient_id": "parmesan", "name": "Parmesan, grated", "grams": 20.0, "note": ""}, {"ingredient_id": "egg", "name": "Egg, large (50 g each)", "grams": 50.0, "note": ""}, {"ingredient_id": "cajun_seasoning", "name": "Cajun seasoning", "grams": 5.0, "note": ""}, {"ingredient_id": "olive_oil", "name": "Extra-virgin olive oil", "grams": 30.0, "note": ""}, {"ingredient_id": "coleslaw_mix", "name": "Coleslaw mix (cabbage &amp; carrot)", "grams": 250.0, "note": ""}, {"ingredient_id": "greek_yogurt", "name": "Greek yogurt, plain 2%", "grams": 70.0, "note": ""}, {"ingredient_id": "apple_cider_vinegar", "name": "Apple cider vinegar", "grams": 15.0, "note": ""}]</t>
        </is>
      </c>
      <c r="N1231" s="2" t="n">
        <v>347</v>
      </c>
      <c r="O1231" s="5" t="n">
        <v>31.2</v>
      </c>
      <c r="P1231" s="5" t="n">
        <v>21.1</v>
      </c>
      <c r="Q1231" s="5" t="n">
        <v>8.1</v>
      </c>
      <c r="R1231" s="5" t="n">
        <v>3.3</v>
      </c>
      <c r="S1231" s="5" t="n">
        <v>4.8</v>
      </c>
      <c r="T1231" s="2" t="n">
        <v>13</v>
      </c>
      <c r="U1231" s="2" t="inlineStr">
        <is>
          <t>low</t>
        </is>
      </c>
      <c r="V1231" s="5" t="n">
        <v>0.6</v>
      </c>
      <c r="W1231" s="2" t="inlineStr">
        <is>
          <t>low</t>
        </is>
      </c>
      <c r="X1231" s="3" t="inlineStr">
        <is>
          <t>Negligible carbohydrate (&lt;5 g net/serving): GI has little practical meaning, glycemic load is what matters.</t>
        </is>
      </c>
      <c r="Y1231" s="3" t="inlineStr">
        <is>
          <t>15% of this dish's available carbohydrate comes from ingredients with a published, measured GI; the rest uses conventional placeholders (see Ingredients sheet)</t>
        </is>
      </c>
      <c r="Z1231" s="2" t="n">
        <v>15</v>
      </c>
      <c r="AA1231" s="3" t="inlineStr">
        <is>
          <t>pescatarian, gluten-free, low-carb, high-protein</t>
        </is>
      </c>
      <c r="AB1231" s="3" t="inlineStr">
        <is>
          <t>1. Dip the catfish in egg, then almond flour mixed with parmesan and seasoning.
2. Pan-fry in oil 4 minutes a side.
3. Toss the slaw with yogurt and vinegar and serve alongside.</t>
        </is>
      </c>
      <c r="AC1231" s="4" t="inlineStr">
        <is>
          <t>["Dip the catfish in egg, then almond flour mixed with parmesan and seasoning.", "Pan-fry in oil 4 minutes a side.", "Toss the slaw with yogurt and vinegar and serve alongside."]</t>
        </is>
      </c>
    </row>
    <row r="1232" ht="96" customHeight="1">
      <c r="A1232" s="2" t="inlineStr">
        <is>
          <t>DB-1231</t>
        </is>
      </c>
      <c r="B1232" s="3" t="inlineStr">
        <is>
          <t>Shrimp Po' Boy Lettuce Boats</t>
        </is>
      </c>
      <c r="C1232" s="4" t="inlineStr">
        <is>
          <t>Sandwiches &amp; Wraps</t>
        </is>
      </c>
      <c r="D1232" s="4" t="inlineStr">
        <is>
          <t>Cajun</t>
        </is>
      </c>
      <c r="E1232" s="2" t="n">
        <v>4</v>
      </c>
      <c r="F1232" s="2" t="n">
        <v>15</v>
      </c>
      <c r="G1232" s="2" t="n">
        <v>8</v>
      </c>
      <c r="H1232" s="2" t="n">
        <v>23</v>
      </c>
      <c r="I1232" s="4" t="inlineStr">
        <is>
          <t>shrimp-po-boy-lettuce-boats.jpg</t>
        </is>
      </c>
      <c r="J1232" s="3" t="inlineStr">
        <is>
          <t>Shrimp Po' Boy Lettuce Boats, healthy food photography, plated, natural light</t>
        </is>
      </c>
      <c r="K1232" s="4" t="inlineStr"/>
      <c r="L1232" s="3" t="inlineStr">
        <is>
          <t>Shrimp, peeled — 450 g (15.9 oz)
Cajun seasoning — 6 g (0.2 oz)
Butter lettuce — 150 g (5.3 oz)
Tomato — 150 g (5.3 oz)
Dill pickles — 50 g (1.8 oz)
Mayonnaise (avocado oil) — 30 g (1.1 oz)
Hot sauce (Tabasco/Frank's) — 10 g (0.4 oz)
Lemon juice — 15 g (0.5 oz)
Extra-virgin olive oil — 15 g (0.5 oz)</t>
        </is>
      </c>
      <c r="M1232" s="4" t="inlineStr">
        <is>
          <t>[{"ingredient_id": "shrimp", "name": "Shrimp, peeled", "grams": 450.0, "note": ""}, {"ingredient_id": "cajun_seasoning", "name": "Cajun seasoning", "grams": 6.0, "note": ""}, {"ingredient_id": "butter_lettuce", "name": "Butter lettuce", "grams": 150.0, "note": ""}, {"ingredient_id": "tomato", "name": "Tomato", "grams": 150.0, "note": ""}, {"ingredient_id": "dill_pickle", "name": "Dill pickles", "grams": 50.0, "note": ""}, {"ingredient_id": "mayo", "name": "Mayonnaise (avocado oil)", "grams": 30.0, "note": ""}, {"ingredient_id": "hot_sauce", "name": "Hot sauce (Tabasco/Frank's)", "grams": 10.0, "note": ""}, {"ingredient_id": "lemon_juice", "name": "Lemon juice", "grams": 15.0, "note": ""}, {"ingredient_id": "olive_oil", "name": "Extra-virgin olive oil", "grams": 15.0, "note": ""}]</t>
        </is>
      </c>
      <c r="N1232" s="2" t="n">
        <v>200</v>
      </c>
      <c r="O1232" s="5" t="n">
        <v>23.6</v>
      </c>
      <c r="P1232" s="5" t="n">
        <v>10.5</v>
      </c>
      <c r="Q1232" s="5" t="n">
        <v>3.7</v>
      </c>
      <c r="R1232" s="5" t="n">
        <v>1.4</v>
      </c>
      <c r="S1232" s="5" t="n">
        <v>2.3</v>
      </c>
      <c r="T1232" s="2" t="n">
        <v>16</v>
      </c>
      <c r="U1232" s="2" t="inlineStr">
        <is>
          <t>low</t>
        </is>
      </c>
      <c r="V1232" s="5" t="n">
        <v>0.4</v>
      </c>
      <c r="W1232" s="2" t="inlineStr">
        <is>
          <t>low</t>
        </is>
      </c>
      <c r="X1232" s="3" t="inlineStr">
        <is>
          <t>Negligible carbohydrate (&lt;5 g net/serving): GI has little practical meaning, glycemic load is what matters.</t>
        </is>
      </c>
      <c r="Y1232" s="3" t="inlineStr">
        <is>
          <t>0% of this dish's available carbohydrate comes from ingredients with a published, measured GI; the rest uses conventional placeholders (see Ingredients sheet)</t>
        </is>
      </c>
      <c r="Z1232" s="2" t="n">
        <v>0</v>
      </c>
      <c r="AA1232" s="3" t="inlineStr">
        <is>
          <t>pescatarian, gluten-free, dairy-free, nut-free, low-carb</t>
        </is>
      </c>
      <c r="AB1232" s="3" t="inlineStr">
        <is>
          <t>1. Season the shrimp and sear in oil 2 minutes a side.
2. Mix the mayo, hot sauce and lemon.
3. Fill the lettuce leaves with shrimp, tomato, pickle and sauce.</t>
        </is>
      </c>
      <c r="AC1232" s="4" t="inlineStr">
        <is>
          <t>["Season the shrimp and sear in oil 2 minutes a side.", "Mix the mayo, hot sauce and lemon.", "Fill the lettuce leaves with shrimp, tomato, pickle and sauce."]</t>
        </is>
      </c>
    </row>
    <row r="1233" ht="96" customHeight="1">
      <c r="A1233" s="2" t="inlineStr">
        <is>
          <t>DB-1232</t>
        </is>
      </c>
      <c r="B1233" s="3" t="inlineStr">
        <is>
          <t>Oyster Po' Boy on a Bun</t>
        </is>
      </c>
      <c r="C1233" s="4" t="inlineStr">
        <is>
          <t>Sandwiches &amp; Wraps</t>
        </is>
      </c>
      <c r="D1233" s="4" t="inlineStr">
        <is>
          <t>Cajun</t>
        </is>
      </c>
      <c r="E1233" s="2" t="n">
        <v>3</v>
      </c>
      <c r="F1233" s="2" t="n">
        <v>15</v>
      </c>
      <c r="G1233" s="2" t="n">
        <v>10</v>
      </c>
      <c r="H1233" s="2" t="n">
        <v>25</v>
      </c>
      <c r="I1233" s="4" t="inlineStr">
        <is>
          <t>oyster-po-boy-on-a-bun.jpg</t>
        </is>
      </c>
      <c r="J1233" s="3" t="inlineStr">
        <is>
          <t>Oyster Po' Boy on a Bun, healthy food photography, plated, natural light</t>
        </is>
      </c>
      <c r="K1233" s="4" t="inlineStr"/>
      <c r="L1233" s="3" t="inlineStr">
        <is>
          <t>Oysters — 300 g (10.6 oz)
Hamburger bun, white — 180 g (6.3 oz)
Almond flour — 40 g (1.4 oz)
Egg, large (50 g each) — 50 g (1.8 oz)
Cajun seasoning — 4 g (0.1 oz)
Romaine lettuce — 50 g (1.8 oz)
Tomato — 100 g (3.5 oz)
Mayonnaise (avocado oil) — 25 g (0.9 oz)
Extra-virgin olive oil — 25 g (0.9 oz)</t>
        </is>
      </c>
      <c r="M1233" s="4" t="inlineStr">
        <is>
          <t>[{"ingredient_id": "oysters", "name": "Oysters", "grams": 300.0, "note": ""}, {"ingredient_id": "hamburger_bun", "name": "Hamburger bun, white", "grams": 180.0, "note": ""}, {"ingredient_id": "almond_flour", "name": "Almond flour", "grams": 40.0, "note": ""}, {"ingredient_id": "egg", "name": "Egg, large (50 g each)", "grams": 50.0, "note": ""}, {"ingredient_id": "cajun_seasoning", "name": "Cajun seasoning", "grams": 4.0, "note": ""}, {"ingredient_id": "romaine", "name": "Romaine lettuce", "grams": 50.0, "note": ""}, {"ingredient_id": "tomato", "name": "Tomato", "grams": 100.0, "note": ""}, {"ingredient_id": "mayo", "name": "Mayonnaise (avocado oil)", "grams": 25.0, "note": ""}, {"ingredient_id": "olive_oil", "name": "Extra-virgin olive oil", "grams": 25.0, "note": ""}]</t>
        </is>
      </c>
      <c r="N1233" s="2" t="n">
        <v>476</v>
      </c>
      <c r="O1233" s="5" t="n">
        <v>18.2</v>
      </c>
      <c r="P1233" s="5" t="n">
        <v>28</v>
      </c>
      <c r="Q1233" s="5" t="n">
        <v>39</v>
      </c>
      <c r="R1233" s="5" t="n">
        <v>4.1</v>
      </c>
      <c r="S1233" s="5" t="n">
        <v>35</v>
      </c>
      <c r="T1233" s="2" t="n">
        <v>51</v>
      </c>
      <c r="U1233" s="2" t="inlineStr">
        <is>
          <t>low</t>
        </is>
      </c>
      <c r="V1233" s="5" t="n">
        <v>17.8</v>
      </c>
      <c r="W1233" s="2" t="inlineStr">
        <is>
          <t>medium</t>
        </is>
      </c>
      <c r="X1233" s="3" t="inlineStr"/>
      <c r="Y1233" s="3" t="inlineStr">
        <is>
          <t>80% of this dish's available carbohydrate comes from ingredients with a published, measured GI; the rest uses conventional placeholders (see Ingredients sheet)</t>
        </is>
      </c>
      <c r="Z1233" s="2" t="n">
        <v>80</v>
      </c>
      <c r="AA1233" s="3" t="inlineStr">
        <is>
          <t>pescatarian, dairy-free</t>
        </is>
      </c>
      <c r="AB1233" s="3" t="inlineStr">
        <is>
          <t>1. Dip the oysters in egg, then almond flour and seasoning.
2. Pan-fry in oil until golden, about 2 minutes a side.
3. Toast the buns and fill with oysters, lettuce, tomato and mayo.</t>
        </is>
      </c>
      <c r="AC1233" s="4" t="inlineStr">
        <is>
          <t>["Dip the oysters in egg, then almond flour and seasoning.", "Pan-fry in oil until golden, about 2 minutes a side.", "Toast the buns and fill with oysters, lettuce, tomato and mayo."]</t>
        </is>
      </c>
    </row>
    <row r="1234" ht="96" customHeight="1">
      <c r="A1234" s="2" t="inlineStr">
        <is>
          <t>DB-1233</t>
        </is>
      </c>
      <c r="B1234" s="3" t="inlineStr">
        <is>
          <t>Cajun Chicken Pasta</t>
        </is>
      </c>
      <c r="C1234" s="4" t="inlineStr">
        <is>
          <t>Poultry</t>
        </is>
      </c>
      <c r="D1234" s="4" t="inlineStr">
        <is>
          <t>Cajun</t>
        </is>
      </c>
      <c r="E1234" s="2" t="n">
        <v>4</v>
      </c>
      <c r="F1234" s="2" t="n">
        <v>15</v>
      </c>
      <c r="G1234" s="2" t="n">
        <v>20</v>
      </c>
      <c r="H1234" s="2" t="n">
        <v>35</v>
      </c>
      <c r="I1234" s="4" t="inlineStr">
        <is>
          <t>cajun-chicken-pasta.jpg</t>
        </is>
      </c>
      <c r="J1234" s="3" t="inlineStr">
        <is>
          <t>Cajun Chicken Pasta, healthy food photography, plated, natural light</t>
        </is>
      </c>
      <c r="K1234" s="4" t="inlineStr"/>
      <c r="L1234" s="3" t="inlineStr">
        <is>
          <t>Chicken breast, skinless — 400 g (14.1 oz)
White pasta, cooked al dente — 400 g (14.1 oz)
Bell pepper — 150 g (5.3 oz)
Mushrooms (cremini/white) — 120 g (4.2 oz)
Heavy cream — 100 g (3.5 oz)
Cajun seasoning — 10 g (0.4 oz)
Parmesan, grated — 30 g (1.1 oz)
Garlic — 6 g (0.2 oz)
Extra-virgin olive oil — 15 g (0.5 oz)</t>
        </is>
      </c>
      <c r="M1234" s="4" t="inlineStr">
        <is>
          <t>[{"ingredient_id": "chicken_breast", "name": "Chicken breast, skinless", "grams": 400.0, "note": ""}, {"ingredient_id": "white_pasta", "name": "White pasta, cooked al dente", "grams": 400.0, "note": ""}, {"ingredient_id": "bell_pepper", "name": "Bell pepper", "grams": 150.0, "note": ""}, {"ingredient_id": "mushrooms", "name": "Mushrooms (cremini/white)", "grams": 120.0, "note": ""}, {"ingredient_id": "heavy_cream", "name": "Heavy cream", "grams": 100.0, "note": ""}, {"ingredient_id": "cajun_seasoning", "name": "Cajun seasoning", "grams": 10.0, "note": ""}, {"ingredient_id": "parmesan", "name": "Parmesan, grated", "grams": 30.0, "note": ""}, {"ingredient_id": "garlic", "name": "Garlic", "grams": 6.0, "note": ""}, {"ingredient_id": "olive_oil", "name": "Extra-virgin olive oil", "grams": 15.0, "note": ""}]</t>
        </is>
      </c>
      <c r="N1234" s="2" t="n">
        <v>455</v>
      </c>
      <c r="O1234" s="5" t="n">
        <v>33.3</v>
      </c>
      <c r="P1234" s="5" t="n">
        <v>18.9</v>
      </c>
      <c r="Q1234" s="5" t="n">
        <v>36.9</v>
      </c>
      <c r="R1234" s="5" t="n">
        <v>3.5</v>
      </c>
      <c r="S1234" s="5" t="n">
        <v>33.3</v>
      </c>
      <c r="T1234" s="2" t="n">
        <v>44</v>
      </c>
      <c r="U1234" s="2" t="inlineStr">
        <is>
          <t>low</t>
        </is>
      </c>
      <c r="V1234" s="5" t="n">
        <v>14.7</v>
      </c>
      <c r="W1234" s="2" t="inlineStr">
        <is>
          <t>medium</t>
        </is>
      </c>
      <c r="X1234" s="3" t="inlineStr"/>
      <c r="Y1234" s="3" t="inlineStr">
        <is>
          <t>87% of this dish's available carbohydrate comes from ingredients with a published, measured GI; the rest uses conventional placeholders (see Ingredients sheet)</t>
        </is>
      </c>
      <c r="Z1234" s="2" t="n">
        <v>87</v>
      </c>
      <c r="AA1234" s="3" t="inlineStr">
        <is>
          <t>nut-free, high-protein</t>
        </is>
      </c>
      <c r="AB1234" s="3" t="inlineStr">
        <is>
          <t>1. Sear the seasoned chicken in oil and slice.
2. Soften the pepper, mushrooms and garlic.
3. Add the cream and parmesan and simmer 3 minutes.
4. Toss with the pasta and chicken.</t>
        </is>
      </c>
      <c r="AC1234" s="4" t="inlineStr">
        <is>
          <t>["Sear the seasoned chicken in oil and slice.", "Soften the pepper, mushrooms and garlic.", "Add the cream and parmesan and simmer 3 minutes.", "Toss with the pasta and chicken."]</t>
        </is>
      </c>
    </row>
    <row r="1235" ht="96" customHeight="1">
      <c r="A1235" s="2" t="inlineStr">
        <is>
          <t>DB-1234</t>
        </is>
      </c>
      <c r="B1235" s="3" t="inlineStr">
        <is>
          <t>Creole Shrimp and Okra Stew</t>
        </is>
      </c>
      <c r="C1235" s="4" t="inlineStr">
        <is>
          <t>Soup &amp; Stew</t>
        </is>
      </c>
      <c r="D1235" s="4" t="inlineStr">
        <is>
          <t>Cajun</t>
        </is>
      </c>
      <c r="E1235" s="2" t="n">
        <v>4</v>
      </c>
      <c r="F1235" s="2" t="n">
        <v>10</v>
      </c>
      <c r="G1235" s="2" t="n">
        <v>25</v>
      </c>
      <c r="H1235" s="2" t="n">
        <v>35</v>
      </c>
      <c r="I1235" s="4" t="inlineStr">
        <is>
          <t>creole-shrimp-and-okra-stew.jpg</t>
        </is>
      </c>
      <c r="J1235" s="3" t="inlineStr">
        <is>
          <t>Creole Shrimp and Okra Stew, healthy food photography, plated, natural light</t>
        </is>
      </c>
      <c r="K1235" s="4" t="inlineStr"/>
      <c r="L1235" s="3" t="inlineStr">
        <is>
          <t>Shrimp, peeled — 400 g (14.1 oz)
Okra — 300 g (10.6 oz)
Diced tomatoes, canned — 400 g (14.1 oz)
Yellow onion — 100 g (3.5 oz)
Bell pepper — 100 g (3.5 oz)
Garlic — 6 g (0.2 oz)
Cajun seasoning — 6 g (0.2 oz)
Extra-virgin olive oil — 15 g (0.5 oz)</t>
        </is>
      </c>
      <c r="M1235" s="4" t="inlineStr">
        <is>
          <t>[{"ingredient_id": "shrimp", "name": "Shrimp, peeled", "grams": 400.0, "note": ""}, {"ingredient_id": "okra", "name": "Okra", "grams": 300.0, "note": ""}, {"ingredient_id": "diced_tomatoes", "name": "Diced tomatoes, canned", "grams": 400.0, "note": ""}, {"ingredient_id": "onion", "name": "Yellow onion", "grams": 100.0, "note": ""}, {"ingredient_id": "bell_pepper", "name": "Bell pepper", "grams": 100.0, "note": ""}, {"ingredient_id": "garlic", "name": "Garlic", "grams": 6.0, "note": ""}, {"ingredient_id": "cajun_seasoning", "name": "Cajun seasoning", "grams": 6.0, "note": ""}, {"ingredient_id": "olive_oil", "name": "Extra-virgin olive oil", "grams": 15.0, "note": ""}]</t>
        </is>
      </c>
      <c r="N1235" s="2" t="n">
        <v>191</v>
      </c>
      <c r="O1235" s="5" t="n">
        <v>23.4</v>
      </c>
      <c r="P1235" s="5" t="n">
        <v>4.8</v>
      </c>
      <c r="Q1235" s="5" t="n">
        <v>15.8</v>
      </c>
      <c r="R1235" s="5" t="n">
        <v>5.3</v>
      </c>
      <c r="S1235" s="5" t="n">
        <v>10.5</v>
      </c>
      <c r="T1235" s="2" t="n">
        <v>24</v>
      </c>
      <c r="U1235" s="2" t="inlineStr">
        <is>
          <t>low</t>
        </is>
      </c>
      <c r="V1235" s="5" t="n">
        <v>2.5</v>
      </c>
      <c r="W1235" s="2" t="inlineStr">
        <is>
          <t>low</t>
        </is>
      </c>
      <c r="X1235" s="3" t="inlineStr"/>
      <c r="Y1235" s="3" t="inlineStr">
        <is>
          <t>0% of this dish's available carbohydrate comes from ingredients with a published, measured GI; the rest uses conventional placeholders (see Ingredients sheet)</t>
        </is>
      </c>
      <c r="Z1235" s="2" t="n">
        <v>0</v>
      </c>
      <c r="AA1235" s="3" t="inlineStr">
        <is>
          <t>pescatarian, gluten-free, dairy-free, nut-free, low-carb</t>
        </is>
      </c>
      <c r="AB1235" s="3" t="inlineStr">
        <is>
          <t>1. Soften the onion, pepper and garlic in oil.
2. Add the okra, tomatoes and seasoning and simmer 15 minutes.
3. Stir in the shrimp and cook 4 minutes.</t>
        </is>
      </c>
      <c r="AC1235" s="4" t="inlineStr">
        <is>
          <t>["Soften the onion, pepper and garlic in oil.", "Add the okra, tomatoes and seasoning and simmer 15 minutes.", "Stir in the shrimp and cook 4 minutes."]</t>
        </is>
      </c>
    </row>
    <row r="1236" ht="96" customHeight="1">
      <c r="A1236" s="2" t="inlineStr">
        <is>
          <t>DB-1235</t>
        </is>
      </c>
      <c r="B1236" s="3" t="inlineStr">
        <is>
          <t>Collard Greens with Smoked Turkey Wing Style</t>
        </is>
      </c>
      <c r="C1236" s="4" t="inlineStr">
        <is>
          <t>Side Dish</t>
        </is>
      </c>
      <c r="D1236" s="4" t="inlineStr">
        <is>
          <t>American</t>
        </is>
      </c>
      <c r="E1236" s="2" t="n">
        <v>5</v>
      </c>
      <c r="F1236" s="2" t="n">
        <v>10</v>
      </c>
      <c r="G1236" s="2" t="n">
        <v>50</v>
      </c>
      <c r="H1236" s="2" t="n">
        <v>60</v>
      </c>
      <c r="I1236" s="4" t="inlineStr">
        <is>
          <t>collard-greens-with-smoked-turkey-wing-style.jpg</t>
        </is>
      </c>
      <c r="J1236" s="3" t="inlineStr">
        <is>
          <t>Collard Greens with Smoked Turkey Wing Style, healthy food photography, plated, natural light</t>
        </is>
      </c>
      <c r="K1236" s="4" t="inlineStr"/>
      <c r="L1236" s="3" t="inlineStr">
        <is>
          <t>Collard greens — 600 g (21.2 oz)
Turkey bacon — 60 g (2.1 oz)
Yellow onion — 100 g (3.5 oz)
Garlic — 6 g (0.2 oz)
Chicken broth, low sodium — 400 g (14.1 oz)
Apple cider vinegar — 20 g (0.7 oz)
Red pepper flakes — 1 g (0.0 oz)</t>
        </is>
      </c>
      <c r="M1236" s="4" t="inlineStr">
        <is>
          <t>[{"ingredient_id": "collard_greens", "name": "Collard greens", "grams": 600.0, "note": ""}, {"ingredient_id": "turkey_bacon", "name": "Turkey bacon", "grams": 60.0, "note": ""}, {"ingredient_id": "onion", "name": "Yellow onion", "grams": 100.0, "note": ""}, {"ingredient_id": "garlic", "name": "Garlic", "grams": 6.0, "note": ""}, {"ingredient_id": "chicken_broth", "name": "Chicken broth, low sodium", "grams": 400.0, "note": ""}, {"ingredient_id": "apple_cider_vinegar", "name": "Apple cider vinegar", "grams": 20.0, "note": ""}, {"ingredient_id": "red_pepper_flakes", "name": "Red pepper flakes", "grams": 1.0, "note": ""}]</t>
        </is>
      </c>
      <c r="N1236" s="2" t="n">
        <v>81</v>
      </c>
      <c r="O1236" s="5" t="n">
        <v>6.9</v>
      </c>
      <c r="P1236" s="5" t="n">
        <v>2.7</v>
      </c>
      <c r="Q1236" s="5" t="n">
        <v>9.5</v>
      </c>
      <c r="R1236" s="5" t="n">
        <v>5.2</v>
      </c>
      <c r="S1236" s="5" t="n">
        <v>4.3</v>
      </c>
      <c r="T1236" s="2" t="n">
        <v>14</v>
      </c>
      <c r="U1236" s="2" t="inlineStr">
        <is>
          <t>low</t>
        </is>
      </c>
      <c r="V1236" s="5" t="n">
        <v>0.6</v>
      </c>
      <c r="W1236" s="2" t="inlineStr">
        <is>
          <t>low</t>
        </is>
      </c>
      <c r="X1236" s="3" t="inlineStr">
        <is>
          <t>Negligible carbohydrate (&lt;5 g net/serving): GI has little practical meaning, glycemic load is what matters.</t>
        </is>
      </c>
      <c r="Y1236" s="3" t="inlineStr">
        <is>
          <t>0% of this dish's available carbohydrate comes from ingredients with a published, measured GI; the rest uses conventional placeholders (see Ingredients sheet)</t>
        </is>
      </c>
      <c r="Z1236" s="2" t="n">
        <v>0</v>
      </c>
      <c r="AA1236" s="3" t="inlineStr">
        <is>
          <t>gluten-free, dairy-free, nut-free, low-carb</t>
        </is>
      </c>
      <c r="AB1236" s="3" t="inlineStr">
        <is>
          <t>1. Crisp the bacon with onion and garlic.
2. Add the chopped collards, broth and pepper flakes.
3. Simmer 45 minutes and finish with vinegar.</t>
        </is>
      </c>
      <c r="AC1236" s="4" t="inlineStr">
        <is>
          <t>["Crisp the bacon with onion and garlic.", "Add the chopped collards, broth and pepper flakes.", "Simmer 45 minutes and finish with vinegar."]</t>
        </is>
      </c>
    </row>
    <row r="1237" ht="96" customHeight="1">
      <c r="A1237" s="2" t="inlineStr">
        <is>
          <t>DB-1236</t>
        </is>
      </c>
      <c r="B1237" s="3" t="inlineStr">
        <is>
          <t>Fried Okra, Oven-Baked</t>
        </is>
      </c>
      <c r="C1237" s="4" t="inlineStr">
        <is>
          <t>Side Dish</t>
        </is>
      </c>
      <c r="D1237" s="4" t="inlineStr">
        <is>
          <t>American</t>
        </is>
      </c>
      <c r="E1237" s="2" t="n">
        <v>4</v>
      </c>
      <c r="F1237" s="2" t="n">
        <v>10</v>
      </c>
      <c r="G1237" s="2" t="n">
        <v>25</v>
      </c>
      <c r="H1237" s="2" t="n">
        <v>35</v>
      </c>
      <c r="I1237" s="4" t="inlineStr">
        <is>
          <t>fried-okra-oven-baked.jpg</t>
        </is>
      </c>
      <c r="J1237" s="3" t="inlineStr">
        <is>
          <t>Fried Okra, Oven-Baked, healthy food photography, plated, natural light</t>
        </is>
      </c>
      <c r="K1237" s="4" t="inlineStr"/>
      <c r="L1237" s="3" t="inlineStr">
        <is>
          <t>Okra — 400 g (14.1 oz)
Almond flour — 40 g (1.4 oz)
Egg, large (50 g each) — 50 g (1.8 oz)
Parmesan, grated — 20 g (0.7 oz)
Paprika — 2 g (0.1 oz)
Garlic powder — 2 g (0.1 oz)
Extra-virgin olive oil — 20 g (0.7 oz)</t>
        </is>
      </c>
      <c r="M1237" s="4" t="inlineStr">
        <is>
          <t>[{"ingredient_id": "okra", "name": "Okra", "grams": 400.0, "note": ""}, {"ingredient_id": "almond_flour", "name": "Almond flour", "grams": 40.0, "note": ""}, {"ingredient_id": "egg", "name": "Egg, large (50 g each)", "grams": 50.0, "note": ""}, {"ingredient_id": "parmesan", "name": "Parmesan, grated", "grams": 20.0, "note": ""}, {"ingredient_id": "paprika", "name": "Paprika", "grams": 2.0, "note": ""}, {"ingredient_id": "garlic_powder", "name": "Garlic powder", "grams": 2.0, "note": ""}, {"ingredient_id": "olive_oil", "name": "Extra-virgin olive oil", "grams": 20.0, "note": ""}]</t>
        </is>
      </c>
      <c r="N1237" s="2" t="n">
        <v>179</v>
      </c>
      <c r="O1237" s="5" t="n">
        <v>7.6</v>
      </c>
      <c r="P1237" s="5" t="n">
        <v>12.9</v>
      </c>
      <c r="Q1237" s="5" t="n">
        <v>10.5</v>
      </c>
      <c r="R1237" s="5" t="n">
        <v>4.6</v>
      </c>
      <c r="S1237" s="5" t="n">
        <v>5.9</v>
      </c>
      <c r="T1237" s="2" t="n">
        <v>18</v>
      </c>
      <c r="U1237" s="2" t="inlineStr">
        <is>
          <t>low</t>
        </is>
      </c>
      <c r="V1237" s="5" t="n">
        <v>1.1</v>
      </c>
      <c r="W1237" s="2" t="inlineStr">
        <is>
          <t>low</t>
        </is>
      </c>
      <c r="X1237" s="3" t="inlineStr"/>
      <c r="Y1237" s="3" t="inlineStr">
        <is>
          <t>0% of this dish's available carbohydrate comes from ingredients with a published, measured GI; the rest uses conventional placeholders (see Ingredients sheet)</t>
        </is>
      </c>
      <c r="Z1237" s="2" t="n">
        <v>0</v>
      </c>
      <c r="AA1237" s="3" t="inlineStr">
        <is>
          <t>vegetarian, gluten-free, low-carb</t>
        </is>
      </c>
      <c r="AB1237" s="3" t="inlineStr">
        <is>
          <t>1. Slice the okra.
2. Dip in egg, then the almond flour mix.
3. Roast on an oiled tray at 425°F for 25 minutes, turning once.</t>
        </is>
      </c>
      <c r="AC1237" s="4" t="inlineStr">
        <is>
          <t>["Slice the okra.", "Dip in egg, then the almond flour mix.", "Roast on an oiled tray at 425°F for 25 minutes, turning once."]</t>
        </is>
      </c>
    </row>
    <row r="1238" ht="96" customHeight="1">
      <c r="A1238" s="2" t="inlineStr">
        <is>
          <t>DB-1237</t>
        </is>
      </c>
      <c r="B1238" s="3" t="inlineStr">
        <is>
          <t>Southern Cabbage and Sausage Skillet</t>
        </is>
      </c>
      <c r="C1238" s="4" t="inlineStr">
        <is>
          <t>Beef, Pork &amp; Lamb</t>
        </is>
      </c>
      <c r="D1238" s="4" t="inlineStr">
        <is>
          <t>American</t>
        </is>
      </c>
      <c r="E1238" s="2" t="n">
        <v>4</v>
      </c>
      <c r="F1238" s="2" t="n">
        <v>10</v>
      </c>
      <c r="G1238" s="2" t="n">
        <v>25</v>
      </c>
      <c r="H1238" s="2" t="n">
        <v>35</v>
      </c>
      <c r="I1238" s="4" t="inlineStr">
        <is>
          <t>southern-cabbage-and-sausage-skillet.jpg</t>
        </is>
      </c>
      <c r="J1238" s="3" t="inlineStr">
        <is>
          <t>Southern Cabbage and Sausage Skillet, healthy food photography, plated, natural light</t>
        </is>
      </c>
      <c r="K1238" s="4" t="inlineStr"/>
      <c r="L1238" s="3" t="inlineStr">
        <is>
          <t>Green cabbage — 600 g (21.2 oz)
Turkey sausage — 300 g (10.6 oz)
Yellow onion — 120 g (4.2 oz)
Garlic — 6 g (0.2 oz)
Chicken broth, low sodium — 100 g (3.5 oz)
Apple cider vinegar — 15 g (0.5 oz)
Extra-virgin olive oil — 15 g (0.5 oz)
Black pepper — 1 g (0.0 oz)</t>
        </is>
      </c>
      <c r="M1238" s="4" t="inlineStr">
        <is>
          <t>[{"ingredient_id": "cabbage", "name": "Green cabbage", "grams": 600.0, "note": ""}, {"ingredient_id": "turkey_sausage", "name": "Turkey sausage", "grams": 300.0, "note": ""}, {"ingredient_id": "onion", "name": "Yellow onion", "grams": 120.0, "note": ""}, {"ingredient_id": "garlic", "name": "Garlic", "grams": 6.0, "note": ""}, {"ingredient_id": "chicken_broth", "name": "Chicken broth, low sodium", "grams": 100.0, "note": ""}, {"ingredient_id": "apple_cider_vinegar", "name": "Apple cider vinegar", "grams": 15.0, "note": ""}, {"ingredient_id": "olive_oil", "name": "Extra-virgin olive oil", "grams": 15.0, "note": ""}, {"ingredient_id": "black_pepper", "name": "Black pepper", "grams": 1.0, "note": ""}]</t>
        </is>
      </c>
      <c r="N1238" s="2" t="n">
        <v>204</v>
      </c>
      <c r="O1238" s="5" t="n">
        <v>13.9</v>
      </c>
      <c r="P1238" s="5" t="n">
        <v>11.5</v>
      </c>
      <c r="Q1238" s="5" t="n">
        <v>13.8</v>
      </c>
      <c r="R1238" s="5" t="n">
        <v>4.4</v>
      </c>
      <c r="S1238" s="5" t="n">
        <v>9.4</v>
      </c>
      <c r="T1238" s="2" t="n">
        <v>13</v>
      </c>
      <c r="U1238" s="2" t="inlineStr">
        <is>
          <t>low</t>
        </is>
      </c>
      <c r="V1238" s="5" t="n">
        <v>1.2</v>
      </c>
      <c r="W1238" s="2" t="inlineStr">
        <is>
          <t>low</t>
        </is>
      </c>
      <c r="X1238" s="3" t="inlineStr"/>
      <c r="Y1238" s="3" t="inlineStr">
        <is>
          <t>0% of this dish's available carbohydrate comes from ingredients with a published, measured GI; the rest uses conventional placeholders (see Ingredients sheet)</t>
        </is>
      </c>
      <c r="Z1238" s="2" t="n">
        <v>0</v>
      </c>
      <c r="AA1238" s="3" t="inlineStr">
        <is>
          <t>gluten-free, dairy-free, nut-free, low-carb, one-pan</t>
        </is>
      </c>
      <c r="AB1238" s="3" t="inlineStr">
        <is>
          <t>1. Brown the sliced sausage in oil.
2. Add the onion and garlic, then the cabbage and broth.
3. Cook covered 15 minutes and finish with vinegar.</t>
        </is>
      </c>
      <c r="AC1238" s="4" t="inlineStr">
        <is>
          <t>["Brown the sliced sausage in oil.", "Add the onion and garlic, then the cabbage and broth.", "Cook covered 15 minutes and finish with vinegar."]</t>
        </is>
      </c>
    </row>
    <row r="1239" ht="96" customHeight="1">
      <c r="A1239" s="2" t="inlineStr">
        <is>
          <t>DB-1238</t>
        </is>
      </c>
      <c r="B1239" s="3" t="inlineStr">
        <is>
          <t>Black-Eyed Pea Salad (Texas Caviar)</t>
        </is>
      </c>
      <c r="C1239" s="4" t="inlineStr">
        <is>
          <t>Salad</t>
        </is>
      </c>
      <c r="D1239" s="4" t="inlineStr">
        <is>
          <t>American</t>
        </is>
      </c>
      <c r="E1239" s="2" t="n">
        <v>6</v>
      </c>
      <c r="F1239" s="2" t="n">
        <v>15</v>
      </c>
      <c r="G1239" s="2" t="n">
        <v>0</v>
      </c>
      <c r="H1239" s="2" t="n">
        <v>15</v>
      </c>
      <c r="I1239" s="4" t="inlineStr">
        <is>
          <t>black-eyed-pea-salad-texas-caviar.jpg</t>
        </is>
      </c>
      <c r="J1239" s="3" t="inlineStr">
        <is>
          <t>Black-Eyed Pea Salad (Texas Caviar), healthy food photography, plated, natural light</t>
        </is>
      </c>
      <c r="K1239" s="4" t="inlineStr"/>
      <c r="L1239" s="3" t="inlineStr">
        <is>
          <t>Black-eyed peas, cooked — 400 g (14.1 oz)
Sweet corn kernels — 100 g (3.5 oz)
Bell pepper — 120 g (4.2 oz)
Red onion — 50 g (1.8 oz)
Jalapeño — 15 g (0.5 oz)
Fresh cilantro — 8 g (0.3 oz)
Red wine vinegar — 30 g (1.1 oz)
Extra-virgin olive oil — 25 g (0.9 oz)
Lime juice — 15 g (0.5 oz)</t>
        </is>
      </c>
      <c r="M1239" s="4" t="inlineStr">
        <is>
          <t>[{"ingredient_id": "black_eyed_peas", "name": "Black-eyed peas, cooked", "grams": 400.0, "note": ""}, {"ingredient_id": "corn", "name": "Sweet corn kernels", "grams": 100.0, "note": ""}, {"ingredient_id": "bell_pepper", "name": "Bell pepper", "grams": 120.0, "note": ""}, {"ingredient_id": "red_onion", "name": "Red onion", "grams": 50.0, "note": ""}, {"ingredient_id": "jalapeno", "name": "Jalapeño", "grams": 15.0, "note": ""}, {"ingredient_id": "cilantro", "name": "Fresh cilantro", "grams": 8.0, "note": ""}, {"ingredient_id": "red_wine_vinegar", "name": "Red wine vinegar", "grams": 30.0, "note": ""}, {"ingredient_id": "olive_oil", "name": "Extra-virgin olive oil", "grams": 25.0, "note": ""}, {"ingredient_id": "lime_juice", "name": "Lime juice", "grams": 15.0, "note": ""}]</t>
        </is>
      </c>
      <c r="N1239" s="2" t="n">
        <v>141</v>
      </c>
      <c r="O1239" s="5" t="n">
        <v>6</v>
      </c>
      <c r="P1239" s="5" t="n">
        <v>4.8</v>
      </c>
      <c r="Q1239" s="5" t="n">
        <v>19.4</v>
      </c>
      <c r="R1239" s="5" t="n">
        <v>5.5</v>
      </c>
      <c r="S1239" s="5" t="n">
        <v>14</v>
      </c>
      <c r="T1239" s="2" t="n">
        <v>46</v>
      </c>
      <c r="U1239" s="2" t="inlineStr">
        <is>
          <t>low</t>
        </is>
      </c>
      <c r="V1239" s="5" t="n">
        <v>6.4</v>
      </c>
      <c r="W1239" s="2" t="inlineStr">
        <is>
          <t>low</t>
        </is>
      </c>
      <c r="X1239" s="3" t="inlineStr"/>
      <c r="Y1239" s="3" t="inlineStr">
        <is>
          <t>88% of this dish's available carbohydrate comes from ingredients with a published, measured GI; the rest uses conventional placeholders (see Ingredients sheet)</t>
        </is>
      </c>
      <c r="Z1239" s="2" t="n">
        <v>88</v>
      </c>
      <c r="AA1239" s="3" t="inlineStr">
        <is>
          <t>vegan, gluten-free, dairy-free, nut-free, low-carb, no-cook</t>
        </is>
      </c>
      <c r="AB1239" s="3" t="inlineStr">
        <is>
          <t>1. Combine the peas, corn, pepper, onion and jalapeno.
2. Dress with vinegar, oil and lime and fold in cilantro.
3. Chill an hour before serving.</t>
        </is>
      </c>
      <c r="AC1239" s="4" t="inlineStr">
        <is>
          <t>["Combine the peas, corn, pepper, onion and jalapeno.", "Dress with vinegar, oil and lime and fold in cilantro.", "Chill an hour before serving."]</t>
        </is>
      </c>
    </row>
    <row r="1240" ht="96" customHeight="1">
      <c r="A1240" s="2" t="inlineStr">
        <is>
          <t>DB-1239</t>
        </is>
      </c>
      <c r="B1240" s="3" t="inlineStr">
        <is>
          <t>Southern Chicken Salad with Pecans and Apple</t>
        </is>
      </c>
      <c r="C1240" s="4" t="inlineStr">
        <is>
          <t>Salad</t>
        </is>
      </c>
      <c r="D1240" s="4" t="inlineStr">
        <is>
          <t>American</t>
        </is>
      </c>
      <c r="E1240" s="2" t="n">
        <v>4</v>
      </c>
      <c r="F1240" s="2" t="n">
        <v>15</v>
      </c>
      <c r="G1240" s="2" t="n">
        <v>0</v>
      </c>
      <c r="H1240" s="2" t="n">
        <v>15</v>
      </c>
      <c r="I1240" s="4" t="inlineStr">
        <is>
          <t>southern-chicken-salad-with-pecans-and-apple.jpg</t>
        </is>
      </c>
      <c r="J1240" s="3" t="inlineStr">
        <is>
          <t>Southern Chicken Salad with Pecans and Apple, healthy food photography, plated, natural light</t>
        </is>
      </c>
      <c r="K1240" s="4" t="inlineStr"/>
      <c r="L1240" s="3" t="inlineStr">
        <is>
          <t>Rotisserie chicken, skin removed — 360 g (12.7 oz)
Celery — 80 g (2.8 oz)
Pecans — 30 g (1.1 oz)
Greek yogurt, plain 2% — 100 g (3.5 oz)
Mayonnaise (avocado oil) — 20 g (0.7 oz)
Dijon mustard — 8 g (0.3 oz)
Lemon juice — 15 g (0.5 oz)
Mixed salad greens — 120 g (4.2 oz)
Apple — 100 g (3.5 oz)</t>
        </is>
      </c>
      <c r="M1240" s="4" t="inlineStr">
        <is>
          <t>[{"ingredient_id": "rotisserie_chicken", "name": "Rotisserie chicken, skin removed", "grams": 360.0, "note": ""}, {"ingredient_id": "celery", "name": "Celery", "grams": 80.0, "note": ""}, {"ingredient_id": "pecans", "name": "Pecans", "grams": 30.0, "note": ""}, {"ingredient_id": "greek_yogurt", "name": "Greek yogurt, plain 2%", "grams": 100.0, "note": ""}, {"ingredient_id": "mayo", "name": "Mayonnaise (avocado oil)", "grams": 20.0, "note": ""}, {"ingredient_id": "dijon", "name": "Dijon mustard", "grams": 8.0, "note": ""}, {"ingredient_id": "lemon_juice", "name": "Lemon juice", "grams": 15.0, "note": ""}, {"ingredient_id": "mixed_greens", "name": "Mixed salad greens", "grams": 120.0, "note": ""}, {"ingredient_id": "apple", "name": "Apple", "grams": 100.0, "note": ""}]</t>
        </is>
      </c>
      <c r="N1240" s="2" t="n">
        <v>273</v>
      </c>
      <c r="O1240" s="5" t="n">
        <v>24.8</v>
      </c>
      <c r="P1240" s="5" t="n">
        <v>16.4</v>
      </c>
      <c r="Q1240" s="5" t="n">
        <v>7.6</v>
      </c>
      <c r="R1240" s="5" t="n">
        <v>2.3</v>
      </c>
      <c r="S1240" s="5" t="n">
        <v>5.2</v>
      </c>
      <c r="T1240" s="2" t="n">
        <v>26</v>
      </c>
      <c r="U1240" s="2" t="inlineStr">
        <is>
          <t>low</t>
        </is>
      </c>
      <c r="V1240" s="5" t="n">
        <v>1.4</v>
      </c>
      <c r="W1240" s="2" t="inlineStr">
        <is>
          <t>low</t>
        </is>
      </c>
      <c r="X1240" s="3" t="inlineStr"/>
      <c r="Y1240" s="3" t="inlineStr">
        <is>
          <t>74% of this dish's available carbohydrate comes from ingredients with a published, measured GI; the rest uses conventional placeholders (see Ingredients sheet)</t>
        </is>
      </c>
      <c r="Z1240" s="2" t="n">
        <v>74</v>
      </c>
      <c r="AA1240" s="3" t="inlineStr">
        <is>
          <t>gluten-free, low-carb, no-cook</t>
        </is>
      </c>
      <c r="AB1240" s="3" t="inlineStr">
        <is>
          <t>1. Shred the chicken and mix with celery, apple and pecans.
2. Bind with yogurt, mayo, mustard and lemon.
3. Serve over the greens.</t>
        </is>
      </c>
      <c r="AC1240" s="4" t="inlineStr">
        <is>
          <t>["Shred the chicken and mix with celery, apple and pecans.", "Bind with yogurt, mayo, mustard and lemon.", "Serve over the greens."]</t>
        </is>
      </c>
    </row>
    <row r="1241" ht="96" customHeight="1">
      <c r="A1241" s="2" t="inlineStr">
        <is>
          <t>DB-1240</t>
        </is>
      </c>
      <c r="B1241" s="3" t="inlineStr">
        <is>
          <t>Tomato Pie-Style Baked Tomatoes</t>
        </is>
      </c>
      <c r="C1241" s="4" t="inlineStr">
        <is>
          <t>Side Dish</t>
        </is>
      </c>
      <c r="D1241" s="4" t="inlineStr">
        <is>
          <t>American</t>
        </is>
      </c>
      <c r="E1241" s="2" t="n">
        <v>4</v>
      </c>
      <c r="F1241" s="2" t="n">
        <v>10</v>
      </c>
      <c r="G1241" s="2" t="n">
        <v>25</v>
      </c>
      <c r="H1241" s="2" t="n">
        <v>35</v>
      </c>
      <c r="I1241" s="4" t="inlineStr">
        <is>
          <t>tomato-pie-style-baked-tomatoes.jpg</t>
        </is>
      </c>
      <c r="J1241" s="3" t="inlineStr">
        <is>
          <t>Tomato Pie-Style Baked Tomatoes, healthy food photography, plated, natural light</t>
        </is>
      </c>
      <c r="K1241" s="4" t="inlineStr"/>
      <c r="L1241" s="3" t="inlineStr">
        <is>
          <t>Tomato — 600 g (21.2 oz)
Mozzarella, part-skim — 100 g (3.5 oz)
Cheddar cheese — 40 g (1.4 oz)
Fresh basil — 8 g (0.3 oz)
Mayonnaise (avocado oil) — 30 g (1.1 oz)
Extra-virgin olive oil — 10 g (0.4 oz)
Black pepper — 1 g (0.0 oz)</t>
        </is>
      </c>
      <c r="M1241" s="4" t="inlineStr">
        <is>
          <t>[{"ingredient_id": "tomato", "name": "Tomato", "grams": 600.0, "note": ""}, {"ingredient_id": "mozzarella", "name": "Mozzarella, part-skim", "grams": 100.0, "note": ""}, {"ingredient_id": "cheddar", "name": "Cheddar cheese", "grams": 40.0, "note": ""}, {"ingredient_id": "basil", "name": "Fresh basil", "grams": 8.0, "note": ""}, {"ingredient_id": "mayo", "name": "Mayonnaise (avocado oil)", "grams": 30.0, "note": ""}, {"ingredient_id": "olive_oil", "name": "Extra-virgin olive oil", "grams": 10.0, "note": ""}, {"ingredient_id": "black_pepper", "name": "Black pepper", "grams": 1.0, "note": ""}]</t>
        </is>
      </c>
      <c r="N1241" s="2" t="n">
        <v>206</v>
      </c>
      <c r="O1241" s="5" t="n">
        <v>9.699999999999999</v>
      </c>
      <c r="P1241" s="5" t="n">
        <v>16</v>
      </c>
      <c r="Q1241" s="5" t="n">
        <v>6.9</v>
      </c>
      <c r="R1241" s="5" t="n">
        <v>1.9</v>
      </c>
      <c r="S1241" s="5" t="n">
        <v>5</v>
      </c>
      <c r="T1241" s="2" t="n">
        <v>12</v>
      </c>
      <c r="U1241" s="2" t="inlineStr">
        <is>
          <t>low</t>
        </is>
      </c>
      <c r="V1241" s="5" t="n">
        <v>0.6</v>
      </c>
      <c r="W1241" s="2" t="inlineStr">
        <is>
          <t>low</t>
        </is>
      </c>
      <c r="X1241" s="3" t="inlineStr"/>
      <c r="Y1241" s="3" t="inlineStr">
        <is>
          <t>0% of this dish's available carbohydrate comes from ingredients with a published, measured GI; the rest uses conventional placeholders (see Ingredients sheet)</t>
        </is>
      </c>
      <c r="Z1241" s="2" t="n">
        <v>0</v>
      </c>
      <c r="AA1241" s="3" t="inlineStr">
        <is>
          <t>vegetarian, gluten-free, nut-free, low-carb</t>
        </is>
      </c>
      <c r="AB1241" s="3" t="inlineStr">
        <is>
          <t>1. Slice the tomatoes and layer in a dish.
2. Mix the cheeses, mayo and basil and spread on top.
3. Bake at 375°F for 25 minutes.</t>
        </is>
      </c>
      <c r="AC1241" s="4" t="inlineStr">
        <is>
          <t>["Slice the tomatoes and layer in a dish.", "Mix the cheeses, mayo and basil and spread on top.", "Bake at 375°F for 25 minutes."]</t>
        </is>
      </c>
    </row>
    <row r="1242" ht="96" customHeight="1">
      <c r="A1242" s="2" t="inlineStr">
        <is>
          <t>DB-1241</t>
        </is>
      </c>
      <c r="B1242" s="3" t="inlineStr">
        <is>
          <t>Pimento-Style Cheese Celery Boats</t>
        </is>
      </c>
      <c r="C1242" s="4" t="inlineStr">
        <is>
          <t>Snack &amp; Appetizer</t>
        </is>
      </c>
      <c r="D1242" s="4" t="inlineStr">
        <is>
          <t>American</t>
        </is>
      </c>
      <c r="E1242" s="2" t="n">
        <v>6</v>
      </c>
      <c r="F1242" s="2" t="n">
        <v>15</v>
      </c>
      <c r="G1242" s="2" t="n">
        <v>0</v>
      </c>
      <c r="H1242" s="2" t="n">
        <v>15</v>
      </c>
      <c r="I1242" s="4" t="inlineStr">
        <is>
          <t>pimento-style-cheese-celery-boats.jpg</t>
        </is>
      </c>
      <c r="J1242" s="3" t="inlineStr">
        <is>
          <t>Pimento-Style Cheese Celery Boats, healthy food photography, plated, natural light</t>
        </is>
      </c>
      <c r="K1242" s="4" t="inlineStr"/>
      <c r="L1242" s="3" t="inlineStr">
        <is>
          <t>Cheddar cheese — 150 g (5.3 oz)
Cream cheese — 60 g (2.1 oz)
Roasted red peppers, jarred — 50 g (1.8 oz)
Mayonnaise (avocado oil) — 20 g (0.7 oz)
Celery — 300 g (10.6 oz)
Hot sauce (Tabasco/Frank's) — 3 g (0.1 oz)
Garlic powder — 2 g (0.1 oz)</t>
        </is>
      </c>
      <c r="M1242" s="4" t="inlineStr">
        <is>
          <t>[{"ingredient_id": "cheddar", "name": "Cheddar cheese", "grams": 150.0, "note": ""}, {"ingredient_id": "cream_cheese", "name": "Cream cheese", "grams": 60.0, "note": ""}, {"ingredient_id": "roasted_red_pepper", "name": "Roasted red peppers, jarred", "grams": 50.0, "note": ""}, {"ingredient_id": "mayo", "name": "Mayonnaise (avocado oil)", "grams": 20.0, "note": ""}, {"ingredient_id": "celery", "name": "Celery", "grams": 300.0, "note": ""}, {"ingredient_id": "hot_sauce", "name": "Hot sauce (Tabasco/Frank's)", "grams": 3.0, "note": ""}, {"ingredient_id": "garlic_powder", "name": "Garlic powder", "grams": 2.0, "note": ""}]</t>
        </is>
      </c>
      <c r="N1242" s="2" t="n">
        <v>170</v>
      </c>
      <c r="O1242" s="5" t="n">
        <v>6.8</v>
      </c>
      <c r="P1242" s="5" t="n">
        <v>14.4</v>
      </c>
      <c r="Q1242" s="5" t="n">
        <v>3</v>
      </c>
      <c r="R1242" s="5" t="n">
        <v>1</v>
      </c>
      <c r="S1242" s="5" t="n">
        <v>2</v>
      </c>
      <c r="T1242" s="2" t="n">
        <v>10</v>
      </c>
      <c r="U1242" s="2" t="inlineStr">
        <is>
          <t>low</t>
        </is>
      </c>
      <c r="V1242" s="5" t="n">
        <v>0.2</v>
      </c>
      <c r="W1242" s="2" t="inlineStr">
        <is>
          <t>low</t>
        </is>
      </c>
      <c r="X1242" s="3" t="inlineStr">
        <is>
          <t>Negligible carbohydrate (&lt;5 g net/serving): GI has little practical meaning, glycemic load is what matters.</t>
        </is>
      </c>
      <c r="Y1242" s="3" t="inlineStr">
        <is>
          <t>0% of this dish's available carbohydrate comes from ingredients with a published, measured GI; the rest uses conventional placeholders (see Ingredients sheet)</t>
        </is>
      </c>
      <c r="Z1242" s="2" t="n">
        <v>0</v>
      </c>
      <c r="AA1242" s="3" t="inlineStr">
        <is>
          <t>vegetarian, gluten-free, nut-free, low-carb, no-cook</t>
        </is>
      </c>
      <c r="AB1242" s="3" t="inlineStr">
        <is>
          <t>1. Mix the grated cheddar, cream cheese, chopped red pepper, mayo and seasoning.
2. Fill celery stalks.</t>
        </is>
      </c>
      <c r="AC1242" s="4" t="inlineStr">
        <is>
          <t>["Mix the grated cheddar, cream cheese, chopped red pepper, mayo and seasoning.", "Fill celery stalks."]</t>
        </is>
      </c>
    </row>
    <row r="1243" ht="96" customHeight="1">
      <c r="A1243" s="2" t="inlineStr">
        <is>
          <t>DB-1242</t>
        </is>
      </c>
      <c r="B1243" s="3" t="inlineStr">
        <is>
          <t>Georgia Peach Cottage Cheese Cup</t>
        </is>
      </c>
      <c r="C1243" s="4" t="inlineStr">
        <is>
          <t>Dessert</t>
        </is>
      </c>
      <c r="D1243" s="4" t="inlineStr">
        <is>
          <t>American</t>
        </is>
      </c>
      <c r="E1243" s="2" t="n">
        <v>2</v>
      </c>
      <c r="F1243" s="2" t="n">
        <v>5</v>
      </c>
      <c r="G1243" s="2" t="n">
        <v>0</v>
      </c>
      <c r="H1243" s="2" t="n">
        <v>5</v>
      </c>
      <c r="I1243" s="4" t="inlineStr">
        <is>
          <t>georgia-peach-cottage-cheese-cup.jpg</t>
        </is>
      </c>
      <c r="J1243" s="3" t="inlineStr">
        <is>
          <t>Georgia Peach Cottage Cheese Cup, healthy food photography, plated, natural light</t>
        </is>
      </c>
      <c r="K1243" s="4" t="inlineStr"/>
      <c r="L1243" s="3" t="inlineStr">
        <is>
          <t>Cottage cheese, low-fat — 300 g (10.6 oz)
Peach — 200 g (7.1 oz)
Pecans — 20 g (0.7 oz)
Ground cinnamon — 1 g (0.0 oz)
Vanilla extract — 2 g (0.1 oz)</t>
        </is>
      </c>
      <c r="M1243" s="4" t="inlineStr">
        <is>
          <t>[{"ingredient_id": "cottage_cheese", "name": "Cottage cheese, low-fat", "grams": 300.0, "note": ""}, {"ingredient_id": "peach", "name": "Peach", "grams": 200.0, "note": ""}, {"ingredient_id": "pecans", "name": "Pecans", "grams": 20.0, "note": ""}, {"ingredient_id": "cinnamon", "name": "Ground cinnamon", "grams": 1.0, "note": ""}, {"ingredient_id": "vanilla_extract", "name": "Vanilla extract", "grams": 2.0, "note": ""}]</t>
        </is>
      </c>
      <c r="N1243" s="2" t="n">
        <v>238</v>
      </c>
      <c r="O1243" s="5" t="n">
        <v>18.3</v>
      </c>
      <c r="P1243" s="5" t="n">
        <v>11</v>
      </c>
      <c r="Q1243" s="5" t="n">
        <v>17.9</v>
      </c>
      <c r="R1243" s="5" t="n">
        <v>2.7</v>
      </c>
      <c r="S1243" s="5" t="n">
        <v>15.2</v>
      </c>
      <c r="T1243" s="2" t="n">
        <v>35</v>
      </c>
      <c r="U1243" s="2" t="inlineStr">
        <is>
          <t>low</t>
        </is>
      </c>
      <c r="V1243" s="5" t="n">
        <v>5.3</v>
      </c>
      <c r="W1243" s="2" t="inlineStr">
        <is>
          <t>low</t>
        </is>
      </c>
      <c r="X1243" s="3" t="inlineStr"/>
      <c r="Y1243" s="3" t="inlineStr">
        <is>
          <t>53% of this dish's available carbohydrate comes from ingredients with a published, measured GI; the rest uses conventional placeholders (see Ingredients sheet)</t>
        </is>
      </c>
      <c r="Z1243" s="2" t="n">
        <v>53</v>
      </c>
      <c r="AA1243" s="3" t="inlineStr">
        <is>
          <t>vegetarian, gluten-free, no-cook</t>
        </is>
      </c>
      <c r="AB1243" s="3" t="inlineStr">
        <is>
          <t>1. Spoon the cottage cheese into cups.
2. Top with sliced peach, pecans, cinnamon and vanilla.</t>
        </is>
      </c>
      <c r="AC1243" s="4" t="inlineStr">
        <is>
          <t>["Spoon the cottage cheese into cups.", "Top with sliced peach, pecans, cinnamon and vanilla."]</t>
        </is>
      </c>
    </row>
    <row r="1244" ht="96" customHeight="1">
      <c r="A1244" s="2" t="inlineStr">
        <is>
          <t>DB-1243</t>
        </is>
      </c>
      <c r="B1244" s="3" t="inlineStr">
        <is>
          <t>Low-Country Boil</t>
        </is>
      </c>
      <c r="C1244" s="4" t="inlineStr">
        <is>
          <t>Seafood</t>
        </is>
      </c>
      <c r="D1244" s="4" t="inlineStr">
        <is>
          <t>American</t>
        </is>
      </c>
      <c r="E1244" s="2" t="n">
        <v>6</v>
      </c>
      <c r="F1244" s="2" t="n">
        <v>15</v>
      </c>
      <c r="G1244" s="2" t="n">
        <v>30</v>
      </c>
      <c r="H1244" s="2" t="n">
        <v>45</v>
      </c>
      <c r="I1244" s="4" t="inlineStr">
        <is>
          <t>low-country-boil.jpg</t>
        </is>
      </c>
      <c r="J1244" s="3" t="inlineStr">
        <is>
          <t>Low-Country Boil, healthy food photography, plated, natural light</t>
        </is>
      </c>
      <c r="K1244" s="4" t="inlineStr"/>
      <c r="L1244" s="3" t="inlineStr">
        <is>
          <t>Shrimp, peeled — 600 g (21.2 oz)
Chicken sausage — 300 g (10.6 oz)
Sweet corn kernels — 400 g (14.1 oz)
New potatoes, boiled — 450 g (15.9 oz)
Old Bay seasoning — 12 g (0.4 oz)
Lemon (with juice &amp; zest) — 60 g (2.1 oz)
Yellow onion — 100 g (3.5 oz)
Garlic — 8 g (0.3 oz)
Water / ice — 2000 g (70.5 oz)</t>
        </is>
      </c>
      <c r="M1244" s="4" t="inlineStr">
        <is>
          <t>[{"ingredient_id": "shrimp", "name": "Shrimp, peeled", "grams": 600.0, "note": ""}, {"ingredient_id": "chicken_sausage", "name": "Chicken sausage", "grams": 300.0, "note": ""}, {"ingredient_id": "corn", "name": "Sweet corn kernels", "grams": 400.0, "note": ""}, {"ingredient_id": "new_potato", "name": "New potatoes, boiled", "grams": 450.0, "note": ""}, {"ingredient_id": "old_bay", "name": "Old Bay seasoning", "grams": 12.0, "note": ""}, {"ingredient_id": "lemon", "name": "Lemon (with juice &amp; zest)", "grams": 60.0, "note": ""}, {"ingredient_id": "onion", "name": "Yellow onion", "grams": 100.0, "note": ""}, {"ingredient_id": "garlic", "name": "Garlic", "grams": 8.0, "note": ""}, {"ingredient_id": "water", "name": "Water / ice", "grams": 2000.0, "note": ""}]</t>
        </is>
      </c>
      <c r="N1244" s="2" t="n">
        <v>310</v>
      </c>
      <c r="O1244" s="5" t="n">
        <v>31.7</v>
      </c>
      <c r="P1244" s="5" t="n">
        <v>7.2</v>
      </c>
      <c r="Q1244" s="5" t="n">
        <v>32.7</v>
      </c>
      <c r="R1244" s="5" t="n">
        <v>4.2</v>
      </c>
      <c r="S1244" s="5" t="n">
        <v>28.4</v>
      </c>
      <c r="T1244" s="2" t="n">
        <v>56</v>
      </c>
      <c r="U1244" s="2" t="inlineStr">
        <is>
          <t>medium</t>
        </is>
      </c>
      <c r="V1244" s="5" t="n">
        <v>15.9</v>
      </c>
      <c r="W1244" s="2" t="inlineStr">
        <is>
          <t>medium</t>
        </is>
      </c>
      <c r="X1244" s="3" t="inlineStr">
        <is>
          <t>Medium-GI dish: keep to the stated portion and pair with the protein/fat in the recipe; GL per serving is the better guide.</t>
        </is>
      </c>
      <c r="Y1244" s="3" t="inlineStr">
        <is>
          <t>86% of this dish's available carbohydrate comes from ingredients with a published, measured GI; the rest uses conventional placeholders (see Ingredients sheet)</t>
        </is>
      </c>
      <c r="Z1244" s="2" t="n">
        <v>86</v>
      </c>
      <c r="AA1244" s="3" t="inlineStr">
        <is>
          <t>gluten-free, dairy-free, nut-free, high-protein</t>
        </is>
      </c>
      <c r="AB1244" s="3" t="inlineStr">
        <is>
          <t>1. Bring the water to a boil with Old Bay, lemon, onion and garlic.
2. Add the potatoes and cook 10 minutes, then the sausage and corn for 8.
3. Add the shrimp for the last 3 minutes and drain.</t>
        </is>
      </c>
      <c r="AC1244" s="4" t="inlineStr">
        <is>
          <t>["Bring the water to a boil with Old Bay, lemon, onion and garlic.", "Add the potatoes and cook 10 minutes, then the sausage and corn for 8.", "Add the shrimp for the last 3 minutes and drain."]</t>
        </is>
      </c>
    </row>
    <row r="1245" ht="96" customHeight="1">
      <c r="A1245" s="2" t="inlineStr">
        <is>
          <t>DB-1244</t>
        </is>
      </c>
      <c r="B1245" s="3" t="inlineStr">
        <is>
          <t>She-Crab-Style Soup (Lightened)</t>
        </is>
      </c>
      <c r="C1245" s="4" t="inlineStr">
        <is>
          <t>Soup &amp; Stew</t>
        </is>
      </c>
      <c r="D1245" s="4" t="inlineStr">
        <is>
          <t>American</t>
        </is>
      </c>
      <c r="E1245" s="2" t="n">
        <v>4</v>
      </c>
      <c r="F1245" s="2" t="n">
        <v>10</v>
      </c>
      <c r="G1245" s="2" t="n">
        <v>25</v>
      </c>
      <c r="H1245" s="2" t="n">
        <v>35</v>
      </c>
      <c r="I1245" s="4" t="inlineStr">
        <is>
          <t>she-crab-style-soup-lightened.jpg</t>
        </is>
      </c>
      <c r="J1245" s="3" t="inlineStr">
        <is>
          <t>She-Crab-Style Soup (Lightened), healthy food photography, plated, natural light</t>
        </is>
      </c>
      <c r="K1245" s="4" t="inlineStr"/>
      <c r="L1245" s="3" t="inlineStr">
        <is>
          <t>Crab meat, lump — 300 g (10.6 oz)
Milk, 2% — 300 g (10.6 oz)
Chicken broth, low sodium — 400 g (14.1 oz)
Yellow onion — 80 g (2.8 oz)
Celery — 50 g (1.8 oz)
Butter — 15 g (0.5 oz)
Old Bay seasoning — 3 g (0.1 oz)
Lemon juice — 10 g (0.4 oz)</t>
        </is>
      </c>
      <c r="M1245" s="4" t="inlineStr">
        <is>
          <t>[{"ingredient_id": "crab", "name": "Crab meat, lump", "grams": 300.0, "note": ""}, {"ingredient_id": "milk", "name": "Milk, 2%", "grams": 300.0, "note": ""}, {"ingredient_id": "chicken_broth", "name": "Chicken broth, low sodium", "grams": 400.0, "note": ""}, {"ingredient_id": "onion", "name": "Yellow onion", "grams": 80.0, "note": ""}, {"ingredient_id": "celery", "name": "Celery", "grams": 50.0, "note": ""}, {"ingredient_id": "butter", "name": "Butter", "grams": 15.0, "note": ""}, {"ingredient_id": "old_bay", "name": "Old Bay seasoning", "grams": 3.0, "note": ""}, {"ingredient_id": "lemon_juice", "name": "Lemon juice", "grams": 10.0, "note": ""}]</t>
        </is>
      </c>
      <c r="N1245" s="2" t="n">
        <v>147</v>
      </c>
      <c r="O1245" s="5" t="n">
        <v>17.4</v>
      </c>
      <c r="P1245" s="5" t="n">
        <v>5.6</v>
      </c>
      <c r="Q1245" s="5" t="n">
        <v>6.9</v>
      </c>
      <c r="R1245" s="5" t="n">
        <v>0.7</v>
      </c>
      <c r="S1245" s="5" t="n">
        <v>6.2</v>
      </c>
      <c r="T1245" s="2" t="n">
        <v>21</v>
      </c>
      <c r="U1245" s="2" t="inlineStr">
        <is>
          <t>low</t>
        </is>
      </c>
      <c r="V1245" s="5" t="n">
        <v>1.3</v>
      </c>
      <c r="W1245" s="2" t="inlineStr">
        <is>
          <t>low</t>
        </is>
      </c>
      <c r="X1245" s="3" t="inlineStr"/>
      <c r="Y1245" s="3" t="inlineStr">
        <is>
          <t>58% of this dish's available carbohydrate comes from ingredients with a published, measured GI; the rest uses conventional placeholders (see Ingredients sheet)</t>
        </is>
      </c>
      <c r="Z1245" s="2" t="n">
        <v>58</v>
      </c>
      <c r="AA1245" s="3" t="inlineStr">
        <is>
          <t>pescatarian, gluten-free, nut-free, low-carb</t>
        </is>
      </c>
      <c r="AB1245" s="3" t="inlineStr">
        <is>
          <t>1. Soften the onion and celery in butter.
2. Add the broth and milk and simmer 10 minutes.
3. Stir in the crab, Old Bay and lemon and heat gently.</t>
        </is>
      </c>
      <c r="AC1245" s="4" t="inlineStr">
        <is>
          <t>["Soften the onion and celery in butter.", "Add the broth and milk and simmer 10 minutes.", "Stir in the crab, Old Bay and lemon and heat gently."]</t>
        </is>
      </c>
    </row>
    <row r="1246" ht="96" customHeight="1">
      <c r="A1246" s="2" t="inlineStr">
        <is>
          <t>DB-1245</t>
        </is>
      </c>
      <c r="B1246" s="3" t="inlineStr">
        <is>
          <t>Carolina Pulled Pork Plate with Vinegar Slaw</t>
        </is>
      </c>
      <c r="C1246" s="4" t="inlineStr">
        <is>
          <t>Beef, Pork &amp; Lamb</t>
        </is>
      </c>
      <c r="D1246" s="4" t="inlineStr">
        <is>
          <t>American</t>
        </is>
      </c>
      <c r="E1246" s="2" t="n">
        <v>6</v>
      </c>
      <c r="F1246" s="2" t="n">
        <v>15</v>
      </c>
      <c r="G1246" s="2" t="n">
        <v>15</v>
      </c>
      <c r="H1246" s="2" t="n">
        <v>30</v>
      </c>
      <c r="I1246" s="4" t="inlineStr">
        <is>
          <t>carolina-pulled-pork-plate-with-vinegar-slaw.jpg</t>
        </is>
      </c>
      <c r="J1246" s="3" t="inlineStr">
        <is>
          <t>Carolina Pulled Pork Plate with Vinegar Slaw, healthy food photography, plated, natural light</t>
        </is>
      </c>
      <c r="K1246" s="4" t="inlineStr"/>
      <c r="L1246" s="3" t="inlineStr">
        <is>
          <t>Pork shoulder, trimmed — 720 g (25.4 oz)
Apple cider vinegar — 60 g (2.1 oz)
Red pepper flakes — 2 g (0.1 oz)
Smoked paprika — 4 g (0.1 oz)
Coleslaw mix (cabbage &amp; carrot) — 360 g (12.7 oz)
New potatoes, boiled — 360 g (12.7 oz)
Extra-virgin olive oil — 15 g (0.5 oz)
Salt — 4 g (0.1 oz)</t>
        </is>
      </c>
      <c r="M1246" s="4" t="inlineStr">
        <is>
          <t>[{"ingredient_id": "pork_shoulder", "name": "Pork shoulder, trimmed", "grams": 720.0, "note": ""}, {"ingredient_id": "apple_cider_vinegar", "name": "Apple cider vinegar", "grams": 60.0, "note": ""}, {"ingredient_id": "red_pepper_flakes", "name": "Red pepper flakes", "grams": 2.0, "note": ""}, {"ingredient_id": "smoked_paprika", "name": "Smoked paprika", "grams": 4.0, "note": ""}, {"ingredient_id": "coleslaw_mix", "name": "Coleslaw mix (cabbage &amp; carrot)", "grams": 360.0, "note": ""}, {"ingredient_id": "new_potato", "name": "New potatoes, boiled", "grams": 360.0, "note": ""}, {"ingredient_id": "olive_oil", "name": "Extra-virgin olive oil", "grams": 15.0, "note": ""}, {"ingredient_id": "salt", "name": "Salt", "grams": 4.0, "note": ""}]</t>
        </is>
      </c>
      <c r="N1246" s="2" t="n">
        <v>336</v>
      </c>
      <c r="O1246" s="5" t="n">
        <v>24.9</v>
      </c>
      <c r="P1246" s="5" t="n">
        <v>19.6</v>
      </c>
      <c r="Q1246" s="5" t="n">
        <v>16.2</v>
      </c>
      <c r="R1246" s="5" t="n">
        <v>2.8</v>
      </c>
      <c r="S1246" s="5" t="n">
        <v>13.4</v>
      </c>
      <c r="T1246" s="2" t="n">
        <v>61</v>
      </c>
      <c r="U1246" s="2" t="inlineStr">
        <is>
          <t>medium</t>
        </is>
      </c>
      <c r="V1246" s="5" t="n">
        <v>8.199999999999999</v>
      </c>
      <c r="W1246" s="2" t="inlineStr">
        <is>
          <t>low</t>
        </is>
      </c>
      <c r="X1246" s="3" t="inlineStr">
        <is>
          <t>Medium-GI dish: keep to the stated portion and pair with the protein/fat in the recipe; GL per serving is the better guide.</t>
        </is>
      </c>
      <c r="Y1246" s="3" t="inlineStr">
        <is>
          <t>82% of this dish's available carbohydrate comes from ingredients with a published, measured GI; the rest uses conventional placeholders (see Ingredients sheet)</t>
        </is>
      </c>
      <c r="Z1246" s="2" t="n">
        <v>82</v>
      </c>
      <c r="AA1246" s="3" t="inlineStr">
        <is>
          <t>gluten-free, dairy-free, nut-free, low-carb</t>
        </is>
      </c>
      <c r="AB1246" s="3" t="inlineStr">
        <is>
          <t>1. Use cooked, shredded pork shoulder; toss with half the vinegar, pepper flakes, paprika and salt.
2. Toss the slaw with the rest of the vinegar and the oil.
3. Serve the pork with slaw and boiled potatoes.</t>
        </is>
      </c>
      <c r="AC1246" s="4" t="inlineStr">
        <is>
          <t>["Use cooked, shredded pork shoulder; toss with half the vinegar, pepper flakes, paprika and salt.", "Toss the slaw with the rest of the vinegar and the oil.", "Serve the pork with slaw and boiled potatoes."]</t>
        </is>
      </c>
    </row>
    <row r="1247" ht="96" customHeight="1">
      <c r="A1247" s="2" t="inlineStr">
        <is>
          <t>DB-1246</t>
        </is>
      </c>
      <c r="B1247" s="3" t="inlineStr">
        <is>
          <t>Southern Green Beans with New Potatoes</t>
        </is>
      </c>
      <c r="C1247" s="4" t="inlineStr">
        <is>
          <t>Side Dish</t>
        </is>
      </c>
      <c r="D1247" s="4" t="inlineStr">
        <is>
          <t>American</t>
        </is>
      </c>
      <c r="E1247" s="2" t="n">
        <v>6</v>
      </c>
      <c r="F1247" s="2" t="n">
        <v>10</v>
      </c>
      <c r="G1247" s="2" t="n">
        <v>35</v>
      </c>
      <c r="H1247" s="2" t="n">
        <v>45</v>
      </c>
      <c r="I1247" s="4" t="inlineStr">
        <is>
          <t>southern-green-beans-with-new-potatoes.jpg</t>
        </is>
      </c>
      <c r="J1247" s="3" t="inlineStr">
        <is>
          <t>Southern Green Beans with New Potatoes, healthy food photography, plated, natural light</t>
        </is>
      </c>
      <c r="K1247" s="4" t="inlineStr"/>
      <c r="L1247" s="3" t="inlineStr">
        <is>
          <t>Green beans — 500 g (17.6 oz)
New potatoes, boiled — 300 g (10.6 oz)
Turkey bacon — 50 g (1.8 oz)
Yellow onion — 80 g (2.8 oz)
Chicken broth, low sodium — 300 g (10.6 oz)
Black pepper — 1 g (0.0 oz)</t>
        </is>
      </c>
      <c r="M1247" s="4" t="inlineStr">
        <is>
          <t>[{"ingredient_id": "green_beans", "name": "Green beans", "grams": 500.0, "note": ""}, {"ingredient_id": "new_potato", "name": "New potatoes, boiled", "grams": 300.0, "note": ""}, {"ingredient_id": "turkey_bacon", "name": "Turkey bacon", "grams": 50.0, "note": ""}, {"ingredient_id": "onion", "name": "Yellow onion", "grams": 80.0, "note": ""}, {"ingredient_id": "chicken_broth", "name": "Chicken broth, low sodium", "grams": 300.0, "note": ""}, {"ingredient_id": "black_pepper", "name": "Black pepper", "grams": 1.0, "note": ""}]</t>
        </is>
      </c>
      <c r="N1247" s="2" t="n">
        <v>97</v>
      </c>
      <c r="O1247" s="5" t="n">
        <v>4.6</v>
      </c>
      <c r="P1247" s="5" t="n">
        <v>1.6</v>
      </c>
      <c r="Q1247" s="5" t="n">
        <v>17.6</v>
      </c>
      <c r="R1247" s="5" t="n">
        <v>3.4</v>
      </c>
      <c r="S1247" s="5" t="n">
        <v>14.2</v>
      </c>
      <c r="T1247" s="2" t="n">
        <v>51</v>
      </c>
      <c r="U1247" s="2" t="inlineStr">
        <is>
          <t>low</t>
        </is>
      </c>
      <c r="V1247" s="5" t="n">
        <v>7.2</v>
      </c>
      <c r="W1247" s="2" t="inlineStr">
        <is>
          <t>low</t>
        </is>
      </c>
      <c r="X1247" s="3" t="inlineStr"/>
      <c r="Y1247" s="3" t="inlineStr">
        <is>
          <t>64% of this dish's available carbohydrate comes from ingredients with a published, measured GI; the rest uses conventional placeholders (see Ingredients sheet)</t>
        </is>
      </c>
      <c r="Z1247" s="2" t="n">
        <v>64</v>
      </c>
      <c r="AA1247" s="3" t="inlineStr">
        <is>
          <t>gluten-free, dairy-free, nut-free, low-carb</t>
        </is>
      </c>
      <c r="AB1247" s="3" t="inlineStr">
        <is>
          <t>1. Crisp the bacon with the onion.
2. Add the beans, potatoes and broth.
3. Simmer covered 30 minutes.</t>
        </is>
      </c>
      <c r="AC1247" s="4" t="inlineStr">
        <is>
          <t>["Crisp the bacon with the onion.", "Add the beans, potatoes and broth.", "Simmer covered 30 minutes."]</t>
        </is>
      </c>
    </row>
    <row r="1248" ht="96" customHeight="1">
      <c r="A1248" s="2" t="inlineStr">
        <is>
          <t>DB-1247</t>
        </is>
      </c>
      <c r="B1248" s="3" t="inlineStr">
        <is>
          <t>Deviled Egg Salad Stuffed Tomatoes</t>
        </is>
      </c>
      <c r="C1248" s="4" t="inlineStr">
        <is>
          <t>Salad</t>
        </is>
      </c>
      <c r="D1248" s="4" t="inlineStr">
        <is>
          <t>American</t>
        </is>
      </c>
      <c r="E1248" s="2" t="n">
        <v>4</v>
      </c>
      <c r="F1248" s="2" t="n">
        <v>15</v>
      </c>
      <c r="G1248" s="2" t="n">
        <v>10</v>
      </c>
      <c r="H1248" s="2" t="n">
        <v>25</v>
      </c>
      <c r="I1248" s="4" t="inlineStr">
        <is>
          <t>deviled-egg-salad-stuffed-tomatoes.jpg</t>
        </is>
      </c>
      <c r="J1248" s="3" t="inlineStr">
        <is>
          <t>Deviled Egg Salad Stuffed Tomatoes, healthy food photography, plated, natural light</t>
        </is>
      </c>
      <c r="K1248" s="4" t="inlineStr"/>
      <c r="L1248" s="3" t="inlineStr">
        <is>
          <t>Egg, large (50 g each) — 300 g (10.6 oz)
Tomato — 400 g (14.1 oz)
Greek yogurt, plain 2% — 60 g (2.1 oz)
Dijon mustard — 10 g (0.4 oz)
Paprika — 1 g (0.0 oz)
Fresh chives — 4 g (0.1 oz)
Celery — 30 g (1.1 oz)</t>
        </is>
      </c>
      <c r="M1248" s="4" t="inlineStr">
        <is>
          <t>[{"ingredient_id": "egg", "name": "Egg, large (50 g each)", "grams": 300.0, "note": ""}, {"ingredient_id": "tomato", "name": "Tomato", "grams": 400.0, "note": ""}, {"ingredient_id": "greek_yogurt", "name": "Greek yogurt, plain 2%", "grams": 60.0, "note": ""}, {"ingredient_id": "dijon", "name": "Dijon mustard", "grams": 10.0, "note": ""}, {"ingredient_id": "paprika", "name": "Paprika", "grams": 1.0, "note": ""}, {"ingredient_id": "chives", "name": "Fresh chives", "grams": 4.0, "note": ""}, {"ingredient_id": "celery", "name": "Celery", "grams": 30.0, "note": ""}]</t>
        </is>
      </c>
      <c r="N1248" s="2" t="n">
        <v>140</v>
      </c>
      <c r="O1248" s="5" t="n">
        <v>12.1</v>
      </c>
      <c r="P1248" s="5" t="n">
        <v>7.8</v>
      </c>
      <c r="Q1248" s="5" t="n">
        <v>5.6</v>
      </c>
      <c r="R1248" s="5" t="n">
        <v>1.5</v>
      </c>
      <c r="S1248" s="5" t="n">
        <v>4</v>
      </c>
      <c r="T1248" s="2" t="n">
        <v>12</v>
      </c>
      <c r="U1248" s="2" t="inlineStr">
        <is>
          <t>low</t>
        </is>
      </c>
      <c r="V1248" s="5" t="n">
        <v>0.5</v>
      </c>
      <c r="W1248" s="2" t="inlineStr">
        <is>
          <t>low</t>
        </is>
      </c>
      <c r="X1248" s="3" t="inlineStr">
        <is>
          <t>Negligible carbohydrate (&lt;5 g net/serving): GI has little practical meaning, glycemic load is what matters.</t>
        </is>
      </c>
      <c r="Y1248" s="3" t="inlineStr">
        <is>
          <t>15% of this dish's available carbohydrate comes from ingredients with a published, measured GI; the rest uses conventional placeholders (see Ingredients sheet)</t>
        </is>
      </c>
      <c r="Z1248" s="2" t="n">
        <v>15</v>
      </c>
      <c r="AA1248" s="3" t="inlineStr">
        <is>
          <t>vegetarian, gluten-free, nut-free, low-carb</t>
        </is>
      </c>
      <c r="AB1248" s="3" t="inlineStr">
        <is>
          <t>1. Hard-boil the eggs and chop.
2. Mix with yogurt, mustard, celery and chives.
3. Hollow out the tomatoes and fill; dust with paprika.</t>
        </is>
      </c>
      <c r="AC1248" s="4" t="inlineStr">
        <is>
          <t>["Hard-boil the eggs and chop.", "Mix with yogurt, mustard, celery and chives.", "Hollow out the tomatoes and fill; dust with paprika."]</t>
        </is>
      </c>
    </row>
    <row r="1249" ht="96" customHeight="1">
      <c r="A1249" s="2" t="inlineStr">
        <is>
          <t>DB-1248</t>
        </is>
      </c>
      <c r="B1249" s="3" t="inlineStr">
        <is>
          <t>Chicken and Sausage Jambalaya Soup</t>
        </is>
      </c>
      <c r="C1249" s="4" t="inlineStr">
        <is>
          <t>Soup &amp; Stew</t>
        </is>
      </c>
      <c r="D1249" s="4" t="inlineStr">
        <is>
          <t>Cajun</t>
        </is>
      </c>
      <c r="E1249" s="2" t="n">
        <v>6</v>
      </c>
      <c r="F1249" s="2" t="n">
        <v>15</v>
      </c>
      <c r="G1249" s="2" t="n">
        <v>35</v>
      </c>
      <c r="H1249" s="2" t="n">
        <v>50</v>
      </c>
      <c r="I1249" s="4" t="inlineStr">
        <is>
          <t>chicken-and-sausage-jambalaya-soup.jpg</t>
        </is>
      </c>
      <c r="J1249" s="3" t="inlineStr">
        <is>
          <t>Chicken and Sausage Jambalaya Soup, healthy food photography, plated, natural light</t>
        </is>
      </c>
      <c r="K1249" s="4" t="inlineStr"/>
      <c r="L1249" s="3" t="inlineStr">
        <is>
          <t>Chicken breast, skinless — 350 g (12.3 oz)
Chicken sausage — 200 g (7.1 oz)
Diced tomatoes, canned — 400 g (14.1 oz)
Chicken broth, low sodium — 800 g (28.2 oz)
White rice, long-grain, cooked — 240 g (8.5 oz)
Bell pepper — 120 g (4.2 oz)
Celery — 80 g (2.8 oz)
Yellow onion — 100 g (3.5 oz)
Cajun seasoning — 8 g (0.3 oz)</t>
        </is>
      </c>
      <c r="M1249" s="4" t="inlineStr">
        <is>
          <t>[{"ingredient_id": "chicken_breast", "name": "Chicken breast, skinless", "grams": 350.0, "note": ""}, {"ingredient_id": "chicken_sausage", "name": "Chicken sausage", "grams": 200.0, "note": ""}, {"ingredient_id": "diced_tomatoes", "name": "Diced tomatoes, canned", "grams": 400.0, "note": ""}, {"ingredient_id": "chicken_broth", "name": "Chicken broth, low sodium", "grams": 800.0, "note": ""}, {"ingredient_id": "white_rice", "name": "White rice, long-grain, cooked", "grams": 240.0, "note": ""}, {"ingredient_id": "bell_pepper", "name": "Bell pepper", "grams": 120.0, "note": ""}, {"ingredient_id": "celery", "name": "Celery", "grams": 80.0, "note": ""}, {"ingredient_id": "onion", "name": "Yellow onion", "grams": 100.0, "note": ""}, {"ingredient_id": "cajun_seasoning", "name": "Cajun seasoning", "grams": 8.0, "note": ""}]</t>
        </is>
      </c>
      <c r="N1249" s="2" t="n">
        <v>223</v>
      </c>
      <c r="O1249" s="5" t="n">
        <v>21.9</v>
      </c>
      <c r="P1249" s="5" t="n">
        <v>5.9</v>
      </c>
      <c r="Q1249" s="5" t="n">
        <v>19.8</v>
      </c>
      <c r="R1249" s="5" t="n">
        <v>2.4</v>
      </c>
      <c r="S1249" s="5" t="n">
        <v>17.3</v>
      </c>
      <c r="T1249" s="2" t="n">
        <v>56</v>
      </c>
      <c r="U1249" s="2" t="inlineStr">
        <is>
          <t>medium</t>
        </is>
      </c>
      <c r="V1249" s="5" t="n">
        <v>9.699999999999999</v>
      </c>
      <c r="W1249" s="2" t="inlineStr">
        <is>
          <t>low</t>
        </is>
      </c>
      <c r="X1249" s="3" t="inlineStr">
        <is>
          <t>Medium-GI dish: keep to the stated portion and pair with the protein/fat in the recipe; GL per serving is the better guide.</t>
        </is>
      </c>
      <c r="Y1249" s="3" t="inlineStr">
        <is>
          <t>64% of this dish's available carbohydrate comes from ingredients with a published, measured GI; the rest uses conventional placeholders (see Ingredients sheet)</t>
        </is>
      </c>
      <c r="Z1249" s="2" t="n">
        <v>64</v>
      </c>
      <c r="AA1249" s="3" t="inlineStr">
        <is>
          <t>gluten-free, dairy-free, nut-free</t>
        </is>
      </c>
      <c r="AB1249" s="3" t="inlineStr">
        <is>
          <t>1. Simmer the chicken, onion, pepper and celery in the broth and tomatoes for 20 minutes.
2. Shred the chicken, add the sliced sausage, rice and seasoning and cook 8 minutes.</t>
        </is>
      </c>
      <c r="AC1249" s="4" t="inlineStr">
        <is>
          <t>["Simmer the chicken, onion, pepper and celery in the broth and tomatoes for 20 minutes.", "Shred the chicken, add the sliced sausage, rice and seasoning and cook 8 minutes."]</t>
        </is>
      </c>
    </row>
    <row r="1250" ht="96" customHeight="1">
      <c r="A1250" s="2" t="inlineStr">
        <is>
          <t>DB-1249</t>
        </is>
      </c>
      <c r="B1250" s="3" t="inlineStr">
        <is>
          <t>Cajun Shrimp Stuffed Avocado</t>
        </is>
      </c>
      <c r="C1250" s="4" t="inlineStr">
        <is>
          <t>Salad</t>
        </is>
      </c>
      <c r="D1250" s="4" t="inlineStr">
        <is>
          <t>Cajun</t>
        </is>
      </c>
      <c r="E1250" s="2" t="n">
        <v>4</v>
      </c>
      <c r="F1250" s="2" t="n">
        <v>15</v>
      </c>
      <c r="G1250" s="2" t="n">
        <v>5</v>
      </c>
      <c r="H1250" s="2" t="n">
        <v>20</v>
      </c>
      <c r="I1250" s="4" t="inlineStr">
        <is>
          <t>cajun-shrimp-stuffed-avocado.jpg</t>
        </is>
      </c>
      <c r="J1250" s="3" t="inlineStr">
        <is>
          <t>Cajun Shrimp Stuffed Avocado, healthy food photography, plated, natural light</t>
        </is>
      </c>
      <c r="K1250" s="4" t="inlineStr"/>
      <c r="L1250" s="3" t="inlineStr">
        <is>
          <t>Avocado — 350 g (12.3 oz)
Shrimp, peeled — 300 g (10.6 oz)
Cajun seasoning — 5 g (0.2 oz)
Lime juice — 20 g (0.7 oz)
Red onion — 30 g (1.1 oz)
Fresh cilantro — 5 g (0.2 oz)
Extra-virgin olive oil — 10 g (0.4 oz)</t>
        </is>
      </c>
      <c r="M1250" s="4" t="inlineStr">
        <is>
          <t>[{"ingredient_id": "avocado", "name": "Avocado", "grams": 350.0, "note": ""}, {"ingredient_id": "shrimp", "name": "Shrimp, peeled", "grams": 300.0, "note": ""}, {"ingredient_id": "cajun_seasoning", "name": "Cajun seasoning", "grams": 5.0, "note": ""}, {"ingredient_id": "lime_juice", "name": "Lime juice", "grams": 20.0, "note": ""}, {"ingredient_id": "red_onion", "name": "Red onion", "grams": 30.0, "note": ""}, {"ingredient_id": "cilantro", "name": "Fresh cilantro", "grams": 5.0, "note": ""}, {"ingredient_id": "olive_oil", "name": "Extra-virgin olive oil", "grams": 10.0, "note": ""}]</t>
        </is>
      </c>
      <c r="N1250" s="2" t="n">
        <v>234</v>
      </c>
      <c r="O1250" s="5" t="n">
        <v>17</v>
      </c>
      <c r="P1250" s="5" t="n">
        <v>16.1</v>
      </c>
      <c r="Q1250" s="5" t="n">
        <v>9.300000000000001</v>
      </c>
      <c r="R1250" s="5" t="n">
        <v>6.4</v>
      </c>
      <c r="S1250" s="5" t="n">
        <v>2.9</v>
      </c>
      <c r="T1250" s="2" t="n">
        <v>16</v>
      </c>
      <c r="U1250" s="2" t="inlineStr">
        <is>
          <t>low</t>
        </is>
      </c>
      <c r="V1250" s="5" t="n">
        <v>0.5</v>
      </c>
      <c r="W1250" s="2" t="inlineStr">
        <is>
          <t>low</t>
        </is>
      </c>
      <c r="X1250" s="3" t="inlineStr">
        <is>
          <t>Negligible carbohydrate (&lt;5 g net/serving): GI has little practical meaning, glycemic load is what matters.</t>
        </is>
      </c>
      <c r="Y1250" s="3" t="inlineStr">
        <is>
          <t>0% of this dish's available carbohydrate comes from ingredients with a published, measured GI; the rest uses conventional placeholders (see Ingredients sheet)</t>
        </is>
      </c>
      <c r="Z1250" s="2" t="n">
        <v>0</v>
      </c>
      <c r="AA1250" s="3" t="inlineStr">
        <is>
          <t>pescatarian, gluten-free, dairy-free, nut-free, low-carb</t>
        </is>
      </c>
      <c r="AB1250" s="3" t="inlineStr">
        <is>
          <t>1. Season the shrimp and sear in oil, 2 minutes a side.
2. Halve the avocados.
3. Fill with shrimp, onion and cilantro and squeeze lime on top.</t>
        </is>
      </c>
      <c r="AC1250" s="4" t="inlineStr">
        <is>
          <t>["Season the shrimp and sear in oil, 2 minutes a side.", "Halve the avocados.", "Fill with shrimp, onion and cilantro and squeeze lime on top."]</t>
        </is>
      </c>
    </row>
    <row r="1251" ht="96" customHeight="1">
      <c r="A1251" s="2" t="inlineStr">
        <is>
          <t>DB-1250</t>
        </is>
      </c>
      <c r="B1251" s="3" t="inlineStr">
        <is>
          <t>Peach Pecan Overnight Oats</t>
        </is>
      </c>
      <c r="C1251" s="4" t="inlineStr">
        <is>
          <t>Breakfast</t>
        </is>
      </c>
      <c r="D1251" s="4" t="inlineStr">
        <is>
          <t>American</t>
        </is>
      </c>
      <c r="E1251" s="2" t="n">
        <v>2</v>
      </c>
      <c r="F1251" s="2" t="n">
        <v>5</v>
      </c>
      <c r="G1251" s="2" t="n">
        <v>0</v>
      </c>
      <c r="H1251" s="2" t="n">
        <v>5</v>
      </c>
      <c r="I1251" s="4" t="inlineStr">
        <is>
          <t>peach-pecan-overnight-oats.jpg</t>
        </is>
      </c>
      <c r="J1251" s="3" t="inlineStr">
        <is>
          <t>Peach Pecan Overnight Oats, healthy food photography, plated, natural light</t>
        </is>
      </c>
      <c r="K1251" s="4" t="inlineStr"/>
      <c r="L1251" s="3" t="inlineStr">
        <is>
          <t>Rolled oats, dry — 60 g (2.1 oz)
Milk, 2% — 200 g (7.1 oz)
Greek yogurt, plain 2% — 100 g (3.5 oz)
Peach — 150 g (5.3 oz)
Pecans — 20 g (0.7 oz)
Ground cinnamon — 1 g (0.0 oz)
Chia seeds — 10 g (0.4 oz)</t>
        </is>
      </c>
      <c r="M1251" s="4" t="inlineStr">
        <is>
          <t>[{"ingredient_id": "rolled_oats", "name": "Rolled oats, dry", "grams": 60.0, "note": ""}, {"ingredient_id": "milk", "name": "Milk, 2%", "grams": 200.0, "note": ""}, {"ingredient_id": "greek_yogurt", "name": "Greek yogurt, plain 2%", "grams": 100.0, "note": ""}, {"ingredient_id": "peach", "name": "Peach", "grams": 150.0, "note": ""}, {"ingredient_id": "pecans", "name": "Pecans", "grams": 20.0, "note": ""}, {"ingredient_id": "cinnamon", "name": "Ground cinnamon", "grams": 1.0, "note": ""}, {"ingredient_id": "chia_seeds", "name": "Chia seeds", "grams": 10.0, "note": ""}]</t>
        </is>
      </c>
      <c r="N1251" s="2" t="n">
        <v>324</v>
      </c>
      <c r="O1251" s="5" t="n">
        <v>14.6</v>
      </c>
      <c r="P1251" s="5" t="n">
        <v>13.9</v>
      </c>
      <c r="Q1251" s="5" t="n">
        <v>38.2</v>
      </c>
      <c r="R1251" s="5" t="n">
        <v>7</v>
      </c>
      <c r="S1251" s="5" t="n">
        <v>31.2</v>
      </c>
      <c r="T1251" s="2" t="n">
        <v>48</v>
      </c>
      <c r="U1251" s="2" t="inlineStr">
        <is>
          <t>low</t>
        </is>
      </c>
      <c r="V1251" s="5" t="n">
        <v>15</v>
      </c>
      <c r="W1251" s="2" t="inlineStr">
        <is>
          <t>medium</t>
        </is>
      </c>
      <c r="X1251" s="3" t="inlineStr"/>
      <c r="Y1251" s="3" t="inlineStr">
        <is>
          <t>97% of this dish's available carbohydrate comes from ingredients with a published, measured GI; the rest uses conventional placeholders (see Ingredients sheet)</t>
        </is>
      </c>
      <c r="Z1251" s="2" t="n">
        <v>97</v>
      </c>
      <c r="AA1251" s="3" t="inlineStr">
        <is>
          <t>vegetarian, high-fiber, no-cook, meal-prep</t>
        </is>
      </c>
      <c r="AB1251" s="3" t="inlineStr">
        <is>
          <t>1. Stir the oats, milk, yogurt, chia and cinnamon in a jar.
2. Refrigerate overnight.
3. Top with peach and pecans.</t>
        </is>
      </c>
      <c r="AC1251" s="4" t="inlineStr">
        <is>
          <t>["Stir the oats, milk, yogurt, chia and cinnamon in a jar.", "Refrigerate overnight.", "Top with peach and pecans."]</t>
        </is>
      </c>
    </row>
    <row r="1252" ht="96" customHeight="1">
      <c r="A1252" s="2" t="inlineStr">
        <is>
          <t>DB-1251</t>
        </is>
      </c>
      <c r="B1252" s="3" t="inlineStr">
        <is>
          <t>Texas-Style Beef Chili without Beans</t>
        </is>
      </c>
      <c r="C1252" s="4" t="inlineStr">
        <is>
          <t>Soup &amp; Stew</t>
        </is>
      </c>
      <c r="D1252" s="4" t="inlineStr">
        <is>
          <t>Tex-Mex</t>
        </is>
      </c>
      <c r="E1252" s="2" t="n">
        <v>6</v>
      </c>
      <c r="F1252" s="2" t="n">
        <v>15</v>
      </c>
      <c r="G1252" s="2" t="n">
        <v>90</v>
      </c>
      <c r="H1252" s="2" t="n">
        <v>105</v>
      </c>
      <c r="I1252" s="4" t="inlineStr">
        <is>
          <t>texas-style-beef-chili-without-beans.jpg</t>
        </is>
      </c>
      <c r="J1252" s="3" t="inlineStr">
        <is>
          <t>Texas-Style Beef Chili without Beans, healthy food photography, plated, natural light</t>
        </is>
      </c>
      <c r="K1252" s="4" t="inlineStr"/>
      <c r="L1252" s="3" t="inlineStr">
        <is>
          <t>Beef chuck roast, trimmed — 700 g (24.7 oz)
Diced tomatoes, canned — 400 g (14.1 oz)
Yellow onion — 150 g (5.3 oz)
Chili powder — 15 g (0.5 oz)
Ground cumin — 5 g (0.2 oz)
Garlic — 10 g (0.4 oz)
Beef broth, low sodium — 400 g (14.1 oz)
Tomato paste — 30 g (1.1 oz)
Jalapeño — 20 g (0.7 oz)
Extra-virgin olive oil — 15 g (0.5 oz)</t>
        </is>
      </c>
      <c r="M1252" s="4" t="inlineStr">
        <is>
          <t>[{"ingredient_id": "beef_chuck", "name": "Beef chuck roast, trimmed", "grams": 700.0, "note": ""}, {"ingredient_id": "diced_tomatoes", "name": "Diced tomatoes, canned", "grams": 400.0, "note": ""}, {"ingredient_id": "onion", "name": "Yellow onion", "grams": 150.0, "note": ""}, {"ingredient_id": "chili_powder", "name": "Chili powder", "grams": 15.0, "note": ""}, {"ingredient_id": "cumin", "name": "Ground cumin", "grams": 5.0, "note": ""}, {"ingredient_id": "garlic", "name": "Garlic", "grams": 10.0, "note": ""}, {"ingredient_id": "beef_broth", "name": "Beef broth, low sodium", "grams": 400.0, "note": ""}, {"ingredient_id": "tomato_paste", "name": "Tomato paste", "grams": 30.0, "note": ""}, {"ingredient_id": "jalapeno", "name": "Jalapeño", "grams": 20.0, "note": ""}, {"ingredient_id": "olive_oil", "name": "Extra-virgin olive oil", "grams": 15.0, "note": ""}]</t>
        </is>
      </c>
      <c r="N1252" s="2" t="n">
        <v>280</v>
      </c>
      <c r="O1252" s="5" t="n">
        <v>26.1</v>
      </c>
      <c r="P1252" s="5" t="n">
        <v>16.2</v>
      </c>
      <c r="Q1252" s="5" t="n">
        <v>9.300000000000001</v>
      </c>
      <c r="R1252" s="5" t="n">
        <v>2.7</v>
      </c>
      <c r="S1252" s="5" t="n">
        <v>6.5</v>
      </c>
      <c r="T1252" s="2" t="n">
        <v>25</v>
      </c>
      <c r="U1252" s="2" t="inlineStr">
        <is>
          <t>low</t>
        </is>
      </c>
      <c r="V1252" s="5" t="n">
        <v>1.6</v>
      </c>
      <c r="W1252" s="2" t="inlineStr">
        <is>
          <t>low</t>
        </is>
      </c>
      <c r="X1252" s="3" t="inlineStr"/>
      <c r="Y1252" s="3" t="inlineStr">
        <is>
          <t>0% of this dish's available carbohydrate comes from ingredients with a published, measured GI; the rest uses conventional placeholders (see Ingredients sheet)</t>
        </is>
      </c>
      <c r="Z1252" s="2" t="n">
        <v>0</v>
      </c>
      <c r="AA1252" s="3" t="inlineStr">
        <is>
          <t>gluten-free, dairy-free, nut-free, low-carb, high-protein</t>
        </is>
      </c>
      <c r="AB1252" s="3" t="inlineStr">
        <is>
          <t>1. Brown the cubed beef in oil.
2. Add the onion, garlic, jalapeno and spices.
3. Stir in the tomatoes, paste and broth and simmer 80 minutes until tender.</t>
        </is>
      </c>
      <c r="AC1252" s="4" t="inlineStr">
        <is>
          <t>["Brown the cubed beef in oil.", "Add the onion, garlic, jalapeno and spices.", "Stir in the tomatoes, paste and broth and simmer 80 minutes until tender."]</t>
        </is>
      </c>
    </row>
    <row r="1253" ht="96" customHeight="1">
      <c r="A1253" s="2" t="inlineStr">
        <is>
          <t>DB-1252</t>
        </is>
      </c>
      <c r="B1253" s="3" t="inlineStr">
        <is>
          <t>Brisket-Style Slow Cooker Beef with Barbecue Rub</t>
        </is>
      </c>
      <c r="C1253" s="4" t="inlineStr">
        <is>
          <t>Beef, Pork &amp; Lamb</t>
        </is>
      </c>
      <c r="D1253" s="4" t="inlineStr">
        <is>
          <t>American</t>
        </is>
      </c>
      <c r="E1253" s="2" t="n">
        <v>8</v>
      </c>
      <c r="F1253" s="2" t="n">
        <v>15</v>
      </c>
      <c r="G1253" s="2" t="n">
        <v>480</v>
      </c>
      <c r="H1253" s="2" t="n">
        <v>495</v>
      </c>
      <c r="I1253" s="4" t="inlineStr">
        <is>
          <t>brisket-style-slow-cooker-beef-with-barbecue-rub.jpg</t>
        </is>
      </c>
      <c r="J1253" s="3" t="inlineStr">
        <is>
          <t>Brisket-Style Slow Cooker Beef with Barbecue Rub, healthy food photography, plated, natural light</t>
        </is>
      </c>
      <c r="K1253" s="4" t="inlineStr"/>
      <c r="L1253" s="3" t="inlineStr">
        <is>
          <t>Beef chuck roast, trimmed — 1200 g (42.3 oz)
Smoked paprika — 8 g (0.3 oz)
Garlic powder — 6 g (0.2 oz)
Onion powder — 4 g (0.1 oz)
Chili powder — 6 g (0.2 oz)
Black pepper — 3 g (0.1 oz)
Salt — 6 g (0.2 oz)
Apple cider vinegar — 40 g (1.4 oz)
Beef broth, low sodium — 300 g (10.6 oz)
Yellow onion — 150 g (5.3 oz)</t>
        </is>
      </c>
      <c r="M1253" s="4" t="inlineStr">
        <is>
          <t>[{"ingredient_id": "beef_chuck", "name": "Beef chuck roast, trimmed", "grams": 1200.0, "note": ""}, {"ingredient_id": "smoked_paprika", "name": "Smoked paprika", "grams": 8.0, "note": ""}, {"ingredient_id": "garlic_powder", "name": "Garlic powder", "grams": 6.0, "note": ""}, {"ingredient_id": "onion_powder", "name": "Onion powder", "grams": 4.0, "note": ""}, {"ingredient_id": "chili_powder", "name": "Chili powder", "grams": 6.0, "note": ""}, {"ingredient_id": "black_pepper", "name": "Black pepper", "grams": 3.0, "note": ""}, {"ingredient_id": "salt", "name": "Salt", "grams": 6.0, "note": ""}, {"ingredient_id": "apple_cider_vinegar", "name": "Apple cider vinegar", "grams": 40.0, "note": ""}, {"ingredient_id": "beef_broth", "name": "Beef broth, low sodium", "grams": 300.0, "note": ""}, {"ingredient_id": "onion", "name": "Yellow onion", "grams": 150.0, "note": ""}]</t>
        </is>
      </c>
      <c r="N1253" s="2" t="n">
        <v>291</v>
      </c>
      <c r="O1253" s="5" t="n">
        <v>31.1</v>
      </c>
      <c r="P1253" s="5" t="n">
        <v>16.9</v>
      </c>
      <c r="Q1253" s="5" t="n">
        <v>4</v>
      </c>
      <c r="R1253" s="5" t="n">
        <v>1.2</v>
      </c>
      <c r="S1253" s="5" t="n">
        <v>2.9</v>
      </c>
      <c r="T1253" s="2" t="n">
        <v>14</v>
      </c>
      <c r="U1253" s="2" t="inlineStr">
        <is>
          <t>low</t>
        </is>
      </c>
      <c r="V1253" s="5" t="n">
        <v>0.4</v>
      </c>
      <c r="W1253" s="2" t="inlineStr">
        <is>
          <t>low</t>
        </is>
      </c>
      <c r="X1253" s="3" t="inlineStr">
        <is>
          <t>Negligible carbohydrate (&lt;5 g net/serving): GI has little practical meaning, glycemic load is what matters.</t>
        </is>
      </c>
      <c r="Y1253" s="3" t="inlineStr">
        <is>
          <t>0% of this dish's available carbohydrate comes from ingredients with a published, measured GI; the rest uses conventional placeholders (see Ingredients sheet)</t>
        </is>
      </c>
      <c r="Z1253" s="2" t="n">
        <v>0</v>
      </c>
      <c r="AA1253" s="3" t="inlineStr">
        <is>
          <t>gluten-free, dairy-free, nut-free, low-carb, high-protein, slow-cooker</t>
        </is>
      </c>
      <c r="AB1253" s="3" t="inlineStr">
        <is>
          <t>1. Rub the beef with the spice mix.
2. Place on the onion in a slow cooker with the broth and vinegar.
3. Cook on low for 8 hours and shred or slice.</t>
        </is>
      </c>
      <c r="AC1253" s="4" t="inlineStr">
        <is>
          <t>["Rub the beef with the spice mix.", "Place on the onion in a slow cooker with the broth and vinegar.", "Cook on low for 8 hours and shred or slice."]</t>
        </is>
      </c>
    </row>
    <row r="1254" ht="96" customHeight="1">
      <c r="A1254" s="2" t="inlineStr">
        <is>
          <t>DB-1253</t>
        </is>
      </c>
      <c r="B1254" s="3" t="inlineStr">
        <is>
          <t>Smoked Turkey Breast with Dry Rub</t>
        </is>
      </c>
      <c r="C1254" s="4" t="inlineStr">
        <is>
          <t>Poultry</t>
        </is>
      </c>
      <c r="D1254" s="4" t="inlineStr">
        <is>
          <t>American</t>
        </is>
      </c>
      <c r="E1254" s="2" t="n">
        <v>6</v>
      </c>
      <c r="F1254" s="2" t="n">
        <v>15</v>
      </c>
      <c r="G1254" s="2" t="n">
        <v>120</v>
      </c>
      <c r="H1254" s="2" t="n">
        <v>135</v>
      </c>
      <c r="I1254" s="4" t="inlineStr">
        <is>
          <t>smoked-turkey-breast-with-dry-rub.jpg</t>
        </is>
      </c>
      <c r="J1254" s="3" t="inlineStr">
        <is>
          <t>Smoked Turkey Breast with Dry Rub, healthy food photography, plated, natural light</t>
        </is>
      </c>
      <c r="K1254" s="4" t="inlineStr"/>
      <c r="L1254" s="3" t="inlineStr">
        <is>
          <t>Turkey breast, skinless — 1000 g (35.3 oz)
Smoked paprika — 8 g (0.3 oz)
Garlic powder — 5 g (0.2 oz)
Onion powder — 4 g (0.1 oz)
Black pepper — 2 g (0.1 oz)
Salt — 5 g (0.2 oz)
Extra-virgin olive oil — 20 g (0.7 oz)
Apple cider vinegar — 20 g (0.7 oz)</t>
        </is>
      </c>
      <c r="M1254" s="4" t="inlineStr">
        <is>
          <t>[{"ingredient_id": "turkey_breast", "name": "Turkey breast, skinless", "grams": 1000.0, "note": ""}, {"ingredient_id": "smoked_paprika", "name": "Smoked paprika", "grams": 8.0, "note": ""}, {"ingredient_id": "garlic_powder", "name": "Garlic powder", "grams": 5.0, "note": ""}, {"ingredient_id": "onion_powder", "name": "Onion powder", "grams": 4.0, "note": ""}, {"ingredient_id": "black_pepper", "name": "Black pepper", "grams": 2.0, "note": ""}, {"ingredient_id": "salt", "name": "Salt", "grams": 5.0, "note": ""}, {"ingredient_id": "olive_oil", "name": "Extra-virgin olive oil", "grams": 20.0, "note": ""}, {"ingredient_id": "apple_cider_vinegar", "name": "Apple cider vinegar", "grams": 20.0, "note": ""}]</t>
        </is>
      </c>
      <c r="N1254" s="2" t="n">
        <v>223</v>
      </c>
      <c r="O1254" s="5" t="n">
        <v>40.4</v>
      </c>
      <c r="P1254" s="5" t="n">
        <v>5.2</v>
      </c>
      <c r="Q1254" s="5" t="n">
        <v>2.1</v>
      </c>
      <c r="R1254" s="5" t="n">
        <v>0.7</v>
      </c>
      <c r="S1254" s="5" t="n">
        <v>1.4</v>
      </c>
      <c r="T1254" s="2" t="n">
        <v>15</v>
      </c>
      <c r="U1254" s="2" t="inlineStr">
        <is>
          <t>low</t>
        </is>
      </c>
      <c r="V1254" s="5" t="n">
        <v>0.2</v>
      </c>
      <c r="W1254" s="2" t="inlineStr">
        <is>
          <t>low</t>
        </is>
      </c>
      <c r="X1254" s="3" t="inlineStr">
        <is>
          <t>Negligible carbohydrate (&lt;5 g net/serving): GI has little practical meaning, glycemic load is what matters.</t>
        </is>
      </c>
      <c r="Y1254" s="3" t="inlineStr">
        <is>
          <t>0% of this dish's available carbohydrate comes from ingredients with a published, measured GI; the rest uses conventional placeholders (see Ingredients sheet)</t>
        </is>
      </c>
      <c r="Z1254" s="2" t="n">
        <v>0</v>
      </c>
      <c r="AA1254" s="3" t="inlineStr">
        <is>
          <t>gluten-free, dairy-free, nut-free, low-carb, high-protein</t>
        </is>
      </c>
      <c r="AB1254" s="3" t="inlineStr">
        <is>
          <t>1. Rub the turkey with oil, vinegar and the spices.
2. Roast at 300°F, or smoke, until it reaches 165°F, about 2 hours.
3. Rest and slice.</t>
        </is>
      </c>
      <c r="AC1254" s="4" t="inlineStr">
        <is>
          <t>["Rub the turkey with oil, vinegar and the spices.", "Roast at 300°F, or smoke, until it reaches 165°F, about 2 hours.", "Rest and slice."]</t>
        </is>
      </c>
    </row>
    <row r="1255" ht="96" customHeight="1">
      <c r="A1255" s="2" t="inlineStr">
        <is>
          <t>DB-1254</t>
        </is>
      </c>
      <c r="B1255" s="3" t="inlineStr">
        <is>
          <t>Barbecue Ribs, Oven-Baked</t>
        </is>
      </c>
      <c r="C1255" s="4" t="inlineStr">
        <is>
          <t>Beef, Pork &amp; Lamb</t>
        </is>
      </c>
      <c r="D1255" s="4" t="inlineStr">
        <is>
          <t>American</t>
        </is>
      </c>
      <c r="E1255" s="2" t="n">
        <v>4</v>
      </c>
      <c r="F1255" s="2" t="n">
        <v>15</v>
      </c>
      <c r="G1255" s="2" t="n">
        <v>150</v>
      </c>
      <c r="H1255" s="2" t="n">
        <v>165</v>
      </c>
      <c r="I1255" s="4" t="inlineStr">
        <is>
          <t>barbecue-ribs-oven-baked.jpg</t>
        </is>
      </c>
      <c r="J1255" s="3" t="inlineStr">
        <is>
          <t>Barbecue Ribs, Oven-Baked, healthy food photography, plated, natural light</t>
        </is>
      </c>
      <c r="K1255" s="4" t="inlineStr"/>
      <c r="L1255" s="3" t="inlineStr">
        <is>
          <t>Pork shoulder, trimmed — 1000 g (35.3 oz)
Smoked paprika — 8 g (0.3 oz)
Garlic powder — 5 g (0.2 oz)
Tomato paste — 50 g (1.8 oz)
Apple cider vinegar — 40 g (1.4 oz)
Monk fruit/erythritol sweetener — 8 g (0.3 oz)
Black pepper — 2 g (0.1 oz)
Salt — 5 g (0.2 oz)</t>
        </is>
      </c>
      <c r="M1255" s="4" t="inlineStr">
        <is>
          <t>[{"ingredient_id": "pork_shoulder", "name": "Pork shoulder, trimmed", "grams": 1000.0, "note": ""}, {"ingredient_id": "smoked_paprika", "name": "Smoked paprika", "grams": 8.0, "note": ""}, {"ingredient_id": "garlic_powder", "name": "Garlic powder", "grams": 5.0, "note": ""}, {"ingredient_id": "tomato_paste", "name": "Tomato paste", "grams": 50.0, "note": ""}, {"ingredient_id": "apple_cider_vinegar", "name": "Apple cider vinegar", "grams": 40.0, "note": ""}, {"ingredient_id": "monk_fruit_sweetener", "name": "Monk fruit/erythritol sweetener", "grams": 8.0, "note": ""}, {"ingredient_id": "black_pepper", "name": "Black pepper", "grams": 2.0, "note": ""}, {"ingredient_id": "salt", "name": "Salt", "grams": 5.0, "note": ""}]</t>
        </is>
      </c>
      <c r="N1255" s="2" t="n">
        <v>523</v>
      </c>
      <c r="O1255" s="5" t="n">
        <v>48.6</v>
      </c>
      <c r="P1255" s="5" t="n">
        <v>35.3</v>
      </c>
      <c r="Q1255" s="5" t="n">
        <v>4.8</v>
      </c>
      <c r="R1255" s="5" t="n">
        <v>1.4</v>
      </c>
      <c r="S1255" s="5" t="n">
        <v>3.3</v>
      </c>
      <c r="T1255" s="2" t="n">
        <v>26</v>
      </c>
      <c r="U1255" s="2" t="inlineStr">
        <is>
          <t>low</t>
        </is>
      </c>
      <c r="V1255" s="5" t="n">
        <v>0.9</v>
      </c>
      <c r="W1255" s="2" t="inlineStr">
        <is>
          <t>low</t>
        </is>
      </c>
      <c r="X1255" s="3" t="inlineStr">
        <is>
          <t>Negligible carbohydrate (&lt;5 g net/serving): GI has little practical meaning, glycemic load is what matters.</t>
        </is>
      </c>
      <c r="Y1255" s="3" t="inlineStr">
        <is>
          <t>0% of this dish's available carbohydrate comes from ingredients with a published, measured GI; the rest uses conventional placeholders (see Ingredients sheet)</t>
        </is>
      </c>
      <c r="Z1255" s="2" t="n">
        <v>0</v>
      </c>
      <c r="AA1255" s="3" t="inlineStr">
        <is>
          <t>gluten-free, dairy-free, nut-free, low-carb, high-protein</t>
        </is>
      </c>
      <c r="AB1255" s="3" t="inlineStr">
        <is>
          <t>1. Rub the pork with the spices.
2. Wrap tightly and bake at 300°F for 2 hours.
3. Brush with a sauce of paste, vinegar and sweetener and finish under the broiler.</t>
        </is>
      </c>
      <c r="AC1255" s="4" t="inlineStr">
        <is>
          <t>["Rub the pork with the spices.", "Wrap tightly and bake at 300°F for 2 hours.", "Brush with a sauce of paste, vinegar and sweetener and finish under the broiler."]</t>
        </is>
      </c>
    </row>
    <row r="1256" ht="96" customHeight="1">
      <c r="A1256" s="2" t="inlineStr">
        <is>
          <t>DB-1255</t>
        </is>
      </c>
      <c r="B1256" s="3" t="inlineStr">
        <is>
          <t>BBQ Chicken Quarters with Corn on the Cob</t>
        </is>
      </c>
      <c r="C1256" s="4" t="inlineStr">
        <is>
          <t>Poultry</t>
        </is>
      </c>
      <c r="D1256" s="4" t="inlineStr">
        <is>
          <t>American</t>
        </is>
      </c>
      <c r="E1256" s="2" t="n">
        <v>4</v>
      </c>
      <c r="F1256" s="2" t="n">
        <v>15</v>
      </c>
      <c r="G1256" s="2" t="n">
        <v>45</v>
      </c>
      <c r="H1256" s="2" t="n">
        <v>60</v>
      </c>
      <c r="I1256" s="4" t="inlineStr">
        <is>
          <t>bbq-chicken-quarters-with-corn-on-the-cob.jpg</t>
        </is>
      </c>
      <c r="J1256" s="3" t="inlineStr">
        <is>
          <t>BBQ Chicken Quarters with Corn on the Cob, healthy food photography, plated, natural light</t>
        </is>
      </c>
      <c r="K1256" s="4" t="inlineStr"/>
      <c r="L1256" s="3" t="inlineStr">
        <is>
          <t>Chicken thigh, skinless boneless — 700 g (24.7 oz)
Tomato paste — 50 g (1.8 oz)
Apple cider vinegar — 30 g (1.1 oz)
Smoked paprika — 4 g (0.1 oz)
Monk fruit/erythritol sweetener — 5 g (0.2 oz)
Sweet corn kernels — 500 g (17.6 oz)
Butter — 15 g (0.5 oz)</t>
        </is>
      </c>
      <c r="M1256" s="4" t="inlineStr">
        <is>
          <t>[{"ingredient_id": "chicken_thigh", "name": "Chicken thigh, skinless boneless", "grams": 700.0,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"corn", "name": "Sweet corn kernels", "grams": 500.0, "note": ""}, {"ingredient_id": "butter", "name": "Butter", "grams": 15.0, "note": ""}]</t>
        </is>
      </c>
      <c r="N1256" s="2" t="n">
        <v>361</v>
      </c>
      <c r="O1256" s="5" t="n">
        <v>39.3</v>
      </c>
      <c r="P1256" s="5" t="n">
        <v>12.2</v>
      </c>
      <c r="Q1256" s="5" t="n">
        <v>26.7</v>
      </c>
      <c r="R1256" s="5" t="n">
        <v>4.2</v>
      </c>
      <c r="S1256" s="5" t="n">
        <v>22.5</v>
      </c>
      <c r="T1256" s="2" t="n">
        <v>50</v>
      </c>
      <c r="U1256" s="2" t="inlineStr">
        <is>
          <t>low</t>
        </is>
      </c>
      <c r="V1256" s="5" t="n">
        <v>11.3</v>
      </c>
      <c r="W1256" s="2" t="inlineStr">
        <is>
          <t>medium</t>
        </is>
      </c>
      <c r="X1256" s="3" t="inlineStr"/>
      <c r="Y1256" s="3" t="inlineStr">
        <is>
          <t>91% of this dish's available carbohydrate comes from ingredients with a published, measured GI; the rest uses conventional placeholders (see Ingredients sheet)</t>
        </is>
      </c>
      <c r="Z1256" s="2" t="n">
        <v>91</v>
      </c>
      <c r="AA1256" s="3" t="inlineStr">
        <is>
          <t>gluten-free, nut-free, high-protein</t>
        </is>
      </c>
      <c r="AB1256" s="3" t="inlineStr">
        <is>
          <t>1. Whisk the paste, vinegar, paprika and sweetener.
2. Roast the chicken at 425°F for 35 minutes, brushing with sauce.
3. Grill or boil the corn and brush with butter.</t>
        </is>
      </c>
      <c r="AC1256" s="4" t="inlineStr">
        <is>
          <t>["Whisk the paste, vinegar, paprika and sweetener.", "Roast the chicken at 425°F for 35 minutes, brushing with sauce.", "Grill or boil the corn and brush with butter."]</t>
        </is>
      </c>
    </row>
    <row r="1257" ht="96" customHeight="1">
      <c r="A1257" s="2" t="inlineStr">
        <is>
          <t>DB-1256</t>
        </is>
      </c>
      <c r="B1257" s="3" t="inlineStr">
        <is>
          <t>Cowboy Caviar Chicken Bowls</t>
        </is>
      </c>
      <c r="C1257" s="4" t="inlineStr">
        <is>
          <t>Poultry</t>
        </is>
      </c>
      <c r="D1257" s="4" t="inlineStr">
        <is>
          <t>Tex-Mex</t>
        </is>
      </c>
      <c r="E1257" s="2" t="n">
        <v>4</v>
      </c>
      <c r="F1257" s="2" t="n">
        <v>15</v>
      </c>
      <c r="G1257" s="2" t="n">
        <v>15</v>
      </c>
      <c r="H1257" s="2" t="n">
        <v>30</v>
      </c>
      <c r="I1257" s="4" t="inlineStr">
        <is>
          <t>cowboy-caviar-chicken-bowls.jpg</t>
        </is>
      </c>
      <c r="J1257" s="3" t="inlineStr">
        <is>
          <t>Cowboy Caviar Chicken Bowls, healthy food photography, plated, natural light</t>
        </is>
      </c>
      <c r="K1257" s="4" t="inlineStr"/>
      <c r="L1257" s="3" t="inlineStr">
        <is>
          <t>Chicken breast, skinless — 500 g (17.6 oz)
Black beans, cooked — 200 g (7.1 oz)
Sweet corn kernels — 120 g (4.2 oz)
Bell pepper — 100 g (3.5 oz)
Red onion — 40 g (1.4 oz)
Lime juice — 30 g (1.1 oz)
Fresh cilantro — 8 g (0.3 oz)
Avocado — 100 g (3.5 oz)
Chili powder — 4 g (0.1 oz)
White rice, long-grain, cooked — 300 g (10.6 oz)</t>
        </is>
      </c>
      <c r="M1257" s="4" t="inlineStr">
        <is>
          <t>[{"ingredient_id": "chicken_breast", "name": "Chicken breast, skinless", "grams": 500.0, "note": ""}, {"ingredient_id": "black_beans", "name": "Black beans, cooked", "grams": 200.0, "note": ""}, {"ingredient_id": "corn", "name": "Sweet corn kernels", "grams": 120.0, "note": ""}, {"ingredient_id": "bell_pepper", "name": "Bell pepper", "grams": 100.0, "note": ""}, {"ingredient_id": "red_onion", "name": "Red onion", "grams": 40.0, "note": ""}, {"ingredient_id": "lime_juice", "name": "Lime juice", "grams": 30.0, "note": ""}, {"ingredient_id": "cilantro", "name": "Fresh cilantro", "grams": 8.0, "note": ""}, {"ingredient_id": "avocado", "name": "Avocado", "grams": 100.0, "note": ""}, {"ingredient_id": "chili_powder", "name": "Chili powder", "grams": 4.0, "note": ""}, {"ingredient_id": "white_rice", "name": "White rice, long-grain, cooked", "grams": 300.0, "note": ""}]</t>
        </is>
      </c>
      <c r="N1257" s="2" t="n">
        <v>395</v>
      </c>
      <c r="O1257" s="5" t="n">
        <v>36.6</v>
      </c>
      <c r="P1257" s="5" t="n">
        <v>8.1</v>
      </c>
      <c r="Q1257" s="5" t="n">
        <v>44.3</v>
      </c>
      <c r="R1257" s="5" t="n">
        <v>8.300000000000001</v>
      </c>
      <c r="S1257" s="5" t="n">
        <v>36</v>
      </c>
      <c r="T1257" s="2" t="n">
        <v>59</v>
      </c>
      <c r="U1257" s="2" t="inlineStr">
        <is>
          <t>medium</t>
        </is>
      </c>
      <c r="V1257" s="5" t="n">
        <v>21.3</v>
      </c>
      <c r="W1257" s="2" t="inlineStr">
        <is>
          <t>high</t>
        </is>
      </c>
      <c r="X1257" s="3" t="inlineStr">
        <is>
          <t>Medium-GI dish: keep to the stated portion and pair with the protein/fat in the recipe; GL per serving is the better guide.</t>
        </is>
      </c>
      <c r="Y1257" s="3" t="inlineStr">
        <is>
          <t>92% of this dish's available carbohydrate comes from ingredients with a published, measured GI; the rest uses conventional placeholders (see Ingredients sheet)</t>
        </is>
      </c>
      <c r="Z1257" s="2" t="n">
        <v>92</v>
      </c>
      <c r="AA1257" s="3" t="inlineStr">
        <is>
          <t>gluten-free, dairy-free, nut-free, high-protein, high-fiber</t>
        </is>
      </c>
      <c r="AB1257" s="3" t="inlineStr">
        <is>
          <t>1. Season and grill the chicken, then slice.
2. Mix the beans, corn, pepper, onion, lime and cilantro.
3. Serve over rice with chicken and avocado.</t>
        </is>
      </c>
      <c r="AC1257" s="4" t="inlineStr">
        <is>
          <t>["Season and grill the chicken, then slice.", "Mix the beans, corn, pepper, onion, lime and cilantro.", "Serve over rice with chicken and avocado."]</t>
        </is>
      </c>
    </row>
    <row r="1258" ht="96" customHeight="1">
      <c r="A1258" s="2" t="inlineStr">
        <is>
          <t>DB-1257</t>
        </is>
      </c>
      <c r="B1258" s="3" t="inlineStr">
        <is>
          <t>Tex-Mex Chicken Tortilla Soup</t>
        </is>
      </c>
      <c r="C1258" s="4" t="inlineStr">
        <is>
          <t>Soup &amp; Stew</t>
        </is>
      </c>
      <c r="D1258" s="4" t="inlineStr">
        <is>
          <t>Tex-Mex</t>
        </is>
      </c>
      <c r="E1258" s="2" t="n">
        <v>6</v>
      </c>
      <c r="F1258" s="2" t="n">
        <v>15</v>
      </c>
      <c r="G1258" s="2" t="n">
        <v>30</v>
      </c>
      <c r="H1258" s="2" t="n">
        <v>45</v>
      </c>
      <c r="I1258" s="4" t="inlineStr">
        <is>
          <t>tex-mex-chicken-tortilla-soup.jpg</t>
        </is>
      </c>
      <c r="J1258" s="3" t="inlineStr">
        <is>
          <t>Tex-Mex Chicken Tortilla Soup, healthy food photography, plated, natural light</t>
        </is>
      </c>
      <c r="K1258" s="4" t="inlineStr"/>
      <c r="L1258" s="3" t="inlineStr">
        <is>
          <t>Chicken breast, skinless — 450 g (15.9 oz)
Chicken broth, low sodium — 900 g (31.7 oz)
Diced tomatoes, canned — 400 g (14.1 oz)
Black beans, cooked — 200 g (7.1 oz)
Sweet corn kernels — 100 g (3.5 oz)
Yellow onion — 100 g (3.5 oz)
Ground cumin — 3 g (0.1 oz)
Chili powder — 5 g (0.2 oz)
Corn tortilla — 90 g (3.2 oz)
Avocado — 100 g (3.5 oz)
Fresh cilantro — 8 g (0.3 oz)</t>
        </is>
      </c>
      <c r="M1258" s="4" t="inlineStr">
        <is>
          <t>[{"ingredient_id": "chicken_breast", "name": "Chicken breast, skinless", "grams": 450.0, "note": ""}, {"ingredient_id": "chicken_broth", "name": "Chicken broth, low sodium", "grams": 900.0, "note": ""}, {"ingredient_id": "diced_tomatoes", "name": "Diced tomatoes, canned", "grams": 400.0, "note": ""}, {"ingredient_id": "black_beans", "name": "Black beans, cooked", "grams": 200.0, "note": ""}, {"ingredient_id": "corn", "name": "Sweet corn kernels", "grams": 100.0, "note": ""}, {"ingredient_id": "onion", "name": "Yellow onion", "grams": 100.0, "note": ""}, {"ingredient_id": "cumin", "name": "Ground cumin", "grams": 3.0, "note": ""}, {"ingredient_id": "chili_powder", "name": "Chili powder", "grams": 5.0, "note": ""}, {"ingredient_id": "corn_tortilla", "name": "Corn tortilla", "grams": 90.0, "note": ""}, {"ingredient_id": "avocado", "name": "Avocado", "grams": 100.0, "note": ""}, {"ingredient_id": "cilantro", "name": "Fresh cilantro", "grams": 8.0, "note": ""}]</t>
        </is>
      </c>
      <c r="N1258" s="2" t="n">
        <v>245</v>
      </c>
      <c r="O1258" s="5" t="n">
        <v>24.3</v>
      </c>
      <c r="P1258" s="5" t="n">
        <v>6</v>
      </c>
      <c r="Q1258" s="5" t="n">
        <v>25.6</v>
      </c>
      <c r="R1258" s="5" t="n">
        <v>7.1</v>
      </c>
      <c r="S1258" s="5" t="n">
        <v>18.5</v>
      </c>
      <c r="T1258" s="2" t="n">
        <v>38</v>
      </c>
      <c r="U1258" s="2" t="inlineStr">
        <is>
          <t>low</t>
        </is>
      </c>
      <c r="V1258" s="5" t="n">
        <v>7</v>
      </c>
      <c r="W1258" s="2" t="inlineStr">
        <is>
          <t>low</t>
        </is>
      </c>
      <c r="X1258" s="3" t="inlineStr"/>
      <c r="Y1258" s="3" t="inlineStr">
        <is>
          <t>73% of this dish's available carbohydrate comes from ingredients with a published, measured GI; the rest uses conventional placeholders (see Ingredients sheet)</t>
        </is>
      </c>
      <c r="Z1258" s="2" t="n">
        <v>73</v>
      </c>
      <c r="AA1258" s="3" t="inlineStr">
        <is>
          <t>gluten-free, dairy-free, nut-free, high-fiber</t>
        </is>
      </c>
      <c r="AB1258" s="3" t="inlineStr">
        <is>
          <t>1. Simmer the chicken, onion, tomatoes, spices and broth for 20 minutes.
2. Shred the chicken and add the beans and corn.
3. Serve with strips of crisped tortilla, avocado and cilantro.</t>
        </is>
      </c>
      <c r="AC1258" s="4" t="inlineStr">
        <is>
          <t>["Simmer the chicken, onion, tomatoes, spices and broth for 20 minutes.", "Shred the chicken and add the beans and corn.", "Serve with strips of crisped tortilla, avocado and cilantro."]</t>
        </is>
      </c>
    </row>
    <row r="1259" ht="96" customHeight="1">
      <c r="A1259" s="2" t="inlineStr">
        <is>
          <t>DB-1258</t>
        </is>
      </c>
      <c r="B1259" s="3" t="inlineStr">
        <is>
          <t>Carne Asada Street Tacos</t>
        </is>
      </c>
      <c r="C1259" s="4" t="inlineStr">
        <is>
          <t>Beef, Pork &amp; Lamb</t>
        </is>
      </c>
      <c r="D1259" s="4" t="inlineStr">
        <is>
          <t>Tex-Mex</t>
        </is>
      </c>
      <c r="E1259" s="2" t="n">
        <v>4</v>
      </c>
      <c r="F1259" s="2" t="n">
        <v>15</v>
      </c>
      <c r="G1259" s="2" t="n">
        <v>10</v>
      </c>
      <c r="H1259" s="2" t="n">
        <v>25</v>
      </c>
      <c r="I1259" s="4" t="inlineStr">
        <is>
          <t>carne-asada-street-tacos.jpg</t>
        </is>
      </c>
      <c r="J1259" s="3" t="inlineStr">
        <is>
          <t>Carne Asada Street Tacos, healthy food photography, plated, natural light</t>
        </is>
      </c>
      <c r="K1259" s="4" t="inlineStr"/>
      <c r="L1259" s="3" t="inlineStr">
        <is>
          <t>Flank steak — 450 g (15.9 oz)
Corn tortilla — 240 g (8.5 oz)
Lime juice — 40 g (1.4 oz)
Garlic — 6 g (0.2 oz)
Ground cumin — 3 g (0.1 oz)
Red onion — 50 g (1.8 oz)
Fresh cilantro — 10 g (0.4 oz)
Salsa verde — 100 g (3.5 oz)</t>
        </is>
      </c>
      <c r="M1259" s="4" t="inlineStr">
        <is>
          <t>[{"ingredient_id": "flank_steak", "name": "Flank steak", "grams": 450.0, "note": ""}, {"ingredient_id": "corn_tortilla", "name": "Corn tortilla", "grams": 240.0, "note": ""}, {"ingredient_id": "lime_juice", "name": "Lime juice", "grams": 40.0, "note": ""}, {"ingredient_id": "garlic", "name": "Garlic", "grams": 6.0, "note": ""}, {"ingredient_id": "cumin", "name": "Ground cumin", "grams": 3.0, "note": ""}, {"ingredient_id": "red_onion", "name": "Red onion", "grams": 50.0, "note": ""}, {"ingredient_id": "cilantro", "name": "Fresh cilantro", "grams": 10.0, "note": ""}, {"ingredient_id": "salsa_verde", "name": "Salsa verde", "grams": 100.0, "note": ""}]</t>
        </is>
      </c>
      <c r="N1259" s="2" t="n">
        <v>320</v>
      </c>
      <c r="O1259" s="5" t="n">
        <v>27.8</v>
      </c>
      <c r="P1259" s="5" t="n">
        <v>9.9</v>
      </c>
      <c r="Q1259" s="5" t="n">
        <v>31.4</v>
      </c>
      <c r="R1259" s="5" t="n">
        <v>4.6</v>
      </c>
      <c r="S1259" s="5" t="n">
        <v>26.8</v>
      </c>
      <c r="T1259" s="2" t="n">
        <v>48</v>
      </c>
      <c r="U1259" s="2" t="inlineStr">
        <is>
          <t>low</t>
        </is>
      </c>
      <c r="V1259" s="5" t="n">
        <v>12.9</v>
      </c>
      <c r="W1259" s="2" t="inlineStr">
        <is>
          <t>medium</t>
        </is>
      </c>
      <c r="X1259" s="3" t="inlineStr"/>
      <c r="Y1259" s="3" t="inlineStr">
        <is>
          <t>87% of this dish's available carbohydrate comes from ingredients with a published, measured GI; the rest uses conventional placeholders (see Ingredients sheet)</t>
        </is>
      </c>
      <c r="Z1259" s="2" t="n">
        <v>87</v>
      </c>
      <c r="AA1259" s="3" t="inlineStr">
        <is>
          <t>gluten-free, dairy-free, nut-free, high-protein</t>
        </is>
      </c>
      <c r="AB1259" s="3" t="inlineStr">
        <is>
          <t>1. Marinate the steak in lime, garlic and cumin for 30 minutes.
2. Grill 4 minutes a side, rest and chop.
3. Warm the tortillas and fill with steak, onion, cilantro and salsa.</t>
        </is>
      </c>
      <c r="AC1259" s="4" t="inlineStr">
        <is>
          <t>["Marinate the steak in lime, garlic and cumin for 30 minutes.", "Grill 4 minutes a side, rest and chop.", "Warm the tortillas and fill with steak, onion, cilantro and salsa."]</t>
        </is>
      </c>
    </row>
    <row r="1260" ht="96" customHeight="1">
      <c r="A1260" s="2" t="inlineStr">
        <is>
          <t>DB-1259</t>
        </is>
      </c>
      <c r="B1260" s="3" t="inlineStr">
        <is>
          <t>Chicken Tinga Tostadas</t>
        </is>
      </c>
      <c r="C1260" s="4" t="inlineStr">
        <is>
          <t>Poultry</t>
        </is>
      </c>
      <c r="D1260" s="4" t="inlineStr">
        <is>
          <t>Tex-Mex</t>
        </is>
      </c>
      <c r="E1260" s="2" t="n">
        <v>4</v>
      </c>
      <c r="F1260" s="2" t="n">
        <v>15</v>
      </c>
      <c r="G1260" s="2" t="n">
        <v>20</v>
      </c>
      <c r="H1260" s="2" t="n">
        <v>35</v>
      </c>
      <c r="I1260" s="4" t="inlineStr">
        <is>
          <t>chicken-tinga-tostadas.jpg</t>
        </is>
      </c>
      <c r="J1260" s="3" t="inlineStr">
        <is>
          <t>Chicken Tinga Tostadas, healthy food photography, plated, natural light</t>
        </is>
      </c>
      <c r="K1260" s="4" t="inlineStr"/>
      <c r="L1260" s="3" t="inlineStr">
        <is>
          <t>Chicken breast, skinless — 450 g (15.9 oz)
Chipotle peppers in adobo — 30 g (1.1 oz)
Tomato sauce, canned, no sugar added — 150 g (5.3 oz)
Yellow onion — 80 g (2.8 oz)
Corn tortilla — 180 g (6.3 oz)
Black beans, cooked — 150 g (5.3 oz)
Romaine lettuce — 60 g (2.1 oz)
Cotija cheese — 30 g (1.1 oz)
Extra-virgin olive oil — 10 g (0.4 oz)</t>
        </is>
      </c>
      <c r="M1260" s="4" t="inlineStr">
        <is>
          <t>[{"ingredient_id": "chicken_breast", "name": "Chicken breast, skinless", "grams": 450.0, "note": ""}, {"ingredient_id": "chipotle_adobo", "name": "Chipotle peppers in adobo", "grams": 30.0, "note": ""}, {"ingredient_id": "tomato_sauce", "name": "Tomato sauce, canned, no sugar added", "grams": 150.0, "note": ""}, {"ingredient_id": "onion", "name": "Yellow onion", "grams": 80.0, "note": ""}, {"ingredient_id": "corn_tortilla", "name": "Corn tortilla", "grams": 180.0, "note": ""}, {"ingredient_id": "black_beans", "name": "Black beans, cooked", "grams": 150.0, "note": ""}, {"ingredient_id": "romaine", "name": "Romaine lettuce", "grams": 60.0, "note": ""}, {"ingredient_id": "cotija", "name": "Cotija cheese", "grams": 30.0, "note": ""}, {"ingredient_id": "olive_oil", "name": "Extra-virgin olive oil", "grams": 10.0, "note": ""}]</t>
        </is>
      </c>
      <c r="N1260" s="2" t="n">
        <v>357</v>
      </c>
      <c r="O1260" s="5" t="n">
        <v>33.8</v>
      </c>
      <c r="P1260" s="5" t="n">
        <v>9.4</v>
      </c>
      <c r="Q1260" s="5" t="n">
        <v>34.8</v>
      </c>
      <c r="R1260" s="5" t="n">
        <v>7.6</v>
      </c>
      <c r="S1260" s="5" t="n">
        <v>27.2</v>
      </c>
      <c r="T1260" s="2" t="n">
        <v>43</v>
      </c>
      <c r="U1260" s="2" t="inlineStr">
        <is>
          <t>low</t>
        </is>
      </c>
      <c r="V1260" s="5" t="n">
        <v>11.7</v>
      </c>
      <c r="W1260" s="2" t="inlineStr">
        <is>
          <t>medium</t>
        </is>
      </c>
      <c r="X1260" s="3" t="inlineStr"/>
      <c r="Y1260" s="3" t="inlineStr">
        <is>
          <t>85% of this dish's available carbohydrate comes from ingredients with a published, measured GI; the rest uses conventional placeholders (see Ingredients sheet)</t>
        </is>
      </c>
      <c r="Z1260" s="2" t="n">
        <v>85</v>
      </c>
      <c r="AA1260" s="3" t="inlineStr">
        <is>
          <t>gluten-free, nut-free, high-protein, high-fiber</t>
        </is>
      </c>
      <c r="AB1260" s="3" t="inlineStr">
        <is>
          <t>1. Poach and shred the chicken.
2. Simmer with chipotle, tomato sauce and onion for 10 minutes.
3. Crisp the tortillas in a hot oven.
4. Top with beans, chicken, lettuce and cotija.</t>
        </is>
      </c>
      <c r="AC1260" s="4" t="inlineStr">
        <is>
          <t>["Poach and shred the chicken.", "Simmer with chipotle, tomato sauce and onion for 10 minutes.", "Crisp the tortillas in a hot oven.", "Top with beans, chicken, lettuce and cotija."]</t>
        </is>
      </c>
    </row>
    <row r="1261" ht="96" customHeight="1">
      <c r="A1261" s="2" t="inlineStr">
        <is>
          <t>DB-1260</t>
        </is>
      </c>
      <c r="B1261" s="3" t="inlineStr">
        <is>
          <t>Fish Tostadas with Lime Cabbage</t>
        </is>
      </c>
      <c r="C1261" s="4" t="inlineStr">
        <is>
          <t>Seafood</t>
        </is>
      </c>
      <c r="D1261" s="4" t="inlineStr">
        <is>
          <t>Tex-Mex</t>
        </is>
      </c>
      <c r="E1261" s="2" t="n">
        <v>4</v>
      </c>
      <c r="F1261" s="2" t="n">
        <v>15</v>
      </c>
      <c r="G1261" s="2" t="n">
        <v>8</v>
      </c>
      <c r="H1261" s="2" t="n">
        <v>23</v>
      </c>
      <c r="I1261" s="4" t="inlineStr">
        <is>
          <t>fish-tostadas-with-lime-cabbage.jpg</t>
        </is>
      </c>
      <c r="J1261" s="3" t="inlineStr">
        <is>
          <t>Fish Tostadas with Lime Cabbage, healthy food photography, plated, natural light</t>
        </is>
      </c>
      <c r="K1261" s="4" t="inlineStr"/>
      <c r="L1261" s="3" t="inlineStr">
        <is>
          <t>Tilapia fillet — 450 g (15.9 oz)
Corn tortilla — 180 g (6.3 oz)
Red cabbage — 150 g (5.3 oz)
Lime juice — 30 g (1.1 oz)
Chili powder — 3 g (0.1 oz)
Avocado — 100 g (3.5 oz)
Fresh cilantro — 8 g (0.3 oz)
Greek yogurt, plain 2% — 60 g (2.1 oz)
Extra-virgin olive oil — 10 g (0.4 oz)</t>
        </is>
      </c>
      <c r="M1261" s="4" t="inlineStr">
        <is>
          <t>[{"ingredient_id": "tilapia", "name": "Tilapia fillet", "grams": 450.0, "note": ""}, {"ingredient_id": "corn_tortilla", "name": "Corn tortilla", "grams": 180.0, "note": ""}, {"ingredient_id": "red_cabbage", "name": "Red cabbage", "grams": 150.0, "note": ""}, {"ingredient_id": "lime_juice", "name": "Lime juice", "grams": 30.0, "note": ""}, {"ingredient_id": "chili_powder", "name": "Chili powder", "grams": 3.0, "note": ""}, {"ingredient_id": "avocado", "name": "Avocado", "grams": 100.0, "note": ""}, {"ingredient_id": "cilantro", "name": "Fresh cilantro", "grams": 8.0, "note": ""}, {"ingredient_id": "greek_yogurt", "name": "Greek yogurt, plain 2%", "grams": 60.0, "note": ""}, {"ingredient_id": "olive_oil", "name": "Extra-virgin olive oil", "grams": 10.0, "note": ""}]</t>
        </is>
      </c>
      <c r="N1261" s="2" t="n">
        <v>295</v>
      </c>
      <c r="O1261" s="5" t="n">
        <v>27.8</v>
      </c>
      <c r="P1261" s="5" t="n">
        <v>10</v>
      </c>
      <c r="Q1261" s="5" t="n">
        <v>26.8</v>
      </c>
      <c r="R1261" s="5" t="n">
        <v>5.6</v>
      </c>
      <c r="S1261" s="5" t="n">
        <v>21.2</v>
      </c>
      <c r="T1261" s="2" t="n">
        <v>45</v>
      </c>
      <c r="U1261" s="2" t="inlineStr">
        <is>
          <t>low</t>
        </is>
      </c>
      <c r="V1261" s="5" t="n">
        <v>9.5</v>
      </c>
      <c r="W1261" s="2" t="inlineStr">
        <is>
          <t>low</t>
        </is>
      </c>
      <c r="X1261" s="3" t="inlineStr"/>
      <c r="Y1261" s="3" t="inlineStr">
        <is>
          <t>85% of this dish's available carbohydrate comes from ingredients with a published, measured GI; the rest uses conventional placeholders (see Ingredients sheet)</t>
        </is>
      </c>
      <c r="Z1261" s="2" t="n">
        <v>85</v>
      </c>
      <c r="AA1261" s="3" t="inlineStr">
        <is>
          <t>pescatarian, gluten-free, nut-free, high-protein</t>
        </is>
      </c>
      <c r="AB1261" s="3" t="inlineStr">
        <is>
          <t>1. Season the tilapia and pan-sear 3 minutes a side.
2. Crisp the tortillas in the oven.
3. Toss the cabbage with lime and yogurt.
4. Top the tostadas with fish, slaw and avocado.</t>
        </is>
      </c>
      <c r="AC1261" s="4" t="inlineStr">
        <is>
          <t>["Season the tilapia and pan-sear 3 minutes a side.", "Crisp the tortillas in the oven.", "Toss the cabbage with lime and yogurt.", "Top the tostadas with fish, slaw and avocado."]</t>
        </is>
      </c>
    </row>
    <row r="1262" ht="96" customHeight="1">
      <c r="A1262" s="2" t="inlineStr">
        <is>
          <t>DB-1261</t>
        </is>
      </c>
      <c r="B1262" s="3" t="inlineStr">
        <is>
          <t>Taco Soup</t>
        </is>
      </c>
      <c r="C1262" s="4" t="inlineStr">
        <is>
          <t>Soup &amp; Stew</t>
        </is>
      </c>
      <c r="D1262" s="4" t="inlineStr">
        <is>
          <t>Tex-Mex</t>
        </is>
      </c>
      <c r="E1262" s="2" t="n">
        <v>6</v>
      </c>
      <c r="F1262" s="2" t="n">
        <v>10</v>
      </c>
      <c r="G1262" s="2" t="n">
        <v>30</v>
      </c>
      <c r="H1262" s="2" t="n">
        <v>40</v>
      </c>
      <c r="I1262" s="4" t="inlineStr">
        <is>
          <t>taco-soup.jpg</t>
        </is>
      </c>
      <c r="J1262" s="3" t="inlineStr">
        <is>
          <t>Taco Soup, healthy food photography, plated, natural light</t>
        </is>
      </c>
      <c r="K1262" s="4" t="inlineStr"/>
      <c r="L1262" s="3" t="inlineStr">
        <is>
          <t>Ground beef 90% lean — 450 g (15.9 oz)
Kidney beans, cooked — 200 g (7.1 oz)
Black beans, cooked — 200 g (7.1 oz)
Sweet corn kernels — 100 g (3.5 oz)
Diced tomatoes, canned — 400 g (14.1 oz)
Beef broth, low sodium — 400 g (14.1 oz)
Taco seasoning, low sodium — 14 g (0.5 oz)
Yellow onion — 100 g (3.5 oz)
Cheddar cheese — 50 g (1.8 oz)</t>
        </is>
      </c>
      <c r="M1262" s="4" t="inlineStr">
        <is>
          <t>[{"ingredient_id": "ground_beef", "name": "Ground beef 90% lean", "grams": 450.0, "note": ""}, {"ingredient_id": "kidney_beans", "name": "Kidney beans, cooked", "grams": 200.0, "note": ""}, {"ingredient_id": "black_beans", "name": "Black beans, cooked", "grams": 200.0, "note": ""}, {"ingredient_id": "corn", "name": "Sweet corn kernels", "grams": 100.0, "note": ""}, {"ingredient_id": "diced_tomatoes", "name": "Diced tomatoes, canned", "grams": 400.0, "note": ""}, {"ingredient_id": "beef_broth", "name": "Beef broth, low sodium", "grams": 400.0, "note": ""}, {"ingredient_id": "taco_seasoning", "name": "Taco seasoning, low sodium", "grams": 14.0, "note": ""}, {"ingredient_id": "onion", "name": "Yellow onion", "grams": 100.0, "note": ""}, {"ingredient_id": "cheddar", "name": "Cheddar cheese", "grams": 50.0, "note": ""}]</t>
        </is>
      </c>
      <c r="N1262" s="2" t="n">
        <v>301</v>
      </c>
      <c r="O1262" s="5" t="n">
        <v>25.4</v>
      </c>
      <c r="P1262" s="5" t="n">
        <v>11.3</v>
      </c>
      <c r="Q1262" s="5" t="n">
        <v>25.2</v>
      </c>
      <c r="R1262" s="5" t="n">
        <v>7.4</v>
      </c>
      <c r="S1262" s="5" t="n">
        <v>17.9</v>
      </c>
      <c r="T1262" s="2" t="n">
        <v>33</v>
      </c>
      <c r="U1262" s="2" t="inlineStr">
        <is>
          <t>low</t>
        </is>
      </c>
      <c r="V1262" s="5" t="n">
        <v>5.9</v>
      </c>
      <c r="W1262" s="2" t="inlineStr">
        <is>
          <t>low</t>
        </is>
      </c>
      <c r="X1262" s="3" t="inlineStr"/>
      <c r="Y1262" s="3" t="inlineStr">
        <is>
          <t>74% of this dish's available carbohydrate comes from ingredients with a published, measured GI; the rest uses conventional placeholders (see Ingredients sheet)</t>
        </is>
      </c>
      <c r="Z1262" s="2" t="n">
        <v>74</v>
      </c>
      <c r="AA1262" s="3" t="inlineStr">
        <is>
          <t>gluten-free, nut-free, high-protein, high-fiber</t>
        </is>
      </c>
      <c r="AB1262" s="3" t="inlineStr">
        <is>
          <t>1. Brown the beef with the onion.
2. Add the beans, corn, tomatoes, broth and taco seasoning and simmer 20 minutes.
3. Top with cheddar.</t>
        </is>
      </c>
      <c r="AC1262" s="4" t="inlineStr">
        <is>
          <t>["Brown the beef with the onion.", "Add the beans, corn, tomatoes, broth and taco seasoning and simmer 20 minutes.", "Top with cheddar."]</t>
        </is>
      </c>
    </row>
    <row r="1263" ht="96" customHeight="1">
      <c r="A1263" s="2" t="inlineStr">
        <is>
          <t>DB-1262</t>
        </is>
      </c>
      <c r="B1263" s="3" t="inlineStr">
        <is>
          <t>Tamale Pie Casserole</t>
        </is>
      </c>
      <c r="C1263" s="4" t="inlineStr">
        <is>
          <t>Beef, Pork &amp; Lamb</t>
        </is>
      </c>
      <c r="D1263" s="4" t="inlineStr">
        <is>
          <t>Tex-Mex</t>
        </is>
      </c>
      <c r="E1263" s="2" t="n">
        <v>6</v>
      </c>
      <c r="F1263" s="2" t="n">
        <v>20</v>
      </c>
      <c r="G1263" s="2" t="n">
        <v>40</v>
      </c>
      <c r="H1263" s="2" t="n">
        <v>60</v>
      </c>
      <c r="I1263" s="4" t="inlineStr">
        <is>
          <t>tamale-pie-casserole.jpg</t>
        </is>
      </c>
      <c r="J1263" s="3" t="inlineStr">
        <is>
          <t>Tamale Pie Casserole, healthy food photography, plated, natural light</t>
        </is>
      </c>
      <c r="K1263" s="4" t="inlineStr"/>
      <c r="L1263" s="3" t="inlineStr">
        <is>
          <t>Ground turkey 93% lean — 500 g (17.6 oz)
Grits, cooked with water — 450 g (15.9 oz)
Black beans, cooked — 200 g (7.1 oz)
Sweet corn kernels — 120 g (4.2 oz)
Red enchilada sauce, no sugar added — 250 g (8.8 oz)
Yellow onion — 100 g (3.5 oz)
Cheddar cheese — 80 g (2.8 oz)
Chili powder — 4 g (0.1 oz)
Egg, large (50 g each) — 50 g (1.8 oz)</t>
        </is>
      </c>
      <c r="M1263" s="4" t="inlineStr">
        <is>
          <t>[{"ingredient_id": "ground_turkey", "name": "Ground turkey 93% lean", "grams": 500.0, "note": ""}, {"ingredient_id": "grits", "name": "Grits, cooked with water", "grams": 450.0, "note": ""}, {"ingredient_id": "black_beans", "name": "Black beans, cooked", "grams": 200.0, "note": ""}, {"ingredient_id": "corn", "name": "Sweet corn kernels", "grams": 120.0, "note": ""}, {"ingredient_id": "enchilada_sauce", "name": "Red enchilada sauce, no sugar added", "grams": 250.0, "note": ""}, {"ingredient_id": "onion", "name": "Yellow onion", "grams": 100.0, "note": ""}, {"ingredient_id": "cheddar", "name": "Cheddar cheese", "grams": 80.0, "note": ""}, {"ingredient_id": "chili_powder", "name": "Chili powder", "grams": 4.0, "note": ""}, {"ingredient_id": "egg", "name": "Egg, large (50 g each)", "grams": 50.0, "note": ""}]</t>
        </is>
      </c>
      <c r="N1263" s="2" t="n">
        <v>321</v>
      </c>
      <c r="O1263" s="5" t="n">
        <v>24.9</v>
      </c>
      <c r="P1263" s="5" t="n">
        <v>13.5</v>
      </c>
      <c r="Q1263" s="5" t="n">
        <v>25.2</v>
      </c>
      <c r="R1263" s="5" t="n">
        <v>4.9</v>
      </c>
      <c r="S1263" s="5" t="n">
        <v>20.3</v>
      </c>
      <c r="T1263" s="2" t="n">
        <v>49</v>
      </c>
      <c r="U1263" s="2" t="inlineStr">
        <is>
          <t>low</t>
        </is>
      </c>
      <c r="V1263" s="5" t="n">
        <v>9.9</v>
      </c>
      <c r="W1263" s="2" t="inlineStr">
        <is>
          <t>low</t>
        </is>
      </c>
      <c r="X1263" s="3" t="inlineStr"/>
      <c r="Y1263" s="3" t="inlineStr">
        <is>
          <t>84% of this dish's available carbohydrate comes from ingredients with a published, measured GI; the rest uses conventional placeholders (see Ingredients sheet)</t>
        </is>
      </c>
      <c r="Z1263" s="2" t="n">
        <v>84</v>
      </c>
      <c r="AA1263" s="3" t="inlineStr">
        <is>
          <t>gluten-free, nut-free</t>
        </is>
      </c>
      <c r="AB1263" s="3" t="inlineStr">
        <is>
          <t>1. Brown the turkey with the onion and chili powder; stir in beans, corn and sauce.
2. Stir the egg into the cooked grits for the crust.
3. Spread the filling in a dish, cover with grits and cheddar.
4. Bake at 375°F for 30 minutes.</t>
        </is>
      </c>
      <c r="AC1263" s="4" t="inlineStr">
        <is>
          <t>["Brown the turkey with the onion and chili powder; stir in beans, corn and sauce.", "Stir the egg into the cooked grits for the crust.", "Spread the filling in a dish, cover with grits and cheddar.", "Bake at 375°F for 30 minutes."]</t>
        </is>
      </c>
    </row>
    <row r="1264" ht="96" customHeight="1">
      <c r="A1264" s="2" t="inlineStr">
        <is>
          <t>DB-1263</t>
        </is>
      </c>
      <c r="B1264" s="3" t="inlineStr">
        <is>
          <t>Midwest Hotdish with Ground Beef and Green Beans</t>
        </is>
      </c>
      <c r="C1264" s="4" t="inlineStr">
        <is>
          <t>Beef, Pork &amp; Lamb</t>
        </is>
      </c>
      <c r="D1264" s="4" t="inlineStr">
        <is>
          <t>American</t>
        </is>
      </c>
      <c r="E1264" s="2" t="n">
        <v>6</v>
      </c>
      <c r="F1264" s="2" t="n">
        <v>15</v>
      </c>
      <c r="G1264" s="2" t="n">
        <v>45</v>
      </c>
      <c r="H1264" s="2" t="n">
        <v>60</v>
      </c>
      <c r="I1264" s="4" t="inlineStr">
        <is>
          <t>midwest-hotdish-with-ground-beef-and-green-beans.jpg</t>
        </is>
      </c>
      <c r="J1264" s="3" t="inlineStr">
        <is>
          <t>Midwest Hotdish with Ground Beef and Green Beans, healthy food photography, plated, natural light</t>
        </is>
      </c>
      <c r="K1264" s="4" t="inlineStr"/>
      <c r="L1264" s="3" t="inlineStr">
        <is>
          <t>Ground beef 90% lean — 500 g (17.6 oz)
Green beans — 400 g (14.1 oz)
Potato, boiled, peeled — 600 g (21.2 oz)
Mushrooms (cremini/white) — 150 g (5.3 oz)
Yellow onion — 100 g (3.5 oz)
Milk, 2% — 200 g (7.1 oz)
Cheddar cheese — 70 g (2.5 oz)
Fresh thyme — 2 g (0.1 oz)
Butter — 15 g (0.5 oz)</t>
        </is>
      </c>
      <c r="M1264" s="4" t="inlineStr">
        <is>
          <t>[{"ingredient_id": "ground_beef", "name": "Ground beef 90% lean", "grams": 500.0, "note": ""}, {"ingredient_id": "green_beans", "name": "Green beans", "grams": 400.0, "note": ""}, {"ingredient_id": "potato_boiled", "name": "Potato, boiled, peeled", "grams": 600.0, "note": ""}, {"ingredient_id": "mushrooms", "name": "Mushrooms (cremini/white)", "grams": 150.0, "note": ""}, {"ingredient_id": "onion", "name": "Yellow onion", "grams": 100.0, "note": ""}, {"ingredient_id": "milk", "name": "Milk, 2%", "grams": 200.0, "note": ""}, {"ingredient_id": "cheddar", "name": "Cheddar cheese", "grams": 70.0, "note": ""}, {"ingredient_id": "thyme", "name": "Fresh thyme", "grams": 2.0, "note": ""}, {"ingredient_id": "butter", "name": "Butter", "grams": 15.0, "note": ""}]</t>
        </is>
      </c>
      <c r="N1264" s="2" t="n">
        <v>354</v>
      </c>
      <c r="O1264" s="5" t="n">
        <v>24.6</v>
      </c>
      <c r="P1264" s="5" t="n">
        <v>15.2</v>
      </c>
      <c r="Q1264" s="5" t="n">
        <v>30.4</v>
      </c>
      <c r="R1264" s="5" t="n">
        <v>3.9</v>
      </c>
      <c r="S1264" s="5" t="n">
        <v>26.5</v>
      </c>
      <c r="T1264" s="2" t="n">
        <v>54</v>
      </c>
      <c r="U1264" s="2" t="inlineStr">
        <is>
          <t>low</t>
        </is>
      </c>
      <c r="V1264" s="5" t="n">
        <v>14.3</v>
      </c>
      <c r="W1264" s="2" t="inlineStr">
        <is>
          <t>medium</t>
        </is>
      </c>
      <c r="X1264" s="3" t="inlineStr"/>
      <c r="Y1264" s="3" t="inlineStr">
        <is>
          <t>82% of this dish's available carbohydrate comes from ingredients with a published, measured GI; the rest uses conventional placeholders (see Ingredients sheet)</t>
        </is>
      </c>
      <c r="Z1264" s="2" t="n">
        <v>82</v>
      </c>
      <c r="AA1264" s="3" t="inlineStr">
        <is>
          <t>gluten-free, nut-free</t>
        </is>
      </c>
      <c r="AB1264" s="3" t="inlineStr">
        <is>
          <t>1. Brown the beef with the onion and mushrooms.
2. Stir in the beans, milk and thyme.
3. Top with sliced potatoes and cheddar and bake at 375°F for 40 minutes.</t>
        </is>
      </c>
      <c r="AC1264" s="4" t="inlineStr">
        <is>
          <t>["Brown the beef with the onion and mushrooms.", "Stir in the beans, milk and thyme.", "Top with sliced potatoes and cheddar and bake at 375°F for 40 minutes."]</t>
        </is>
      </c>
    </row>
    <row r="1265" ht="96" customHeight="1">
      <c r="A1265" s="2" t="inlineStr">
        <is>
          <t>DB-1264</t>
        </is>
      </c>
      <c r="B1265" s="3" t="inlineStr">
        <is>
          <t>Chicken and Wild Rice Soup</t>
        </is>
      </c>
      <c r="C1265" s="4" t="inlineStr">
        <is>
          <t>Soup &amp; Stew</t>
        </is>
      </c>
      <c r="D1265" s="4" t="inlineStr">
        <is>
          <t>American</t>
        </is>
      </c>
      <c r="E1265" s="2" t="n">
        <v>6</v>
      </c>
      <c r="F1265" s="2" t="n">
        <v>15</v>
      </c>
      <c r="G1265" s="2" t="n">
        <v>50</v>
      </c>
      <c r="H1265" s="2" t="n">
        <v>65</v>
      </c>
      <c r="I1265" s="4" t="inlineStr">
        <is>
          <t>chicken-and-wild-rice-soup.jpg</t>
        </is>
      </c>
      <c r="J1265" s="3" t="inlineStr">
        <is>
          <t>Chicken and Wild Rice Soup, healthy food photography, plated, natural light</t>
        </is>
      </c>
      <c r="K1265" s="4" t="inlineStr"/>
      <c r="L1265" s="3" t="inlineStr">
        <is>
          <t>Chicken breast, skinless — 450 g (15.9 oz)
Wild rice, cooked — 300 g (10.6 oz)
Carrot — 150 g (5.3 oz)
Celery — 100 g (3.5 oz)
Yellow onion — 120 g (4.2 oz)
Mushrooms (cremini/white) — 150 g (5.3 oz)
Chicken broth, low sodium — 1000 g (35.3 oz)
Milk, 2% — 200 g (7.1 oz)
Fresh thyme — 2 g (0.1 oz)</t>
        </is>
      </c>
      <c r="M1265" s="4" t="inlineStr">
        <is>
          <t>[{"ingredient_id": "chicken_breast", "name": "Chicken breast, skinless", "grams": 450.0, "note": ""}, {"ingredient_id": "wild_rice", "name": "Wild rice, cooked", "grams": 300.0, "note": ""}, {"ingredient_id": "carrot", "name": "Carrot", "grams": 150.0, "note": ""}, {"ingredient_id": "celery", "name": "Celery", "grams": 100.0, "note": ""}, {"ingredient_id": "onion", "name": "Yellow onion", "grams": 120.0, "note": ""}, {"ingredient_id": "mushrooms", "name": "Mushrooms (cremini/white)", "grams": 150.0, "note": ""}, {"ingredient_id": "chicken_broth", "name": "Chicken broth, low sodium", "grams": 1000.0, "note": ""}, {"ingredient_id": "milk", "name": "Milk, 2%", "grams": 200.0, "note": ""}, {"ingredient_id": "thyme", "name": "Fresh thyme", "grams": 2.0, "note": ""}]</t>
        </is>
      </c>
      <c r="N1265" s="2" t="n">
        <v>196</v>
      </c>
      <c r="O1265" s="5" t="n">
        <v>23</v>
      </c>
      <c r="P1265" s="5" t="n">
        <v>3.3</v>
      </c>
      <c r="Q1265" s="5" t="n">
        <v>18.6</v>
      </c>
      <c r="R1265" s="5" t="n">
        <v>2.5</v>
      </c>
      <c r="S1265" s="5" t="n">
        <v>16.1</v>
      </c>
      <c r="T1265" s="2" t="n">
        <v>43</v>
      </c>
      <c r="U1265" s="2" t="inlineStr">
        <is>
          <t>low</t>
        </is>
      </c>
      <c r="V1265" s="5" t="n">
        <v>6.9</v>
      </c>
      <c r="W1265" s="2" t="inlineStr">
        <is>
          <t>low</t>
        </is>
      </c>
      <c r="X1265" s="3" t="inlineStr"/>
      <c r="Y1265" s="3" t="inlineStr">
        <is>
          <t>21% of this dish's available carbohydrate comes from ingredients with a published, measured GI; the rest uses conventional placeholders (see Ingredients sheet)</t>
        </is>
      </c>
      <c r="Z1265" s="2" t="n">
        <v>21</v>
      </c>
      <c r="AA1265" s="3" t="inlineStr">
        <is>
          <t>gluten-free, nut-free</t>
        </is>
      </c>
      <c r="AB1265" s="3" t="inlineStr">
        <is>
          <t>1. Simmer the chicken, vegetables and thyme in the broth for 25 minutes.
2. Shred the chicken and add the cooked wild rice and milk.
3. Heat through gently.</t>
        </is>
      </c>
      <c r="AC1265" s="4" t="inlineStr">
        <is>
          <t>["Simmer the chicken, vegetables and thyme in the broth for 25 minutes.", "Shred the chicken and add the cooked wild rice and milk.", "Heat through gently."]</t>
        </is>
      </c>
    </row>
    <row r="1266" ht="96" customHeight="1">
      <c r="A1266" s="2" t="inlineStr">
        <is>
          <t>DB-1265</t>
        </is>
      </c>
      <c r="B1266" s="3" t="inlineStr">
        <is>
          <t>Bratwurst-Style Turkey Sausage with Sauerkraut and Apple</t>
        </is>
      </c>
      <c r="C1266" s="4" t="inlineStr">
        <is>
          <t>Beef, Pork &amp; Lamb</t>
        </is>
      </c>
      <c r="D1266" s="4" t="inlineStr">
        <is>
          <t>American</t>
        </is>
      </c>
      <c r="E1266" s="2" t="n">
        <v>4</v>
      </c>
      <c r="F1266" s="2" t="n">
        <v>10</v>
      </c>
      <c r="G1266" s="2" t="n">
        <v>20</v>
      </c>
      <c r="H1266" s="2" t="n">
        <v>30</v>
      </c>
      <c r="I1266" s="4" t="inlineStr">
        <is>
          <t>bratwurst-style-turkey-sausage-with-sauerkraut-and-apple.jpg</t>
        </is>
      </c>
      <c r="J1266" s="3" t="inlineStr">
        <is>
          <t>Bratwurst-Style Turkey Sausage with Sauerkraut and Apple, healthy food photography, plated, natural light</t>
        </is>
      </c>
      <c r="K1266" s="4" t="inlineStr"/>
      <c r="L1266" s="3" t="inlineStr">
        <is>
          <t>Turkey sausage — 450 g (15.9 oz)
Sauerkraut — 250 g (8.8 oz)
Yellow onion — 150 g (5.3 oz)
Yellow mustard — 20 g (0.7 oz)
Apple — 150 g (5.3 oz)
Extra-virgin olive oil — 10 g (0.4 oz)</t>
        </is>
      </c>
      <c r="M1266" s="4" t="inlineStr">
        <is>
          <t>[{"ingredient_id": "turkey_sausage", "name": "Turkey sausage", "grams": 450.0, "note": ""}, {"ingredient_id": "sauerkraut", "name": "Sauerkraut", "grams": 250.0, "note": ""}, {"ingredient_id": "onion", "name": "Yellow onion", "grams": 150.0, "note": ""}, {"ingredient_id": "yellow_mustard", "name": "Yellow mustard", "grams": 20.0, "note": ""}, {"ingredient_id": "apple", "name": "Apple", "grams": 150.0, "note": ""}, {"ingredient_id": "olive_oil", "name": "Extra-virgin olive oil", "grams": 10.0, "note": ""}]</t>
        </is>
      </c>
      <c r="N1266" s="2" t="n">
        <v>246</v>
      </c>
      <c r="O1266" s="5" t="n">
        <v>18.2</v>
      </c>
      <c r="P1266" s="5" t="n">
        <v>14.1</v>
      </c>
      <c r="Q1266" s="5" t="n">
        <v>13.9</v>
      </c>
      <c r="R1266" s="5" t="n">
        <v>3.5</v>
      </c>
      <c r="S1266" s="5" t="n">
        <v>10.4</v>
      </c>
      <c r="T1266" s="2" t="n">
        <v>21</v>
      </c>
      <c r="U1266" s="2" t="inlineStr">
        <is>
          <t>low</t>
        </is>
      </c>
      <c r="V1266" s="5" t="n">
        <v>2.2</v>
      </c>
      <c r="W1266" s="2" t="inlineStr">
        <is>
          <t>low</t>
        </is>
      </c>
      <c r="X1266" s="3" t="inlineStr"/>
      <c r="Y1266" s="3" t="inlineStr">
        <is>
          <t>42% of this dish's available carbohydrate comes from ingredients with a published, measured GI; the rest uses conventional placeholders (see Ingredients sheet)</t>
        </is>
      </c>
      <c r="Z1266" s="2" t="n">
        <v>42</v>
      </c>
      <c r="AA1266" s="3" t="inlineStr">
        <is>
          <t>gluten-free, dairy-free, nut-free, low-carb</t>
        </is>
      </c>
      <c r="AB1266" s="3" t="inlineStr">
        <is>
          <t>1. Brown the sausages in oil.
2. Add the onion and apple and cook until soft.
3. Warm the sauerkraut with them and serve with mustard.</t>
        </is>
      </c>
      <c r="AC1266" s="4" t="inlineStr">
        <is>
          <t>["Brown the sausages in oil.", "Add the onion and apple and cook until soft.", "Warm the sauerkraut with them and serve with mustard."]</t>
        </is>
      </c>
    </row>
    <row r="1267" ht="96" customHeight="1">
      <c r="A1267" s="2" t="inlineStr">
        <is>
          <t>DB-1266</t>
        </is>
      </c>
      <c r="B1267" s="3" t="inlineStr">
        <is>
          <t>Cheese Curd-Style Baked Cauliflower Bites</t>
        </is>
      </c>
      <c r="C1267" s="4" t="inlineStr">
        <is>
          <t>Snack &amp; Appetizer</t>
        </is>
      </c>
      <c r="D1267" s="4" t="inlineStr">
        <is>
          <t>American</t>
        </is>
      </c>
      <c r="E1267" s="2" t="n">
        <v>4</v>
      </c>
      <c r="F1267" s="2" t="n">
        <v>10</v>
      </c>
      <c r="G1267" s="2" t="n">
        <v>25</v>
      </c>
      <c r="H1267" s="2" t="n">
        <v>35</v>
      </c>
      <c r="I1267" s="4" t="inlineStr">
        <is>
          <t>cheese-curd-style-baked-cauliflower-bites.jpg</t>
        </is>
      </c>
      <c r="J1267" s="3" t="inlineStr">
        <is>
          <t>Cheese Curd-Style Baked Cauliflower Bites, healthy food photography, plated, natural light</t>
        </is>
      </c>
      <c r="K1267" s="4" t="inlineStr"/>
      <c r="L1267" s="3" t="inlineStr">
        <is>
          <t>Cauliflower — 400 g (14.1 oz)
Mozzarella, part-skim — 80 g (2.8 oz)
Egg, large (50 g each) — 50 g (1.8 oz)
Almond flour — 40 g (1.4 oz)
Garlic powder — 2 g (0.1 oz)
Extra-virgin olive oil — 15 g (0.5 oz)</t>
        </is>
      </c>
      <c r="M1267" s="4" t="inlineStr">
        <is>
          <t>[{"ingredient_id": "cauliflower", "name": "Cauliflower", "grams": 400.0, "note": ""}, {"ingredient_id": "mozzarella", "name": "Mozzarella, part-skim", "grams": 80.0, "note": ""}, {"ingredient_id": "egg", "name": "Egg, large (50 g each)", "grams": 50.0, "note": ""}, {"ingredient_id": "almond_flour", "name": "Almond flour", "grams": 40.0, "note": ""}, {"ingredient_id": "garlic_powder", "name": "Garlic powder", "grams": 2.0, "note": ""}, {"ingredient_id": "olive_oil", "name": "Extra-virgin olive oil", "grams": 15.0, "note": ""}]</t>
        </is>
      </c>
      <c r="N1267" s="2" t="n">
        <v>187</v>
      </c>
      <c r="O1267" s="5" t="n">
        <v>10.5</v>
      </c>
      <c r="P1267" s="5" t="n">
        <v>13.4</v>
      </c>
      <c r="Q1267" s="5" t="n">
        <v>8.199999999999999</v>
      </c>
      <c r="R1267" s="5" t="n">
        <v>3.2</v>
      </c>
      <c r="S1267" s="5" t="n">
        <v>4.9</v>
      </c>
      <c r="T1267" s="2" t="n">
        <v>13</v>
      </c>
      <c r="U1267" s="2" t="inlineStr">
        <is>
          <t>low</t>
        </is>
      </c>
      <c r="V1267" s="5" t="n">
        <v>0.6</v>
      </c>
      <c r="W1267" s="2" t="inlineStr">
        <is>
          <t>low</t>
        </is>
      </c>
      <c r="X1267" s="3" t="inlineStr">
        <is>
          <t>Negligible carbohydrate (&lt;5 g net/serving): GI has little practical meaning, glycemic load is what matters.</t>
        </is>
      </c>
      <c r="Y1267" s="3" t="inlineStr">
        <is>
          <t>0% of this dish's available carbohydrate comes from ingredients with a published, measured GI; the rest uses conventional placeholders (see Ingredients sheet)</t>
        </is>
      </c>
      <c r="Z1267" s="2" t="n">
        <v>0</v>
      </c>
      <c r="AA1267" s="3" t="inlineStr">
        <is>
          <t>vegetarian, gluten-free, low-carb</t>
        </is>
      </c>
      <c r="AB1267" s="3" t="inlineStr">
        <is>
          <t>1. Toss the florets in egg and almond flour.
2. Roast on an oiled tray at 425°F for 20 minutes.
3. Top with mozzarella for the last 5.</t>
        </is>
      </c>
      <c r="AC1267" s="4" t="inlineStr">
        <is>
          <t>["Toss the florets in egg and almond flour.", "Roast on an oiled tray at 425°F for 20 minutes.", "Top with mozzarella for the last 5."]</t>
        </is>
      </c>
    </row>
    <row r="1268" ht="96" customHeight="1">
      <c r="A1268" s="2" t="inlineStr">
        <is>
          <t>DB-1267</t>
        </is>
      </c>
      <c r="B1268" s="3" t="inlineStr">
        <is>
          <t>New England Baked Cod with Herb Crumbs</t>
        </is>
      </c>
      <c r="C1268" s="4" t="inlineStr">
        <is>
          <t>Seafood</t>
        </is>
      </c>
      <c r="D1268" s="4" t="inlineStr">
        <is>
          <t>American</t>
        </is>
      </c>
      <c r="E1268" s="2" t="n">
        <v>4</v>
      </c>
      <c r="F1268" s="2" t="n">
        <v>10</v>
      </c>
      <c r="G1268" s="2" t="n">
        <v>18</v>
      </c>
      <c r="H1268" s="2" t="n">
        <v>28</v>
      </c>
      <c r="I1268" s="4" t="inlineStr">
        <is>
          <t>new-england-baked-cod-with-herb-crumbs.jpg</t>
        </is>
      </c>
      <c r="J1268" s="3" t="inlineStr">
        <is>
          <t>New England Baked Cod with Herb Crumbs, healthy food photography, plated, natural light</t>
        </is>
      </c>
      <c r="K1268" s="4" t="inlineStr"/>
      <c r="L1268" s="3" t="inlineStr">
        <is>
          <t>Cod fillet — 600 g (21.2 oz)
White bread — 50 g (1.8 oz)
Butter — 25 g (0.9 oz)
Lemon juice — 20 g (0.7 oz)
Fresh parsley — 6 g (0.2 oz)
Garlic — 4 g (0.1 oz)
Green beans — 300 g (10.6 oz)</t>
        </is>
      </c>
      <c r="M1268" s="4" t="inlineStr">
        <is>
          <t>[{"ingredient_id": "cod", "name": "Cod fillet", "grams": 600.0, "note": ""}, {"ingredient_id": "white_bread", "name": "White bread", "grams": 50.0, "note": ""}, {"ingredient_id": "butter", "name": "Butter", "grams": 25.0, "note": ""}, {"ingredient_id": "lemon_juice", "name": "Lemon juice", "grams": 20.0, "note": ""}, {"ingredient_id": "parsley", "name": "Fresh parsley", "grams": 6.0, "note": ""}, {"ingredient_id": "garlic", "name": "Garlic", "grams": 4.0, "note": ""}, {"ingredient_id": "green_beans", "name": "Green beans", "grams": 300.0, "note": ""}]</t>
        </is>
      </c>
      <c r="N1268" s="2" t="n">
        <v>228</v>
      </c>
      <c r="O1268" s="5" t="n">
        <v>29.7</v>
      </c>
      <c r="P1268" s="5" t="n">
        <v>6.7</v>
      </c>
      <c r="Q1268" s="5" t="n">
        <v>12.2</v>
      </c>
      <c r="R1268" s="5" t="n">
        <v>2.4</v>
      </c>
      <c r="S1268" s="5" t="n">
        <v>9.800000000000001</v>
      </c>
      <c r="T1268" s="2" t="n">
        <v>50</v>
      </c>
      <c r="U1268" s="2" t="inlineStr">
        <is>
          <t>low</t>
        </is>
      </c>
      <c r="V1268" s="5" t="n">
        <v>4.9</v>
      </c>
      <c r="W1268" s="2" t="inlineStr">
        <is>
          <t>low</t>
        </is>
      </c>
      <c r="X1268" s="3" t="inlineStr"/>
      <c r="Y1268" s="3" t="inlineStr">
        <is>
          <t>60% of this dish's available carbohydrate comes from ingredients with a published, measured GI; the rest uses conventional placeholders (see Ingredients sheet)</t>
        </is>
      </c>
      <c r="Z1268" s="2" t="n">
        <v>60</v>
      </c>
      <c r="AA1268" s="3" t="inlineStr">
        <is>
          <t>pescatarian, nut-free, low-carb, high-protein</t>
        </is>
      </c>
      <c r="AB1268" s="3" t="inlineStr">
        <is>
          <t>1. Crumb the bread and mix with melted butter, parsley and garlic.
2. Top the cod and bake at 400°F for 15 minutes.
3. Serve with lemon and steamed green beans.</t>
        </is>
      </c>
      <c r="AC1268" s="4" t="inlineStr">
        <is>
          <t>["Crumb the bread and mix with melted butter, parsley and garlic.", "Top the cod and bake at 400°F for 15 minutes.", "Serve with lemon and steamed green beans."]</t>
        </is>
      </c>
    </row>
    <row r="1269" ht="96" customHeight="1">
      <c r="A1269" s="2" t="inlineStr">
        <is>
          <t>DB-1268</t>
        </is>
      </c>
      <c r="B1269" s="3" t="inlineStr">
        <is>
          <t>Lobster Roll Lettuce Wraps</t>
        </is>
      </c>
      <c r="C1269" s="4" t="inlineStr">
        <is>
          <t>Sandwiches &amp; Wraps</t>
        </is>
      </c>
      <c r="D1269" s="4" t="inlineStr">
        <is>
          <t>American</t>
        </is>
      </c>
      <c r="E1269" s="2" t="n">
        <v>4</v>
      </c>
      <c r="F1269" s="2" t="n">
        <v>15</v>
      </c>
      <c r="G1269" s="2" t="n">
        <v>0</v>
      </c>
      <c r="H1269" s="2" t="n">
        <v>15</v>
      </c>
      <c r="I1269" s="4" t="inlineStr">
        <is>
          <t>lobster-roll-lettuce-wraps.jpg</t>
        </is>
      </c>
      <c r="J1269" s="3" t="inlineStr">
        <is>
          <t>Lobster Roll Lettuce Wraps, healthy food photography, plated, natural light</t>
        </is>
      </c>
      <c r="K1269" s="4" t="inlineStr"/>
      <c r="L1269" s="3" t="inlineStr">
        <is>
          <t>Lobster meat — 400 g (14.1 oz)
Celery — 50 g (1.8 oz)
Mayonnaise (avocado oil) — 30 g (1.1 oz)
Greek yogurt, plain 2% — 50 g (1.8 oz)
Lemon juice — 20 g (0.7 oz)
Fresh chives — 5 g (0.2 oz)
Butter lettuce — 150 g (5.3 oz)</t>
        </is>
      </c>
      <c r="M1269" s="4" t="inlineStr">
        <is>
          <t>[{"ingredient_id": "lobster", "name": "Lobster meat", "grams": 400.0, "note": ""}, {"ingredient_id": "celery", "name": "Celery", "grams": 50.0, "note": ""}, {"ingredient_id": "mayo", "name": "Mayonnaise (avocado oil)", "grams": 30.0, "note": ""}, {"ingredient_id": "greek_yogurt", "name": "Greek yogurt, plain 2%", "grams": 50.0, "note": ""}, {"ingredient_id": "lemon_juice", "name": "Lemon juice", "grams": 20.0, "note": ""}, {"ingredient_id": "chives", "name": "Fresh chives", "grams": 5.0, "note": ""}, {"ingredient_id": "butter_lettuce", "name": "Butter lettuce", "grams": 150.0, "note": ""}]</t>
        </is>
      </c>
      <c r="N1269" s="2" t="n">
        <v>159</v>
      </c>
      <c r="O1269" s="5" t="n">
        <v>20.9</v>
      </c>
      <c r="P1269" s="5" t="n">
        <v>7.1</v>
      </c>
      <c r="Q1269" s="5" t="n">
        <v>2.1</v>
      </c>
      <c r="R1269" s="5" t="n">
        <v>0.7</v>
      </c>
      <c r="S1269" s="5" t="n">
        <v>1.4</v>
      </c>
      <c r="T1269" s="2" t="n">
        <v>15</v>
      </c>
      <c r="U1269" s="2" t="inlineStr">
        <is>
          <t>low</t>
        </is>
      </c>
      <c r="V1269" s="5" t="n">
        <v>0.2</v>
      </c>
      <c r="W1269" s="2" t="inlineStr">
        <is>
          <t>low</t>
        </is>
      </c>
      <c r="X1269" s="3" t="inlineStr">
        <is>
          <t>Negligible carbohydrate (&lt;5 g net/serving): GI has little practical meaning, glycemic load is what matters.</t>
        </is>
      </c>
      <c r="Y1269" s="3" t="inlineStr">
        <is>
          <t>35% of this dish's available carbohydrate comes from ingredients with a published, measured GI; the rest uses conventional placeholders (see Ingredients sheet)</t>
        </is>
      </c>
      <c r="Z1269" s="2" t="n">
        <v>35</v>
      </c>
      <c r="AA1269" s="3" t="inlineStr">
        <is>
          <t>pescatarian, gluten-free, nut-free, low-carb, no-cook</t>
        </is>
      </c>
      <c r="AB1269" s="3" t="inlineStr">
        <is>
          <t>1. Chop the cooked lobster.
2. Mix with celery, mayo, yogurt, lemon and chives.
3. Spoon into lettuce leaves.</t>
        </is>
      </c>
      <c r="AC1269" s="4" t="inlineStr">
        <is>
          <t>["Chop the cooked lobster.", "Mix with celery, mayo, yogurt, lemon and chives.", "Spoon into lettuce leaves."]</t>
        </is>
      </c>
    </row>
    <row r="1270" ht="96" customHeight="1">
      <c r="A1270" s="2" t="inlineStr">
        <is>
          <t>DB-1269</t>
        </is>
      </c>
      <c r="B1270" s="3" t="inlineStr">
        <is>
          <t>Maine-Style Lobster Roll on a Toasted Bun</t>
        </is>
      </c>
      <c r="C1270" s="4" t="inlineStr">
        <is>
          <t>Sandwiches &amp; Wraps</t>
        </is>
      </c>
      <c r="D1270" s="4" t="inlineStr">
        <is>
          <t>American</t>
        </is>
      </c>
      <c r="E1270" s="2" t="n">
        <v>3</v>
      </c>
      <c r="F1270" s="2" t="n">
        <v>10</v>
      </c>
      <c r="G1270" s="2" t="n">
        <v>5</v>
      </c>
      <c r="H1270" s="2" t="n">
        <v>15</v>
      </c>
      <c r="I1270" s="4" t="inlineStr">
        <is>
          <t>maine-style-lobster-roll-on-a-toasted-bun.jpg</t>
        </is>
      </c>
      <c r="J1270" s="3" t="inlineStr">
        <is>
          <t>Maine-Style Lobster Roll on a Toasted Bun, healthy food photography, plated, natural light</t>
        </is>
      </c>
      <c r="K1270" s="4" t="inlineStr"/>
      <c r="L1270" s="3" t="inlineStr">
        <is>
          <t>Lobster meat — 300 g (10.6 oz)
Hamburger bun, white — 180 g (6.3 oz)
Butter — 20 g (0.7 oz)
Lemon juice — 15 g (0.5 oz)
Fresh chives — 4 g (0.1 oz)
Celery — 30 g (1.1 oz)</t>
        </is>
      </c>
      <c r="M1270" s="4" t="inlineStr">
        <is>
          <t>[{"ingredient_id": "lobster", "name": "Lobster meat", "grams": 300.0, "note": ""}, {"ingredient_id": "hamburger_bun", "name": "Hamburger bun, white", "grams": 180.0, "note": ""}, {"ingredient_id": "butter", "name": "Butter", "grams": 20.0, "note": ""}, {"ingredient_id": "lemon_juice", "name": "Lemon juice", "grams": 15.0, "note": ""}, {"ingredient_id": "chives", "name": "Fresh chives", "grams": 4.0, "note": ""}, {"ingredient_id": "celery", "name": "Celery", "grams": 30.0, "note": ""}]</t>
        </is>
      </c>
      <c r="N1270" s="2" t="n">
        <v>300</v>
      </c>
      <c r="O1270" s="5" t="n">
        <v>24.9</v>
      </c>
      <c r="P1270" s="5" t="n">
        <v>8.5</v>
      </c>
      <c r="Q1270" s="5" t="n">
        <v>30.2</v>
      </c>
      <c r="R1270" s="5" t="n">
        <v>1.6</v>
      </c>
      <c r="S1270" s="5" t="n">
        <v>28.6</v>
      </c>
      <c r="T1270" s="2" t="n">
        <v>61</v>
      </c>
      <c r="U1270" s="2" t="inlineStr">
        <is>
          <t>medium</t>
        </is>
      </c>
      <c r="V1270" s="5" t="n">
        <v>17.5</v>
      </c>
      <c r="W1270" s="2" t="inlineStr">
        <is>
          <t>medium</t>
        </is>
      </c>
      <c r="X1270" s="3" t="inlineStr">
        <is>
          <t>Medium-GI dish: keep to the stated portion and pair with the protein/fat in the recipe; GL per serving is the better guide.</t>
        </is>
      </c>
      <c r="Y1270" s="3" t="inlineStr">
        <is>
          <t>98% of this dish's available carbohydrate comes from ingredients with a published, measured GI; the rest uses conventional placeholders (see Ingredients sheet)</t>
        </is>
      </c>
      <c r="Z1270" s="2" t="n">
        <v>98</v>
      </c>
      <c r="AA1270" s="3" t="inlineStr">
        <is>
          <t>pescatarian, nut-free</t>
        </is>
      </c>
      <c r="AB1270" s="3" t="inlineStr">
        <is>
          <t>1. Toss the cooked lobster with lemon, chives and celery.
2. Toast the buns in butter.
3. Fill generously.</t>
        </is>
      </c>
      <c r="AC1270" s="4" t="inlineStr">
        <is>
          <t>["Toss the cooked lobster with lemon, chives and celery.", "Toast the buns in butter.", "Fill generously."]</t>
        </is>
      </c>
    </row>
    <row r="1271" ht="96" customHeight="1">
      <c r="A1271" s="2" t="inlineStr">
        <is>
          <t>DB-1270</t>
        </is>
      </c>
      <c r="B1271" s="3" t="inlineStr">
        <is>
          <t>Boston Baked Beans without Molasses</t>
        </is>
      </c>
      <c r="C1271" s="4" t="inlineStr">
        <is>
          <t>Side Dish</t>
        </is>
      </c>
      <c r="D1271" s="4" t="inlineStr">
        <is>
          <t>American</t>
        </is>
      </c>
      <c r="E1271" s="2" t="n">
        <v>8</v>
      </c>
      <c r="F1271" s="2" t="n">
        <v>15</v>
      </c>
      <c r="G1271" s="2" t="n">
        <v>150</v>
      </c>
      <c r="H1271" s="2" t="n">
        <v>165</v>
      </c>
      <c r="I1271" s="4" t="inlineStr">
        <is>
          <t>boston-baked-beans-without-molasses.jpg</t>
        </is>
      </c>
      <c r="J1271" s="3" t="inlineStr">
        <is>
          <t>Boston Baked Beans without Molasses, healthy food photography, plated, natural light</t>
        </is>
      </c>
      <c r="K1271" s="4" t="inlineStr"/>
      <c r="L1271" s="3" t="inlineStr">
        <is>
          <t>Navy beans, cooked — 800 g (28.2 oz)
Yellow onion — 120 g (4.2 oz)
Bacon — 50 g (1.8 oz)
Tomato paste — 40 g (1.4 oz)
Yellow mustard — 15 g (0.5 oz)
Apple cider vinegar — 15 g (0.5 oz)
Monk fruit/erythritol sweetener — 8 g (0.3 oz)
Water / ice — 300 g (10.6 oz)</t>
        </is>
      </c>
      <c r="M1271" s="4" t="inlineStr">
        <is>
          <t>[{"ingredient_id": "navy_beans", "name": "Navy beans, cooked", "grams": 800.0, "note": ""}, {"ingredient_id": "onion", "name": "Yellow onion", "grams": 120.0, "note": ""}, {"ingredient_id": "bacon", "name": "Bacon", "grams": 50.0, "note": ""}, {"ingredient_id": "tomato_paste", "name": "Tomato paste", "grams": 40.0, "note": ""}, {"ingredient_id": "yellow_mustard", "name": "Yellow mustard", "grams": 15.0, "note": ""}, {"ingredient_id": "apple_cider_vinegar", "name": "Apple cider vinegar", "grams": 15.0, "note": ""}, {"ingredient_id": "monk_fruit_sweetener", "name": "Monk fruit/erythritol sweetener", "grams": 8.0, "note": ""}, {"ingredient_id": "water", "name": "Water / ice", "grams": 300.0, "note": ""}]</t>
        </is>
      </c>
      <c r="N1271" s="2" t="n">
        <v>185</v>
      </c>
      <c r="O1271" s="5" t="n">
        <v>11</v>
      </c>
      <c r="P1271" s="5" t="n">
        <v>3.3</v>
      </c>
      <c r="Q1271" s="5" t="n">
        <v>28.5</v>
      </c>
      <c r="R1271" s="5" t="n">
        <v>11</v>
      </c>
      <c r="S1271" s="5" t="n">
        <v>17.5</v>
      </c>
      <c r="T1271" s="2" t="n">
        <v>30</v>
      </c>
      <c r="U1271" s="2" t="inlineStr">
        <is>
          <t>low</t>
        </is>
      </c>
      <c r="V1271" s="5" t="n">
        <v>5.3</v>
      </c>
      <c r="W1271" s="2" t="inlineStr">
        <is>
          <t>low</t>
        </is>
      </c>
      <c r="X1271" s="3" t="inlineStr"/>
      <c r="Y1271" s="3" t="inlineStr">
        <is>
          <t>0% of this dish's available carbohydrate comes from ingredients with a published, measured GI; the rest uses conventional placeholders (see Ingredients sheet)</t>
        </is>
      </c>
      <c r="Z1271" s="2" t="n">
        <v>0</v>
      </c>
      <c r="AA1271" s="3" t="inlineStr">
        <is>
          <t>gluten-free, dairy-free, nut-free, high-fiber</t>
        </is>
      </c>
      <c r="AB1271" s="3" t="inlineStr">
        <is>
          <t>1. Combine everything in a pot.
2. Bake covered at 300°F for 2 hours, adding water as needed.</t>
        </is>
      </c>
      <c r="AC1271" s="4" t="inlineStr">
        <is>
          <t>["Combine everything in a pot.", "Bake covered at 300°F for 2 hours, adding water as needed."]</t>
        </is>
      </c>
    </row>
    <row r="1272" ht="96" customHeight="1">
      <c r="A1272" s="2" t="inlineStr">
        <is>
          <t>DB-1271</t>
        </is>
      </c>
      <c r="B1272" s="3" t="inlineStr">
        <is>
          <t>Cape Cod Turkey Burger with Cranberry Mustard</t>
        </is>
      </c>
      <c r="C1272" s="4" t="inlineStr">
        <is>
          <t>Sandwiches &amp; Wraps</t>
        </is>
      </c>
      <c r="D1272" s="4" t="inlineStr">
        <is>
          <t>American</t>
        </is>
      </c>
      <c r="E1272" s="2" t="n">
        <v>4</v>
      </c>
      <c r="F1272" s="2" t="n">
        <v>10</v>
      </c>
      <c r="G1272" s="2" t="n">
        <v>12</v>
      </c>
      <c r="H1272" s="2" t="n">
        <v>22</v>
      </c>
      <c r="I1272" s="4" t="inlineStr">
        <is>
          <t>cape-cod-turkey-burger-with-cranberry-mustard.jpg</t>
        </is>
      </c>
      <c r="J1272" s="3" t="inlineStr">
        <is>
          <t>Cape Cod Turkey Burger with Cranberry Mustard, healthy food photography, plated, natural light</t>
        </is>
      </c>
      <c r="K1272" s="4" t="inlineStr"/>
      <c r="L1272" s="3" t="inlineStr">
        <is>
          <t>Ground turkey 93% lean — 500 g (17.6 oz)
Cranberries, fresh — 60 g (2.1 oz)
Dijon mustard — 20 g (0.7 oz)
Hamburger bun, white — 240 g (8.5 oz)
Arugula — 40 g (1.4 oz)
Red onion — 30 g (1.1 oz)
Salt — 2 g (0.1 oz)</t>
        </is>
      </c>
      <c r="M1272" s="4" t="inlineStr">
        <is>
          <t>[{"ingredient_id": "ground_turkey", "name": "Ground turkey 93% lean", "grams": 500.0, "note": ""}, {"ingredient_id": "cranberries", "name": "Cranberries, fresh", "grams": 60.0, "note": ""}, {"ingredient_id": "dijon", "name": "Dijon mustard", "grams": 20.0, "note": ""}, {"ingredient_id": "hamburger_bun", "name": "Hamburger bun, white", "grams": 240.0, "note": ""}, {"ingredient_id": "arugula", "name": "Arugula", "grams": 40.0, "note": ""}, {"ingredient_id": "red_onion", "name": "Red onion", "grams": 30.0, "note": ""}, {"ingredient_id": "salt", "name": "Salt", "grams": 2.0, "note": ""}]</t>
        </is>
      </c>
      <c r="N1272" s="2" t="n">
        <v>363</v>
      </c>
      <c r="O1272" s="5" t="n">
        <v>29.6</v>
      </c>
      <c r="P1272" s="5" t="n">
        <v>12.4</v>
      </c>
      <c r="Q1272" s="5" t="n">
        <v>32.6</v>
      </c>
      <c r="R1272" s="5" t="n">
        <v>2.5</v>
      </c>
      <c r="S1272" s="5" t="n">
        <v>30.1</v>
      </c>
      <c r="T1272" s="2" t="n">
        <v>60</v>
      </c>
      <c r="U1272" s="2" t="inlineStr">
        <is>
          <t>medium</t>
        </is>
      </c>
      <c r="V1272" s="5" t="n">
        <v>18.1</v>
      </c>
      <c r="W1272" s="2" t="inlineStr">
        <is>
          <t>medium</t>
        </is>
      </c>
      <c r="X1272" s="3" t="inlineStr">
        <is>
          <t>Medium-GI dish: keep to the stated portion and pair with the protein/fat in the recipe; GL per serving is the better guide.</t>
        </is>
      </c>
      <c r="Y1272" s="3" t="inlineStr">
        <is>
          <t>93% of this dish's available carbohydrate comes from ingredients with a published, measured GI; the rest uses conventional placeholders (see Ingredients sheet)</t>
        </is>
      </c>
      <c r="Z1272" s="2" t="n">
        <v>93</v>
      </c>
      <c r="AA1272" s="3" t="inlineStr">
        <is>
          <t>dairy-free, nut-free, high-protein</t>
        </is>
      </c>
      <c r="AB1272" s="3" t="inlineStr">
        <is>
          <t>1. Mix the turkey with chopped cranberries and salt and shape four patties.
2. Pan-sear 6 minutes a side.
3. Toast the buns and spread with mustard.
4. Build with arugula and onion.</t>
        </is>
      </c>
      <c r="AC1272" s="4" t="inlineStr">
        <is>
          <t>["Mix the turkey with chopped cranberries and salt and shape four patties.", "Pan-sear 6 minutes a side.", "Toast the buns and spread with mustard.", "Build with arugula and onion."]</t>
        </is>
      </c>
    </row>
    <row r="1273" ht="96" customHeight="1">
      <c r="A1273" s="2" t="inlineStr">
        <is>
          <t>DB-1272</t>
        </is>
      </c>
      <c r="B1273" s="3" t="inlineStr">
        <is>
          <t>Hawaiian Chicken Skewers with Pineapple</t>
        </is>
      </c>
      <c r="C1273" s="4" t="inlineStr">
        <is>
          <t>Poultry</t>
        </is>
      </c>
      <c r="D1273" s="4" t="inlineStr">
        <is>
          <t>Hawaiian</t>
        </is>
      </c>
      <c r="E1273" s="2" t="n">
        <v>4</v>
      </c>
      <c r="F1273" s="2" t="n">
        <v>15</v>
      </c>
      <c r="G1273" s="2" t="n">
        <v>12</v>
      </c>
      <c r="H1273" s="2" t="n">
        <v>27</v>
      </c>
      <c r="I1273" s="4" t="inlineStr">
        <is>
          <t>hawaiian-chicken-skewers-with-pineapple.jpg</t>
        </is>
      </c>
      <c r="J1273" s="3" t="inlineStr">
        <is>
          <t>Hawaiian Chicken Skewers with Pineapple, healthy food photography, plated, natural light</t>
        </is>
      </c>
      <c r="K1273" s="4" t="inlineStr"/>
      <c r="L1273" s="3" t="inlineStr">
        <is>
          <t>Chicken breast, skinless — 500 g (17.6 oz)
Pineapple — 200 g (7.1 oz)
Bell pepper — 150 g (5.3 oz)
Red onion — 80 g (2.8 oz)
Soy sauce, low sodium — 30 g (1.1 oz)
Fresh ginger — 8 g (0.3 oz)
Garlic — 6 g (0.2 oz)
Toasted sesame oil — 8 g (0.3 oz)
White rice, long-grain, cooked — 300 g (10.6 oz)</t>
        </is>
      </c>
      <c r="M1273" s="4" t="inlineStr">
        <is>
          <t>[{"ingredient_id": "chicken_breast", "name": "Chicken breast, skinless", "grams": 500.0, "note": ""}, {"ingredient_id": "pineapple", "name": "Pineapple", "grams": 200.0, "note": ""}, {"ingredient_id": "bell_pepper", "name": "Bell pepper", "grams": 150.0, "note": ""}, {"ingredient_id": "red_onion", "name": "Red onion", "grams": 80.0, "note": ""}, {"ingredient_id": "soy_sauce", "name": "Soy sauce, low sodium", "grams": 30.0, "note": ""}, {"ingredient_id": "ginger", "name": "Fresh ginger", "grams": 8.0, "note": ""}, {"ingredient_id": "garlic", "name": "Garlic", "grams": 6.0, "note": ""}, {"ingredient_id": "sesame_oil", "name": "Toasted sesame oil", "grams": 8.0, "note": ""}, {"ingredient_id": "white_rice", "name": "White rice, long-grain, cooked", "grams": 300.0, "note": ""}]</t>
        </is>
      </c>
      <c r="N1273" s="2" t="n">
        <v>317</v>
      </c>
      <c r="O1273" s="5" t="n">
        <v>31.7</v>
      </c>
      <c r="P1273" s="5" t="n">
        <v>5.7</v>
      </c>
      <c r="Q1273" s="5" t="n">
        <v>32.8</v>
      </c>
      <c r="R1273" s="5" t="n">
        <v>2.3</v>
      </c>
      <c r="S1273" s="5" t="n">
        <v>30.6</v>
      </c>
      <c r="T1273" s="2" t="n">
        <v>68</v>
      </c>
      <c r="U1273" s="2" t="inlineStr">
        <is>
          <t>medium</t>
        </is>
      </c>
      <c r="V1273" s="5" t="n">
        <v>20.8</v>
      </c>
      <c r="W1273" s="2" t="inlineStr">
        <is>
          <t>high</t>
        </is>
      </c>
      <c r="X1273" s="3" t="inlineStr">
        <is>
          <t>Medium-GI dish: keep to the stated portion and pair with the protein/fat in the recipe; GL per serving is the better guide.</t>
        </is>
      </c>
      <c r="Y1273" s="3" t="inlineStr">
        <is>
          <t>87% of this dish's available carbohydrate comes from ingredients with a published, measured GI; the rest uses conventional placeholders (see Ingredients sheet)</t>
        </is>
      </c>
      <c r="Z1273" s="2" t="n">
        <v>87</v>
      </c>
      <c r="AA1273" s="3" t="inlineStr">
        <is>
          <t>dairy-free, nut-free, high-protein</t>
        </is>
      </c>
      <c r="AB1273" s="3" t="inlineStr">
        <is>
          <t>1. Marinate the chicken in soy sauce, ginger, garlic and sesame oil.
2. Thread onto skewers with pineapple, pepper and onion.
3. Grill 10 to 12 minutes and serve over rice.</t>
        </is>
      </c>
      <c r="AC1273" s="4" t="inlineStr">
        <is>
          <t>["Marinate the chicken in soy sauce, ginger, garlic and sesame oil.", "Thread onto skewers with pineapple, pepper and onion.", "Grill 10 to 12 minutes and serve over rice."]</t>
        </is>
      </c>
    </row>
    <row r="1274" ht="96" customHeight="1">
      <c r="A1274" s="2" t="inlineStr">
        <is>
          <t>DB-1273</t>
        </is>
      </c>
      <c r="B1274" s="3" t="inlineStr">
        <is>
          <t>Poke Bowl with Tuna and Cucumber</t>
        </is>
      </c>
      <c r="C1274" s="4" t="inlineStr">
        <is>
          <t>Seafood</t>
        </is>
      </c>
      <c r="D1274" s="4" t="inlineStr">
        <is>
          <t>Hawaiian</t>
        </is>
      </c>
      <c r="E1274" s="2" t="n">
        <v>3</v>
      </c>
      <c r="F1274" s="2" t="n">
        <v>15</v>
      </c>
      <c r="G1274" s="2" t="n">
        <v>0</v>
      </c>
      <c r="H1274" s="2" t="n">
        <v>15</v>
      </c>
      <c r="I1274" s="4" t="inlineStr">
        <is>
          <t>poke-bowl-with-tuna-and-cucumber.jpg</t>
        </is>
      </c>
      <c r="J1274" s="3" t="inlineStr">
        <is>
          <t>Poke Bowl with Tuna and Cucumber, healthy food photography, plated, natural light</t>
        </is>
      </c>
      <c r="K1274" s="4" t="inlineStr"/>
      <c r="L1274" s="3" t="inlineStr">
        <is>
          <t>Tuna steak (ahi) — 300 g (10.6 oz)
White rice, long-grain, cooked — 300 g (10.6 oz)
Cucumber — 100 g (3.5 oz)
Avocado — 100 g (3.5 oz)
Soy sauce, low sodium — 25 g (0.9 oz)
Toasted sesame oil — 8 g (0.3 oz)
Green onions (scallions) — 20 g (0.7 oz)
Sesame seeds — 6 g (0.2 oz)
Nori seaweed sheets — 3 g (0.1 oz)</t>
        </is>
      </c>
      <c r="M1274" s="4" t="inlineStr">
        <is>
          <t>[{"ingredient_id": "tuna_steak", "name": "Tuna steak (ahi)", "grams": 300.0, "note": ""}, {"ingredient_id": "white_rice", "name": "White rice, long-grain, cooked", "grams": 300.0, "note": ""}, {"ingredient_id": "cucumber", "name": "Cucumber", "grams": 100.0, "note": ""}, {"ingredient_id": "avocado", "name": "Avocado", "grams": 100.0,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"nori", "name": "Nori seaweed sheets", "grams": 3.0, "note": ""}]</t>
        </is>
      </c>
      <c r="N1274" s="2" t="n">
        <v>338</v>
      </c>
      <c r="O1274" s="5" t="n">
        <v>28.8</v>
      </c>
      <c r="P1274" s="5" t="n">
        <v>10</v>
      </c>
      <c r="Q1274" s="5" t="n">
        <v>33.4</v>
      </c>
      <c r="R1274" s="5" t="n">
        <v>3.3</v>
      </c>
      <c r="S1274" s="5" t="n">
        <v>30.2</v>
      </c>
      <c r="T1274" s="2" t="n">
        <v>72</v>
      </c>
      <c r="U1274" s="2" t="inlineStr">
        <is>
          <t>high</t>
        </is>
      </c>
      <c r="V1274" s="5" t="n">
        <v>21.7</v>
      </c>
      <c r="W1274" s="2" t="inlineStr">
        <is>
          <t>high</t>
        </is>
      </c>
      <c r="X1274" s="3" t="inlineStr">
        <is>
          <t>Medium-GI dish: keep to the stated portion and pair with the protein/fat in the recipe; GL per serving is the better guide.</t>
        </is>
      </c>
      <c r="Y1274" s="3" t="inlineStr">
        <is>
          <t>92% of this dish's available carbohydrate comes from ingredients with a published, measured GI; the rest uses conventional placeholders (see Ingredients sheet)</t>
        </is>
      </c>
      <c r="Z1274" s="2" t="n">
        <v>92</v>
      </c>
      <c r="AA1274" s="3" t="inlineStr">
        <is>
          <t>pescatarian, dairy-free, nut-free, high-protein, no-cook</t>
        </is>
      </c>
      <c r="AB1274" s="3" t="inlineStr">
        <is>
          <t>1. Cube the tuna and toss with soy sauce and sesame oil.
2. Divide the rice among bowls.
3. Top with tuna, cucumber, avocado, green onion, sesame seeds and nori.</t>
        </is>
      </c>
      <c r="AC1274" s="4" t="inlineStr">
        <is>
          <t>["Cube the tuna and toss with soy sauce and sesame oil.", "Divide the rice among bowls.", "Top with tuna, cucumber, avocado, green onion, sesame seeds and nori."]</t>
        </is>
      </c>
    </row>
    <row r="1275" ht="96" customHeight="1">
      <c r="A1275" s="2" t="inlineStr">
        <is>
          <t>DB-1274</t>
        </is>
      </c>
      <c r="B1275" s="3" t="inlineStr">
        <is>
          <t>Kalua-Style Pork with Cabbage</t>
        </is>
      </c>
      <c r="C1275" s="4" t="inlineStr">
        <is>
          <t>Beef, Pork &amp; Lamb</t>
        </is>
      </c>
      <c r="D1275" s="4" t="inlineStr">
        <is>
          <t>Hawaiian</t>
        </is>
      </c>
      <c r="E1275" s="2" t="n">
        <v>8</v>
      </c>
      <c r="F1275" s="2" t="n">
        <v>10</v>
      </c>
      <c r="G1275" s="2" t="n">
        <v>480</v>
      </c>
      <c r="H1275" s="2" t="n">
        <v>490</v>
      </c>
      <c r="I1275" s="4" t="inlineStr">
        <is>
          <t>kalua-style-pork-with-cabbage.jpg</t>
        </is>
      </c>
      <c r="J1275" s="3" t="inlineStr">
        <is>
          <t>Kalua-Style Pork with Cabbage, healthy food photography, plated, natural light</t>
        </is>
      </c>
      <c r="K1275" s="4" t="inlineStr"/>
      <c r="L1275" s="3" t="inlineStr">
        <is>
          <t>Pork shoulder, trimmed — 1400 g (49.4 oz)
Green cabbage — 500 g (17.6 oz)
Salt — 8 g (0.3 oz)
Smoked paprika — 4 g (0.1 oz)
Water / ice — 150 g (5.3 oz)</t>
        </is>
      </c>
      <c r="M1275" s="4" t="inlineStr">
        <is>
          <t>[{"ingredient_id": "pork_shoulder", "name": "Pork shoulder, trimmed", "grams": 1400.0, "note": ""}, {"ingredient_id": "cabbage", "name": "Green cabbage", "grams": 500.0, "note": ""}, {"ingredient_id": "salt", "name": "Salt", "grams": 8.0, "note": ""}, {"ingredient_id": "smoked_paprika", "name": "Smoked paprika", "grams": 4.0, "note": ""}, {"ingredient_id": "water", "name": "Water / ice", "grams": 150.0, "note": ""}]</t>
        </is>
      </c>
      <c r="N1275" s="2" t="n">
        <v>367</v>
      </c>
      <c r="O1275" s="5" t="n">
        <v>34.1</v>
      </c>
      <c r="P1275" s="5" t="n">
        <v>24.6</v>
      </c>
      <c r="Q1275" s="5" t="n">
        <v>3.9</v>
      </c>
      <c r="R1275" s="5" t="n">
        <v>1.7</v>
      </c>
      <c r="S1275" s="5" t="n">
        <v>2.2</v>
      </c>
      <c r="T1275" s="2" t="n">
        <v>15</v>
      </c>
      <c r="U1275" s="2" t="inlineStr">
        <is>
          <t>low</t>
        </is>
      </c>
      <c r="V1275" s="5" t="n">
        <v>0.3</v>
      </c>
      <c r="W1275" s="2" t="inlineStr">
        <is>
          <t>low</t>
        </is>
      </c>
      <c r="X1275" s="3" t="inlineStr">
        <is>
          <t>Negligible carbohydrate (&lt;5 g net/serving): GI has little practical meaning, glycemic load is what matters.</t>
        </is>
      </c>
      <c r="Y1275" s="3" t="inlineStr">
        <is>
          <t>0% of this dish's available carbohydrate comes from ingredients with a published, measured GI; the rest uses conventional placeholders (see Ingredients sheet)</t>
        </is>
      </c>
      <c r="Z1275" s="2" t="n">
        <v>0</v>
      </c>
      <c r="AA1275" s="3" t="inlineStr">
        <is>
          <t>gluten-free, dairy-free, nut-free, low-carb, high-protein, slow-cooker</t>
        </is>
      </c>
      <c r="AB1275" s="3" t="inlineStr">
        <is>
          <t>1. Rub the pork with salt and paprika.
2. Slow cook with the water for 8 hours.
3. Shred and stir in the steamed cabbage.</t>
        </is>
      </c>
      <c r="AC1275" s="4" t="inlineStr">
        <is>
          <t>["Rub the pork with salt and paprika.", "Slow cook with the water for 8 hours.", "Shred and stir in the steamed cabbage."]</t>
        </is>
      </c>
    </row>
    <row r="1276" ht="96" customHeight="1">
      <c r="A1276" s="2" t="inlineStr">
        <is>
          <t>DB-1275</t>
        </is>
      </c>
      <c r="B1276" s="3" t="inlineStr">
        <is>
          <t>Pacific Northwest Cedar-Style Salmon with Asparagus</t>
        </is>
      </c>
      <c r="C1276" s="4" t="inlineStr">
        <is>
          <t>Seafood</t>
        </is>
      </c>
      <c r="D1276" s="4" t="inlineStr">
        <is>
          <t>American</t>
        </is>
      </c>
      <c r="E1276" s="2" t="n">
        <v>4</v>
      </c>
      <c r="F1276" s="2" t="n">
        <v>10</v>
      </c>
      <c r="G1276" s="2" t="n">
        <v>18</v>
      </c>
      <c r="H1276" s="2" t="n">
        <v>28</v>
      </c>
      <c r="I1276" s="4" t="inlineStr">
        <is>
          <t>pacific-northwest-cedar-style-salmon-with-asparagus.jpg</t>
        </is>
      </c>
      <c r="J1276" s="3" t="inlineStr">
        <is>
          <t>Pacific Northwest Cedar-Style Salmon with Asparagus, healthy food photography, plated, natural light</t>
        </is>
      </c>
      <c r="K1276" s="4" t="inlineStr"/>
      <c r="L1276" s="3" t="inlineStr">
        <is>
          <t>Salmon fillet — 600 g (21.2 oz)
Asparagus — 350 g (12.3 oz)
Dijon mustard — 20 g (0.7 oz)
Fresh dill — 5 g (0.2 oz)
Lemon (with juice &amp; zest) — 60 g (2.1 oz)
Extra-virgin olive oil — 20 g (0.7 oz)
Garlic — 4 g (0.1 oz)</t>
        </is>
      </c>
      <c r="M1276" s="4" t="inlineStr">
        <is>
          <t>[{"ingredient_id": "salmon", "name": "Salmon fillet", "grams": 600.0, "note": ""}, {"ingredient_id": "asparagus", "name": "Asparagus", "grams": 350.0, "note": ""}, {"ingredient_id": "dijon", "name": "Dijon mustard", "grams": 20.0, "note": ""}, {"ingredient_id": "dill", "name": "Fresh dill", "grams": 5.0, "note": ""}, {"ingredient_id": "lemon", "name": "Lemon (with juice &amp; zest)", "grams": 60.0, "note": ""}, {"ingredient_id": "olive_oil", "name": "Extra-virgin olive oil", "grams": 20.0, "note": ""}, {"ingredient_id": "garlic", "name": "Garlic", "grams": 4.0, "note": ""}]</t>
        </is>
      </c>
      <c r="N1276" s="2" t="n">
        <v>383</v>
      </c>
      <c r="O1276" s="5" t="n">
        <v>32.4</v>
      </c>
      <c r="P1276" s="5" t="n">
        <v>24.8</v>
      </c>
      <c r="Q1276" s="5" t="n">
        <v>5.5</v>
      </c>
      <c r="R1276" s="5" t="n">
        <v>2.5</v>
      </c>
      <c r="S1276" s="5" t="n">
        <v>3</v>
      </c>
      <c r="T1276" s="2" t="n">
        <v>18</v>
      </c>
      <c r="U1276" s="2" t="inlineStr">
        <is>
          <t>low</t>
        </is>
      </c>
      <c r="V1276" s="5" t="n">
        <v>0.5</v>
      </c>
      <c r="W1276" s="2" t="inlineStr">
        <is>
          <t>low</t>
        </is>
      </c>
      <c r="X1276" s="3" t="inlineStr">
        <is>
          <t>Negligible carbohydrate (&lt;5 g net/serving): GI has little practical meaning, glycemic load is what matters.</t>
        </is>
      </c>
      <c r="Y1276" s="3" t="inlineStr">
        <is>
          <t>0% of this dish's available carbohydrate comes from ingredients with a published, measured GI; the rest uses conventional placeholders (see Ingredients sheet)</t>
        </is>
      </c>
      <c r="Z1276" s="2" t="n">
        <v>0</v>
      </c>
      <c r="AA1276" s="3" t="inlineStr">
        <is>
          <t>pescatarian, gluten-free, dairy-free, nut-free, low-carb, high-protein, one-pan</t>
        </is>
      </c>
      <c r="AB1276" s="3" t="inlineStr">
        <is>
          <t>1. Brush the salmon with mustard, oil, garlic and dill.
2. Roast at 400°F for 15 minutes with the asparagus.
3. Serve with lemon.</t>
        </is>
      </c>
      <c r="AC1276" s="4" t="inlineStr">
        <is>
          <t>["Brush the salmon with mustard, oil, garlic and dill.", "Roast at 400°F for 15 minutes with the asparagus.", "Serve with lemon."]</t>
        </is>
      </c>
    </row>
    <row r="1277" ht="96" customHeight="1">
      <c r="A1277" s="2" t="inlineStr">
        <is>
          <t>DB-1276</t>
        </is>
      </c>
      <c r="B1277" s="3" t="inlineStr">
        <is>
          <t>Seattle-Style Teriyaki Chicken Plate</t>
        </is>
      </c>
      <c r="C1277" s="4" t="inlineStr">
        <is>
          <t>Poultry</t>
        </is>
      </c>
      <c r="D1277" s="4" t="inlineStr">
        <is>
          <t>American</t>
        </is>
      </c>
      <c r="E1277" s="2" t="n">
        <v>4</v>
      </c>
      <c r="F1277" s="2" t="n">
        <v>15</v>
      </c>
      <c r="G1277" s="2" t="n">
        <v>15</v>
      </c>
      <c r="H1277" s="2" t="n">
        <v>30</v>
      </c>
      <c r="I1277" s="4" t="inlineStr">
        <is>
          <t>seattle-style-teriyaki-chicken-plate.jpg</t>
        </is>
      </c>
      <c r="J1277" s="3" t="inlineStr">
        <is>
          <t>Seattle-Style Teriyaki Chicken Plate, healthy food photography, plated, natural light</t>
        </is>
      </c>
      <c r="K1277" s="4" t="inlineStr"/>
      <c r="L1277" s="3" t="inlineStr">
        <is>
          <t>Chicken thigh, skinless boneless — 550 g (19.4 oz)
Soy sauce, low sodium — 35 g (1.2 oz)
Fresh ginger — 8 g (0.3 oz)
Garlic — 6 g (0.2 oz)
Rice vinegar, unseasoned — 15 g (0.5 oz)
Monk fruit/erythritol sweetener — 4 g (0.1 oz)
White rice, long-grain, cooked — 360 g (12.7 oz)
Green cabbage — 250 g (8.8 oz)
Extra-virgin olive oil — 10 g (0.4 oz)</t>
        </is>
      </c>
      <c r="M1277" s="4" t="inlineStr">
        <is>
          <t>[{"ingredient_id": "chicken_thigh", "name": "Chicken thigh, skinless boneless", "grams": 550.0, "note": ""}, {"ingredient_id": "soy_sauce", "name": "Soy sauce, low sodium", "grams": 35.0, "note": ""}, {"ingredient_id": "ginger", "name": "Fresh ginger", "grams": 8.0, "note": ""}, {"ingredient_id": "garlic", "name": "Garlic", "grams": 6.0, "note": ""}, {"ingredient_id": "rice_vinegar", "name": "Rice vinegar, unseasoned", "grams": 15.0, "note": ""}, {"ingredient_id": "monk_fruit_sweetener", "name": "Monk fruit/erythritol sweetener", "grams": 4.0, "note": ""}, {"ingredient_id": "white_rice", "name": "White rice, long-grain, cooked", "grams": 360.0, "note": ""}, {"ingredient_id": "cabbage", "name": "Green cabbage", "grams": 250.0, "note": ""}, {"ingredient_id": "olive_oil", "name": "Extra-virgin olive oil", "grams": 10.0, "note": ""}]</t>
        </is>
      </c>
      <c r="N1277" s="2" t="n">
        <v>329</v>
      </c>
      <c r="O1277" s="5" t="n">
        <v>31.1</v>
      </c>
      <c r="P1277" s="5" t="n">
        <v>8.5</v>
      </c>
      <c r="Q1277" s="5" t="n">
        <v>30.1</v>
      </c>
      <c r="R1277" s="5" t="n">
        <v>2.1</v>
      </c>
      <c r="S1277" s="5" t="n">
        <v>28.1</v>
      </c>
      <c r="T1277" s="2" t="n">
        <v>70</v>
      </c>
      <c r="U1277" s="2" t="inlineStr">
        <is>
          <t>high</t>
        </is>
      </c>
      <c r="V1277" s="5" t="n">
        <v>19.7</v>
      </c>
      <c r="W1277" s="2" t="inlineStr">
        <is>
          <t>medium</t>
        </is>
      </c>
      <c r="X1277" s="3" t="inlineStr">
        <is>
          <t>Medium-GI dish: keep to the stated portion and pair with the protein/fat in the recipe; GL per serving is the better guide.</t>
        </is>
      </c>
      <c r="Y1277" s="3" t="inlineStr">
        <is>
          <t>88% of this dish's available carbohydrate comes from ingredients with a published, measured GI; the rest uses conventional placeholders (see Ingredients sheet)</t>
        </is>
      </c>
      <c r="Z1277" s="2" t="n">
        <v>88</v>
      </c>
      <c r="AA1277" s="3" t="inlineStr">
        <is>
          <t>dairy-free, nut-free, high-protein</t>
        </is>
      </c>
      <c r="AB1277" s="3" t="inlineStr">
        <is>
          <t>1. Sear the chicken in oil, then glaze with soy sauce, ginger, garlic, vinegar and sweetener.
2. Steam or sauté the cabbage.
3. Serve with rice.</t>
        </is>
      </c>
      <c r="AC1277" s="4" t="inlineStr">
        <is>
          <t>["Sear the chicken in oil, then glaze with soy sauce, ginger, garlic, vinegar and sweetener.", "Steam or sauté the cabbage.", "Serve with rice."]</t>
        </is>
      </c>
    </row>
    <row r="1278" ht="96" customHeight="1">
      <c r="A1278" s="2" t="inlineStr">
        <is>
          <t>DB-1277</t>
        </is>
      </c>
      <c r="B1278" s="3" t="inlineStr">
        <is>
          <t>California Cobb Burrito Bowl</t>
        </is>
      </c>
      <c r="C1278" s="4" t="inlineStr">
        <is>
          <t>Salad</t>
        </is>
      </c>
      <c r="D1278" s="4" t="inlineStr">
        <is>
          <t>American</t>
        </is>
      </c>
      <c r="E1278" s="2" t="n">
        <v>3</v>
      </c>
      <c r="F1278" s="2" t="n">
        <v>15</v>
      </c>
      <c r="G1278" s="2" t="n">
        <v>10</v>
      </c>
      <c r="H1278" s="2" t="n">
        <v>25</v>
      </c>
      <c r="I1278" s="4" t="inlineStr">
        <is>
          <t>california-cobb-burrito-bowl.jpg</t>
        </is>
      </c>
      <c r="J1278" s="3" t="inlineStr">
        <is>
          <t>California Cobb Burrito Bowl, healthy food photography, plated, natural light</t>
        </is>
      </c>
      <c r="K1278" s="4" t="inlineStr"/>
      <c r="L1278" s="3" t="inlineStr">
        <is>
          <t>Chicken breast, skinless — 350 g (12.3 oz)
Romaine lettuce — 150 g (5.3 oz)
Avocado — 120 g (4.2 oz)
Egg, large (50 g each) — 100 g (3.5 oz)
Bacon — 30 g (1.1 oz)
Tomato — 120 g (4.2 oz)
Sweet corn kernels — 60 g (2.1 oz)
Lime juice — 20 g (0.7 oz)
Extra-virgin olive oil — 15 g (0.5 oz)</t>
        </is>
      </c>
      <c r="M1278" s="4" t="inlineStr">
        <is>
          <t>[{"ingredient_id": "chicken_breast", "name": "Chicken breast, skinless", "grams": 350.0, "note": ""}, {"ingredient_id": "romaine", "name": "Romaine lettuce", "grams": 150.0, "note": ""}, {"ingredient_id": "avocado", "name": "Avocado", "grams": 120.0, "note": ""}, {"ingredient_id": "egg", "name": "Egg, large (50 g each)", "grams": 100.0, "note": ""}, {"ingredient_id": "bacon", "name": "Bacon", "grams": 30.0, "note": ""}, {"ingredient_id": "tomato", "name": "Tomato", "grams": 120.0, "note": ""}, {"ingredient_id": "corn", "name": "Sweet corn kernels", "grams": 60.0, "note": ""}, {"ingredient_id": "lime_juice", "name": "Lime juice", "grams": 20.0, "note": ""}, {"ingredient_id": "olive_oil", "name": "Extra-virgin olive oil", "grams": 15.0, "note": ""}]</t>
        </is>
      </c>
      <c r="N1278" s="2" t="n">
        <v>385</v>
      </c>
      <c r="O1278" s="5" t="n">
        <v>36.6</v>
      </c>
      <c r="P1278" s="5" t="n">
        <v>21.9</v>
      </c>
      <c r="Q1278" s="5" t="n">
        <v>11.3</v>
      </c>
      <c r="R1278" s="5" t="n">
        <v>4.8</v>
      </c>
      <c r="S1278" s="5" t="n">
        <v>6.6</v>
      </c>
      <c r="T1278" s="2" t="n">
        <v>33</v>
      </c>
      <c r="U1278" s="2" t="inlineStr">
        <is>
          <t>low</t>
        </is>
      </c>
      <c r="V1278" s="5" t="n">
        <v>2.2</v>
      </c>
      <c r="W1278" s="2" t="inlineStr">
        <is>
          <t>low</t>
        </is>
      </c>
      <c r="X1278" s="3" t="inlineStr"/>
      <c r="Y1278" s="3" t="inlineStr">
        <is>
          <t>50% of this dish's available carbohydrate comes from ingredients with a published, measured GI; the rest uses conventional placeholders (see Ingredients sheet)</t>
        </is>
      </c>
      <c r="Z1278" s="2" t="n">
        <v>50</v>
      </c>
      <c r="AA1278" s="3" t="inlineStr">
        <is>
          <t>gluten-free, dairy-free, nut-free, low-carb, high-protein</t>
        </is>
      </c>
      <c r="AB1278" s="3" t="inlineStr">
        <is>
          <t>1. Grill and slice the chicken; boil and slice the eggs; crisp the bacon.
2. Arrange everything over the romaine.
3. Dress with lime and oil.</t>
        </is>
      </c>
      <c r="AC1278" s="4" t="inlineStr">
        <is>
          <t>["Grill and slice the chicken; boil and slice the eggs; crisp the bacon.", "Arrange everything over the romaine.", "Dress with lime and oil."]</t>
        </is>
      </c>
    </row>
    <row r="1279" ht="96" customHeight="1">
      <c r="A1279" s="2" t="inlineStr">
        <is>
          <t>DB-1278</t>
        </is>
      </c>
      <c r="B1279" s="3" t="inlineStr">
        <is>
          <t>San Diego Shrimp Ceviche Cups</t>
        </is>
      </c>
      <c r="C1279" s="4" t="inlineStr">
        <is>
          <t>Seafood</t>
        </is>
      </c>
      <c r="D1279" s="4" t="inlineStr">
        <is>
          <t>Mexican</t>
        </is>
      </c>
      <c r="E1279" s="2" t="n">
        <v>4</v>
      </c>
      <c r="F1279" s="2" t="n">
        <v>20</v>
      </c>
      <c r="G1279" s="2" t="n">
        <v>5</v>
      </c>
      <c r="H1279" s="2" t="n">
        <v>25</v>
      </c>
      <c r="I1279" s="4" t="inlineStr">
        <is>
          <t>san-diego-shrimp-ceviche-cups.jpg</t>
        </is>
      </c>
      <c r="J1279" s="3" t="inlineStr">
        <is>
          <t>San Diego Shrimp Ceviche Cups, healthy food photography, plated, natural light</t>
        </is>
      </c>
      <c r="K1279" s="4" t="inlineStr"/>
      <c r="L1279" s="3" t="inlineStr">
        <is>
          <t>Shrimp, peeled — 400 g (14.1 oz)
Lime juice — 80 g (2.8 oz)
Tomato — 150 g (5.3 oz)
Cucumber — 100 g (3.5 oz)
Red onion — 50 g (1.8 oz)
Jalapeño — 15 g (0.5 oz)
Fresh cilantro — 8 g (0.3 oz)
Avocado — 100 g (3.5 oz)</t>
        </is>
      </c>
      <c r="M1279" s="4" t="inlineStr">
        <is>
          <t>[{"ingredient_id": "shrimp", "name": "Shrimp, peeled", "grams": 400.0, "note": ""}, {"ingredient_id": "lime_juice", "name": "Lime juice", "grams": 80.0, "note": ""}, {"ingredient_id": "tomato", "name": "Tomato", "grams": 150.0, "note": ""}, {"ingredient_id": "cucumber", "name": "Cucumber", "grams": 100.0, "note": ""}, {"ingredient_id": "red_onion", "name": "Red onion", "grams": 50.0, "note": ""}, {"ingredient_id": "jalapeno", "name": "Jalapeño", "grams": 15.0, "note": ""}, {"ingredient_id": "cilantro", "name": "Fresh cilantro", "grams": 8.0, "note": ""}, {"ingredient_id": "avocado", "name": "Avocado", "grams": 100.0, "note": ""}]</t>
        </is>
      </c>
      <c r="N1279" s="2" t="n">
        <v>147</v>
      </c>
      <c r="O1279" s="5" t="n">
        <v>21.3</v>
      </c>
      <c r="P1279" s="5" t="n">
        <v>4.4</v>
      </c>
      <c r="Q1279" s="5" t="n">
        <v>7.6</v>
      </c>
      <c r="R1279" s="5" t="n">
        <v>2.7</v>
      </c>
      <c r="S1279" s="5" t="n">
        <v>4.9</v>
      </c>
      <c r="T1279" s="2" t="n">
        <v>17</v>
      </c>
      <c r="U1279" s="2" t="inlineStr">
        <is>
          <t>low</t>
        </is>
      </c>
      <c r="V1279" s="5" t="n">
        <v>0.8</v>
      </c>
      <c r="W1279" s="2" t="inlineStr">
        <is>
          <t>low</t>
        </is>
      </c>
      <c r="X1279" s="3" t="inlineStr">
        <is>
          <t>Negligible carbohydrate (&lt;5 g net/serving): GI has little practical meaning, glycemic load is what matters.</t>
        </is>
      </c>
      <c r="Y1279" s="3" t="inlineStr">
        <is>
          <t>0% of this dish's available carbohydrate comes from ingredients with a published, measured GI; the rest uses conventional placeholders (see Ingredients sheet)</t>
        </is>
      </c>
      <c r="Z1279" s="2" t="n">
        <v>0</v>
      </c>
      <c r="AA1279" s="3" t="inlineStr">
        <is>
          <t>pescatarian, gluten-free, dairy-free, nut-free, low-carb</t>
        </is>
      </c>
      <c r="AB1279" s="3" t="inlineStr">
        <is>
          <t>1. Poach the shrimp 2 minutes, chop and chill.
2. Marinate in the lime juice for 20 minutes.
3. Fold in tomato, cucumber, onion, jalapeno and cilantro.
4. Serve with avocado.</t>
        </is>
      </c>
      <c r="AC1279" s="4" t="inlineStr">
        <is>
          <t>["Poach the shrimp 2 minutes, chop and chill.", "Marinate in the lime juice for 20 minutes.", "Fold in tomato, cucumber, onion, jalapeno and cilantro.", "Serve with avocado."]</t>
        </is>
      </c>
    </row>
    <row r="1280" ht="96" customHeight="1">
      <c r="A1280" s="2" t="inlineStr">
        <is>
          <t>DB-1279</t>
        </is>
      </c>
      <c r="B1280" s="3" t="inlineStr">
        <is>
          <t>Southwest Stuffed Peppers with Turkey and Rice</t>
        </is>
      </c>
      <c r="C1280" s="4" t="inlineStr">
        <is>
          <t>Poultry</t>
        </is>
      </c>
      <c r="D1280" s="4" t="inlineStr">
        <is>
          <t>Tex-Mex</t>
        </is>
      </c>
      <c r="E1280" s="2" t="n">
        <v>4</v>
      </c>
      <c r="F1280" s="2" t="n">
        <v>15</v>
      </c>
      <c r="G1280" s="2" t="n">
        <v>40</v>
      </c>
      <c r="H1280" s="2" t="n">
        <v>55</v>
      </c>
      <c r="I1280" s="4" t="inlineStr">
        <is>
          <t>southwest-stuffed-peppers-with-turkey-and-rice.jpg</t>
        </is>
      </c>
      <c r="J1280" s="3" t="inlineStr">
        <is>
          <t>Southwest Stuffed Peppers with Turkey and Rice, healthy food photography, plated, natural light</t>
        </is>
      </c>
      <c r="K1280" s="4" t="inlineStr"/>
      <c r="L1280" s="3" t="inlineStr">
        <is>
          <t>Bell pepper — 600 g (21.2 oz)
Ground turkey 93% lean — 400 g (14.1 oz)
White rice, long-grain, cooked — 240 g (8.5 oz)
Black beans, cooked — 150 g (5.3 oz)
Diced tomatoes, canned — 200 g (7.1 oz)
Ground cumin — 3 g (0.1 oz)
Chili powder — 4 g (0.1 oz)
Cheddar cheese — 60 g (2.1 oz)</t>
        </is>
      </c>
      <c r="M1280" s="4" t="inlineStr">
        <is>
          <t>[{"ingredient_id": "bell_pepper", "name": "Bell pepper", "grams": 600.0, "note": ""}, {"ingredient_id": "ground_turkey", "name": "Ground turkey 93% lean", "grams": 400.0, "note": ""}, {"ingredient_id": "white_rice", "name": "White rice, long-grain, cooked", "grams": 240.0, "note": ""}, {"ingredient_id": "black_beans", "name": "Black beans, cooked", "grams": 150.0, "note": ""}, {"ingredient_id": "diced_tomatoes", "name": "Diced tomatoes, canned", "grams": 200.0, "note": ""}, {"ingredient_id": "cumin", "name": "Ground cumin", "grams": 3.0, "note": ""}, {"ingredient_id": "chili_powder", "name": "Chili powder", "grams": 4.0, "note": ""}, {"ingredient_id": "cheddar", "name": "Cheddar cheese", "grams": 60.0, "note": ""}]</t>
        </is>
      </c>
      <c r="N1280" s="2" t="n">
        <v>401</v>
      </c>
      <c r="O1280" s="5" t="n">
        <v>29.5</v>
      </c>
      <c r="P1280" s="5" t="n">
        <v>14.2</v>
      </c>
      <c r="Q1280" s="5" t="n">
        <v>38.2</v>
      </c>
      <c r="R1280" s="5" t="n">
        <v>7.8</v>
      </c>
      <c r="S1280" s="5" t="n">
        <v>30.4</v>
      </c>
      <c r="T1280" s="2" t="n">
        <v>53</v>
      </c>
      <c r="U1280" s="2" t="inlineStr">
        <is>
          <t>low</t>
        </is>
      </c>
      <c r="V1280" s="5" t="n">
        <v>16.1</v>
      </c>
      <c r="W1280" s="2" t="inlineStr">
        <is>
          <t>medium</t>
        </is>
      </c>
      <c r="X1280" s="3" t="inlineStr"/>
      <c r="Y1280" s="3" t="inlineStr">
        <is>
          <t>73% of this dish's available carbohydrate comes from ingredients with a published, measured GI; the rest uses conventional placeholders (see Ingredients sheet)</t>
        </is>
      </c>
      <c r="Z1280" s="2" t="n">
        <v>73</v>
      </c>
      <c r="AA1280" s="3" t="inlineStr">
        <is>
          <t>gluten-free, nut-free, high-protein, high-fiber</t>
        </is>
      </c>
      <c r="AB1280" s="3" t="inlineStr">
        <is>
          <t>1. Halve the peppers and parboil 4 minutes.
2. Brown the turkey with the spices; mix with rice, beans and tomatoes.
3. Fill the peppers, top with cheddar and bake at 375°F for 25 minutes.</t>
        </is>
      </c>
      <c r="AC1280" s="4" t="inlineStr">
        <is>
          <t>["Halve the peppers and parboil 4 minutes.", "Brown the turkey with the spices; mix with rice, beans and tomatoes.", "Fill the peppers, top with cheddar and bake at 375°F for 25 minutes."]</t>
        </is>
      </c>
    </row>
    <row r="1281" ht="96" customHeight="1">
      <c r="A1281" s="2" t="inlineStr">
        <is>
          <t>DB-1280</t>
        </is>
      </c>
      <c r="B1281" s="3" t="inlineStr">
        <is>
          <t>Egg Drop Soup</t>
        </is>
      </c>
      <c r="C1281" s="4" t="inlineStr">
        <is>
          <t>Soup &amp; Stew</t>
        </is>
      </c>
      <c r="D1281" s="4" t="inlineStr">
        <is>
          <t>Chinese-American</t>
        </is>
      </c>
      <c r="E1281" s="2" t="n">
        <v>4</v>
      </c>
      <c r="F1281" s="2" t="n">
        <v>5</v>
      </c>
      <c r="G1281" s="2" t="n">
        <v>10</v>
      </c>
      <c r="H1281" s="2" t="n">
        <v>15</v>
      </c>
      <c r="I1281" s="4" t="inlineStr">
        <is>
          <t>egg-drop-soup.jpg</t>
        </is>
      </c>
      <c r="J1281" s="3" t="inlineStr">
        <is>
          <t>Egg Drop Soup, healthy food photography, plated, natural light</t>
        </is>
      </c>
      <c r="K1281" s="4" t="inlineStr"/>
      <c r="L1281" s="3" t="inlineStr">
        <is>
          <t>Chicken broth, low sodium — 800 g (28.2 oz)
Egg, large (50 g each) — 150 g (5.3 oz)
Green onions (scallions) — 30 g (1.1 oz)
Fresh ginger — 6 g (0.2 oz)
Arrowroot starch — 8 g (0.3 oz)
Toasted sesame oil — 5 g (0.2 oz)
Black pepper — 1 g (0.0 oz)</t>
        </is>
      </c>
      <c r="M1281" s="4" t="inlineStr">
        <is>
          <t>[{"ingredient_id": "chicken_broth", "name": "Chicken broth, low sodium", "grams": 800.0, "note": ""}, {"ingredient_id": "egg", "name": "Egg, large (50 g each)", "grams": 150.0, "note": ""}, {"ingredient_id": "green_onion", "name": "Green onions (scallions)", "grams": 30.0, "note": ""}, {"ingredient_id": "ginger", "name": "Fresh ginger", "grams": 6.0, "note": ""}, {"ingredient_id": "arrowroot", "name": "Arrowroot starch", "grams": 8.0, "note": ""}, {"ingredient_id": "sesame_oil", "name": "Toasted sesame oil", "grams": 5.0, "note": ""}, {"ingredient_id": "black_pepper", "name": "Black pepper", "grams": 1.0, "note": ""}]</t>
        </is>
      </c>
      <c r="N1281" s="2" t="n">
        <v>90</v>
      </c>
      <c r="O1281" s="5" t="n">
        <v>6.9</v>
      </c>
      <c r="P1281" s="5" t="n">
        <v>5.2</v>
      </c>
      <c r="Q1281" s="5" t="n">
        <v>4</v>
      </c>
      <c r="R1281" s="5" t="n">
        <v>0.4</v>
      </c>
      <c r="S1281" s="5" t="n">
        <v>3.6</v>
      </c>
      <c r="T1281" s="2" t="n">
        <v>33</v>
      </c>
      <c r="U1281" s="2" t="inlineStr">
        <is>
          <t>low</t>
        </is>
      </c>
      <c r="V1281" s="5" t="n">
        <v>1.2</v>
      </c>
      <c r="W1281" s="2" t="inlineStr">
        <is>
          <t>low</t>
        </is>
      </c>
      <c r="X1281" s="3" t="inlineStr">
        <is>
          <t>Negligible carbohydrate (&lt;5 g net/serving): GI has little practical meaning, glycemic load is what matters.</t>
        </is>
      </c>
      <c r="Y1281" s="3" t="inlineStr">
        <is>
          <t>46% of this dish's available carbohydrate comes from ingredients with a published, measured GI; the rest uses conventional placeholders (see Ingredients sheet)</t>
        </is>
      </c>
      <c r="Z1281" s="2" t="n">
        <v>46</v>
      </c>
      <c r="AA1281" s="3" t="inlineStr">
        <is>
          <t>vegetarian, gluten-free, dairy-free, nut-free, low-carb</t>
        </is>
      </c>
      <c r="AB1281" s="3" t="inlineStr">
        <is>
          <t>1. Bring the broth and ginger to a simmer and whisk in the arrowroot slurry.
2. Pour in the beaten egg in a thin stream while stirring.
3. Finish with green onion, sesame oil and pepper.</t>
        </is>
      </c>
      <c r="AC1281" s="4" t="inlineStr">
        <is>
          <t>["Bring the broth and ginger to a simmer and whisk in the arrowroot slurry.", "Pour in the beaten egg in a thin stream while stirring.", "Finish with green onion, sesame oil and pepper."]</t>
        </is>
      </c>
    </row>
    <row r="1282" ht="96" customHeight="1">
      <c r="A1282" s="2" t="inlineStr">
        <is>
          <t>DB-1281</t>
        </is>
      </c>
      <c r="B1282" s="3" t="inlineStr">
        <is>
          <t>Hot and Sour Soup</t>
        </is>
      </c>
      <c r="C1282" s="4" t="inlineStr">
        <is>
          <t>Soup &amp; Stew</t>
        </is>
      </c>
      <c r="D1282" s="4" t="inlineStr">
        <is>
          <t>Chinese-American</t>
        </is>
      </c>
      <c r="E1282" s="2" t="n">
        <v>4</v>
      </c>
      <c r="F1282" s="2" t="n">
        <v>10</v>
      </c>
      <c r="G1282" s="2" t="n">
        <v>15</v>
      </c>
      <c r="H1282" s="2" t="n">
        <v>25</v>
      </c>
      <c r="I1282" s="4" t="inlineStr">
        <is>
          <t>hot-and-sour-soup.jpg</t>
        </is>
      </c>
      <c r="J1282" s="3" t="inlineStr">
        <is>
          <t>Hot and Sour Soup, healthy food photography, plated, natural light</t>
        </is>
      </c>
      <c r="K1282" s="4" t="inlineStr"/>
      <c r="L1282" s="3" t="inlineStr">
        <is>
          <t>Chicken broth, low sodium — 800 g (28.2 oz)
Tofu, extra-firm — 200 g (7.1 oz)
Shiitake mushrooms — 100 g (3.5 oz)
Egg, large (50 g each) — 100 g (3.5 oz)
Rice vinegar, unseasoned — 40 g (1.4 oz)
Soy sauce, low sodium — 25 g (0.9 oz)
Black pepper — 2 g (0.1 oz)
Arrowroot starch — 8 g (0.3 oz)
Green onions (scallions) — 25 g (0.9 oz)</t>
        </is>
      </c>
      <c r="M1282" s="4" t="inlineStr">
        <is>
          <t>[{"ingredient_id": "chicken_broth", "name": "Chicken broth, low sodium", "grams": 800.0, "note": ""}, {"ingredient_id": "tofu", "name": "Tofu, extra-firm", "grams": 200.0, "note": ""}, {"ingredient_id": "shiitake", "name": "Shiitake mushrooms", "grams": 100.0, "note": ""}, {"ingredient_id": "egg", "name": "Egg, large (50 g each)", "grams": 100.0, "note": ""}, {"ingredient_id": "rice_vinegar", "name": "Rice vinegar, unseasoned", "grams": 40.0, "note": ""}, {"ingredient_id": "soy_sauce", "name": "Soy sauce, low sodium", "grams": 25.0, "note": ""}, {"ingredient_id": "black_pepper", "name": "Black pepper", "grams": 2.0, "note": ""}, {"ingredient_id": "arrowroot", "name": "Arrowroot starch", "grams": 8.0, "note": ""}, {"ingredient_id": "green_onion", "name": "Green onions (scallions)", "grams": 25.0, "note": ""}]</t>
        </is>
      </c>
      <c r="N1282" s="2" t="n">
        <v>146</v>
      </c>
      <c r="O1282" s="5" t="n">
        <v>14.9</v>
      </c>
      <c r="P1282" s="5" t="n">
        <v>7.4</v>
      </c>
      <c r="Q1282" s="5" t="n">
        <v>7.3</v>
      </c>
      <c r="R1282" s="5" t="n">
        <v>2</v>
      </c>
      <c r="S1282" s="5" t="n">
        <v>5.2</v>
      </c>
      <c r="T1282" s="2" t="n">
        <v>28</v>
      </c>
      <c r="U1282" s="2" t="inlineStr">
        <is>
          <t>low</t>
        </is>
      </c>
      <c r="V1282" s="5" t="n">
        <v>1.5</v>
      </c>
      <c r="W1282" s="2" t="inlineStr">
        <is>
          <t>low</t>
        </is>
      </c>
      <c r="X1282" s="3" t="inlineStr"/>
      <c r="Y1282" s="3" t="inlineStr">
        <is>
          <t>32% of this dish's available carbohydrate comes from ingredients with a published, measured GI; the rest uses conventional placeholders (see Ingredients sheet)</t>
        </is>
      </c>
      <c r="Z1282" s="2" t="n">
        <v>32</v>
      </c>
      <c r="AA1282" s="3" t="inlineStr">
        <is>
          <t>vegetarian, dairy-free, nut-free, low-carb</t>
        </is>
      </c>
      <c r="AB1282" s="3" t="inlineStr">
        <is>
          <t>1. Simmer the broth with the mushrooms, soy sauce and pepper.
2. Add the tofu and arrowroot slurry.
3. Stir in the beaten egg and finish with vinegar and green onion.</t>
        </is>
      </c>
      <c r="AC1282" s="4" t="inlineStr">
        <is>
          <t>["Simmer the broth with the mushrooms, soy sauce and pepper.", "Add the tofu and arrowroot slurry.", "Stir in the beaten egg and finish with vinegar and green onion."]</t>
        </is>
      </c>
    </row>
    <row r="1283" ht="96" customHeight="1">
      <c r="A1283" s="2" t="inlineStr">
        <is>
          <t>DB-1282</t>
        </is>
      </c>
      <c r="B1283" s="3" t="inlineStr">
        <is>
          <t>Baked General Tso-Style Chicken</t>
        </is>
      </c>
      <c r="C1283" s="4" t="inlineStr">
        <is>
          <t>Poultry</t>
        </is>
      </c>
      <c r="D1283" s="4" t="inlineStr">
        <is>
          <t>Chinese-American</t>
        </is>
      </c>
      <c r="E1283" s="2" t="n">
        <v>4</v>
      </c>
      <c r="F1283" s="2" t="n">
        <v>15</v>
      </c>
      <c r="G1283" s="2" t="n">
        <v>25</v>
      </c>
      <c r="H1283" s="2" t="n">
        <v>40</v>
      </c>
      <c r="I1283" s="4" t="inlineStr">
        <is>
          <t>baked-general-tso-style-chicken.jpg</t>
        </is>
      </c>
      <c r="J1283" s="3" t="inlineStr">
        <is>
          <t>Baked General Tso-Style Chicken, healthy food photography, plated, natural light</t>
        </is>
      </c>
      <c r="K1283" s="4" t="inlineStr"/>
      <c r="L1283" s="3" t="inlineStr">
        <is>
          <t>Chicken breast, skinless — 560 g (19.8 oz)
Egg, large (50 g each) — 50 g (1.8 oz)
Arrowroot starch — 25 g (0.9 oz)
Soy sauce, low sodium — 35 g (1.2 oz)
Rice vinegar, unseasoned — 20 g (0.7 oz)
Garlic — 8 g (0.3 oz)
Fresh ginger — 8 g (0.3 oz)
Red pepper flakes — 2 g (0.1 oz)
Monk fruit/erythritol sweetener — 6 g (0.2 oz)
Broccoli — 300 g (10.6 oz)
Extra-virgin olive oil — 20 g (0.7 oz)</t>
        </is>
      </c>
      <c r="M1283" s="4" t="inlineStr">
        <is>
          <t>[{"ingredient_id": "chicken_breast", "name": "Chicken breast, skinless", "grams": 560.0, "note": ""}, {"ingredient_id": "egg", "name": "Egg, large (50 g each)", "grams": 50.0, "note": ""}, {"ingredient_id": "arrowroot", "name": "Arrowroot starch", "grams": 25.0, "note": ""}, {"ingredient_id": "soy_sauce", "name": "Soy sauce, low sodium", "grams": 35.0, "note": ""}, {"ingredient_id": "rice_vinegar", "name": "Rice vinegar, unseasoned", "grams": 20.0, "note": ""}, {"ingredient_id": "garlic", "name": "Garlic", "grams": 8.0, "note": ""}, {"ingredient_id": "ginger", "name": "Fresh ginger", "grams": 8.0, "note": ""}, {"ingredient_id": "red_pepper_flakes", "name": "Red pepper flakes", "grams": 2.0, "note": ""}, {"ingredient_id": "monk_fruit_sweetener", "name": "Monk fruit/erythritol sweetener", "grams": 6.0, "note": ""}, {"ingredient_id": "broccoli", "name": "Broccoli", "grams": 300.0, "note": ""}, {"ingredient_id": "olive_oil", "name": "Extra-virgin olive oil", "grams": 20.0, "note": ""}]</t>
        </is>
      </c>
      <c r="N1283" s="2" t="n">
        <v>290</v>
      </c>
      <c r="O1283" s="5" t="n">
        <v>36.1</v>
      </c>
      <c r="P1283" s="5" t="n">
        <v>10.2</v>
      </c>
      <c r="Q1283" s="5" t="n">
        <v>12.3</v>
      </c>
      <c r="R1283" s="5" t="n">
        <v>2.4</v>
      </c>
      <c r="S1283" s="5" t="n">
        <v>9.9</v>
      </c>
      <c r="T1283" s="2" t="n">
        <v>43</v>
      </c>
      <c r="U1283" s="2" t="inlineStr">
        <is>
          <t>low</t>
        </is>
      </c>
      <c r="V1283" s="5" t="n">
        <v>4.2</v>
      </c>
      <c r="W1283" s="2" t="inlineStr">
        <is>
          <t>low</t>
        </is>
      </c>
      <c r="X1283" s="3" t="inlineStr"/>
      <c r="Y1283" s="3" t="inlineStr">
        <is>
          <t>54% of this dish's available carbohydrate comes from ingredients with a published, measured GI; the rest uses conventional placeholders (see Ingredients sheet)</t>
        </is>
      </c>
      <c r="Z1283" s="2" t="n">
        <v>54</v>
      </c>
      <c r="AA1283" s="3" t="inlineStr">
        <is>
          <t>dairy-free, nut-free, low-carb, high-protein</t>
        </is>
      </c>
      <c r="AB1283" s="3" t="inlineStr">
        <is>
          <t>1. Toss the cubed chicken in egg and arrowroot and bake on an oiled tray at 425°F for 15 minutes.
2. Simmer the soy sauce, vinegar, garlic, ginger, pepper flakes and sweetener for 3 minutes.
3. Toss with the chicken and steamed broccoli.</t>
        </is>
      </c>
      <c r="AC1283" s="4" t="inlineStr">
        <is>
          <t>["Toss the cubed chicken in egg and arrowroot and bake on an oiled tray at 425°F for 15 minutes.", "Simmer the soy sauce, vinegar, garlic, ginger, pepper flakes and sweetener for 3 minutes.", "Toss with the chicken and steamed broccoli."]</t>
        </is>
      </c>
    </row>
    <row r="1284" ht="96" customHeight="1">
      <c r="A1284" s="2" t="inlineStr">
        <is>
          <t>DB-1283</t>
        </is>
      </c>
      <c r="B1284" s="3" t="inlineStr">
        <is>
          <t>Orange Chicken with Fresh Juice</t>
        </is>
      </c>
      <c r="C1284" s="4" t="inlineStr">
        <is>
          <t>Poultry</t>
        </is>
      </c>
      <c r="D1284" s="4" t="inlineStr">
        <is>
          <t>Chinese-American</t>
        </is>
      </c>
      <c r="E1284" s="2" t="n">
        <v>4</v>
      </c>
      <c r="F1284" s="2" t="n">
        <v>15</v>
      </c>
      <c r="G1284" s="2" t="n">
        <v>20</v>
      </c>
      <c r="H1284" s="2" t="n">
        <v>35</v>
      </c>
      <c r="I1284" s="4" t="inlineStr">
        <is>
          <t>orange-chicken-with-fresh-juice.jpg</t>
        </is>
      </c>
      <c r="J1284" s="3" t="inlineStr">
        <is>
          <t>Orange Chicken with Fresh Juice, healthy food photography, plated, natural light</t>
        </is>
      </c>
      <c r="K1284" s="4" t="inlineStr"/>
      <c r="L1284" s="3" t="inlineStr">
        <is>
          <t>Chicken breast, skinless — 560 g (19.8 oz)
Orange — 200 g (7.1 oz)
Soy sauce, low sodium — 30 g (1.1 oz)
Rice vinegar, unseasoned — 15 g (0.5 oz)
Garlic — 6 g (0.2 oz)
Fresh ginger — 6 g (0.2 oz)
Arrowroot starch — 20 g (0.7 oz)
Extra-virgin olive oil — 20 g (0.7 oz)
Green onions (scallions) — 20 g (0.7 oz)
Broccoli — 250 g (8.8 oz)</t>
        </is>
      </c>
      <c r="M1284" s="4" t="inlineStr">
        <is>
          <t>[{"ingredient_id": "chicken_breast", "name": "Chicken breast, skinless", "grams": 560.0, "note": ""}, {"ingredient_id": "orange", "name": "Orange", "grams": 200.0, "note": ""}, {"ingredient_id": "soy_sauce", "name": "Soy sauce, low sodium", "grams": 30.0, "note": ""}, {"ingredient_id": "rice_vinegar", "name": "Rice vinegar, unseasoned", "grams": 15.0, "note": ""}, {"ingredient_id": "garlic", "name": "Garlic", "grams": 6.0, "note": ""}, {"ingredient_id": "ginger", "name": "Fresh ginger", "grams": 6.0, "note": ""}, {"ingredient_id": "arrowroot", "name": "Arrowroot starch", "grams": 20.0, "note": ""}, {"ingredient_id": "olive_oil", "name": "Extra-virgin olive oil", "grams": 20.0, "note": ""}, {"ingredient_id": "green_onion", "name": "Green onions (scallions)", "grams": 20.0, "note": ""}, {"ingredient_id": "broccoli", "name": "Broccoli", "grams": 250.0, "note": ""}]</t>
        </is>
      </c>
      <c r="N1284" s="2" t="n">
        <v>284</v>
      </c>
      <c r="O1284" s="5" t="n">
        <v>34.5</v>
      </c>
      <c r="P1284" s="5" t="n">
        <v>9</v>
      </c>
      <c r="Q1284" s="5" t="n">
        <v>16</v>
      </c>
      <c r="R1284" s="5" t="n">
        <v>3.2</v>
      </c>
      <c r="S1284" s="5" t="n">
        <v>12.8</v>
      </c>
      <c r="T1284" s="2" t="n">
        <v>43</v>
      </c>
      <c r="U1284" s="2" t="inlineStr">
        <is>
          <t>low</t>
        </is>
      </c>
      <c r="V1284" s="5" t="n">
        <v>5.5</v>
      </c>
      <c r="W1284" s="2" t="inlineStr">
        <is>
          <t>low</t>
        </is>
      </c>
      <c r="X1284" s="3" t="inlineStr"/>
      <c r="Y1284" s="3" t="inlineStr">
        <is>
          <t>71% of this dish's available carbohydrate comes from ingredients with a published, measured GI; the rest uses conventional placeholders (see Ingredients sheet)</t>
        </is>
      </c>
      <c r="Z1284" s="2" t="n">
        <v>71</v>
      </c>
      <c r="AA1284" s="3" t="inlineStr">
        <is>
          <t>dairy-free, nut-free, low-carb, high-protein</t>
        </is>
      </c>
      <c r="AB1284" s="3" t="inlineStr">
        <is>
          <t>1. Toss the cubed chicken in arrowroot and sear in oil until golden.
2. Simmer the orange juice, soy sauce, vinegar, garlic and ginger to a glaze.
3. Coat the chicken and serve with broccoli and green onion.</t>
        </is>
      </c>
      <c r="AC1284" s="4" t="inlineStr">
        <is>
          <t>["Toss the cubed chicken in arrowroot and sear in oil until golden.", "Simmer the orange juice, soy sauce, vinegar, garlic and ginger to a glaze.", "Coat the chicken and serve with broccoli and green onion."]</t>
        </is>
      </c>
    </row>
    <row r="1285" ht="96" customHeight="1">
      <c r="A1285" s="2" t="inlineStr">
        <is>
          <t>DB-1284</t>
        </is>
      </c>
      <c r="B1285" s="3" t="inlineStr">
        <is>
          <t>Kung Pao Chicken with Peanuts</t>
        </is>
      </c>
      <c r="C1285" s="4" t="inlineStr">
        <is>
          <t>Poultry</t>
        </is>
      </c>
      <c r="D1285" s="4" t="inlineStr">
        <is>
          <t>Chinese-American</t>
        </is>
      </c>
      <c r="E1285" s="2" t="n">
        <v>4</v>
      </c>
      <c r="F1285" s="2" t="n">
        <v>15</v>
      </c>
      <c r="G1285" s="2" t="n">
        <v>12</v>
      </c>
      <c r="H1285" s="2" t="n">
        <v>27</v>
      </c>
      <c r="I1285" s="4" t="inlineStr">
        <is>
          <t>kung-pao-chicken-with-peanuts.jpg</t>
        </is>
      </c>
      <c r="J1285" s="3" t="inlineStr">
        <is>
          <t>Kung Pao Chicken with Peanuts, healthy food photography, plated, natural light</t>
        </is>
      </c>
      <c r="K1285" s="4" t="inlineStr"/>
      <c r="L1285" s="3" t="inlineStr">
        <is>
          <t>Chicken breast, skinless — 500 g (17.6 oz)
Peanuts, dry roasted — 60 g (2.1 oz)
Bell pepper — 200 g (7.1 oz)
Zucchini — 150 g (5.3 oz)
Soy sauce, low sodium — 30 g (1.1 oz)
Rice vinegar, unseasoned — 15 g (0.5 oz)
Garlic — 8 g (0.3 oz)
Fresh ginger — 6 g (0.2 oz)
Red pepper flakes — 2 g (0.1 oz)
Arrowroot starch — 10 g (0.4 oz)
Toasted sesame oil — 8 g (0.3 oz)
Extra-virgin olive oil — 15 g (0.5 oz)</t>
        </is>
      </c>
      <c r="M1285" s="4" t="inlineStr">
        <is>
          <t>[{"ingredient_id": "chicken_breast", "name": "Chicken breast, skinless", "grams": 500.0, "note": ""}, {"ingredient_id": "peanuts", "name": "Peanuts, dry roasted", "grams": 60.0, "note": ""}, {"ingredient_id": "bell_pepper", "name": "Bell pepper", "grams": 200.0, "note": ""}, {"ingredient_id": "zucchini", "name": "Zucchini", "grams": 150.0, "note": ""}, {"ingredient_id": "soy_sauce", "name": "Soy sauce, low sodium", "grams": 30.0, "note": ""}, {"ingredient_id": "rice_vinegar", "name": "Rice vinegar, unseasoned", "grams": 15.0, "note": ""}, {"ingredient_id": "garlic", "name": "Garlic", "grams": 8.0, "note": ""}, {"ingredient_id": "ginger", "name": "Fresh ginger", "grams": 6.0, "note": ""}, {"ingredient_id": "red_pepper_flakes", "name": "Red pepper flakes", "grams": 2.0, "note": ""}, {"ingredient_id": "arrowroot", "name": "Arrowroot starch", "grams": 10.0, "note": ""}, {"ingredient_id": "sesame_oil", "name": "Toasted sesame oil", "grams": 8.0, "note": ""}, {"ingredient_id": "olive_oil", "name": "Extra-virgin olive oil", "grams": 15.0, "note": ""}]</t>
        </is>
      </c>
      <c r="N1285" s="2" t="n">
        <v>327</v>
      </c>
      <c r="O1285" s="5" t="n">
        <v>33.8</v>
      </c>
      <c r="P1285" s="5" t="n">
        <v>16.7</v>
      </c>
      <c r="Q1285" s="5" t="n">
        <v>10.4</v>
      </c>
      <c r="R1285" s="5" t="n">
        <v>3.1</v>
      </c>
      <c r="S1285" s="5" t="n">
        <v>7.3</v>
      </c>
      <c r="T1285" s="2" t="n">
        <v>31</v>
      </c>
      <c r="U1285" s="2" t="inlineStr">
        <is>
          <t>low</t>
        </is>
      </c>
      <c r="V1285" s="5" t="n">
        <v>2.3</v>
      </c>
      <c r="W1285" s="2" t="inlineStr">
        <is>
          <t>low</t>
        </is>
      </c>
      <c r="X1285" s="3" t="inlineStr"/>
      <c r="Y1285" s="3" t="inlineStr">
        <is>
          <t>44% of this dish's available carbohydrate comes from ingredients with a published, measured GI; the rest uses conventional placeholders (see Ingredients sheet)</t>
        </is>
      </c>
      <c r="Z1285" s="2" t="n">
        <v>44</v>
      </c>
      <c r="AA1285" s="3" t="inlineStr">
        <is>
          <t>dairy-free, low-carb, high-protein</t>
        </is>
      </c>
      <c r="AB1285" s="3" t="inlineStr">
        <is>
          <t>1. Sear the chicken in oil.
2. Add the pepper, zucchini, garlic, ginger and pepper flakes.
3. Stir in the soy sauce, vinegar and arrowroot slurry and finish with peanuts and sesame oil.</t>
        </is>
      </c>
      <c r="AC1285" s="4" t="inlineStr">
        <is>
          <t>["Sear the chicken in oil.", "Add the pepper, zucchini, garlic, ginger and pepper flakes.", "Stir in the soy sauce, vinegar and arrowroot slurry and finish with peanuts and sesame oil."]</t>
        </is>
      </c>
    </row>
    <row r="1286" ht="96" customHeight="1">
      <c r="A1286" s="2" t="inlineStr">
        <is>
          <t>DB-1285</t>
        </is>
      </c>
      <c r="B1286" s="3" t="inlineStr">
        <is>
          <t>Sweet and Sour Chicken with Pineapple</t>
        </is>
      </c>
      <c r="C1286" s="4" t="inlineStr">
        <is>
          <t>Poultry</t>
        </is>
      </c>
      <c r="D1286" s="4" t="inlineStr">
        <is>
          <t>Chinese-American</t>
        </is>
      </c>
      <c r="E1286" s="2" t="n">
        <v>4</v>
      </c>
      <c r="F1286" s="2" t="n">
        <v>15</v>
      </c>
      <c r="G1286" s="2" t="n">
        <v>20</v>
      </c>
      <c r="H1286" s="2" t="n">
        <v>35</v>
      </c>
      <c r="I1286" s="4" t="inlineStr">
        <is>
          <t>sweet-and-sour-chicken-with-pineapple.jpg</t>
        </is>
      </c>
      <c r="J1286" s="3" t="inlineStr">
        <is>
          <t>Sweet and Sour Chicken with Pineapple, healthy food photography, plated, natural light</t>
        </is>
      </c>
      <c r="K1286" s="4" t="inlineStr"/>
      <c r="L1286" s="3" t="inlineStr">
        <is>
          <t>Chicken breast, skinless — 500 g (17.6 oz)
Pineapple — 150 g (5.3 oz)
Bell pepper — 200 g (7.1 oz)
Yellow onion — 100 g (3.5 oz)
Tomato paste — 30 g (1.1 oz)
Rice vinegar, unseasoned — 30 g (1.1 oz)
Arrowroot starch — 15 g (0.5 oz)
Monk fruit/erythritol sweetener — 6 g (0.2 oz)
White rice, long-grain, cooked — 300 g (10.6 oz)
Extra-virgin olive oil — 15 g (0.5 oz)</t>
        </is>
      </c>
      <c r="M1286" s="4" t="inlineStr">
        <is>
          <t>[{"ingredient_id": "chicken_breast", "name": "Chicken breast, skinless", "grams": 500.0, "note": ""}, {"ingredient_id": "pineapple", "name": "Pineapple", "grams": 150.0, "note": ""}, {"ingredient_id": "bell_pepper", "name": "Bell pepper", "grams": 200.0, "note": ""}, {"ingredient_id": "onion", "name": "Yellow onion", "grams": 100.0, "note": ""}, {"ingredient_id": "tomato_paste", "name": "Tomato paste", "grams": 30.0, "note": ""}, {"ingredient_id": "rice_vinegar", "name": "Rice vinegar, unseasoned", "grams": 30.0, "note": ""}, {"ingredient_id": "arrowroot", "name": "Arrowroot starch", "grams": 15.0, "note": ""}, {"ingredient_id": "monk_fruit_sweetener", "name": "Monk fruit/erythritol sweetener", "grams": 6.0, "note": ""}, {"ingredient_id": "white_rice", "name": "White rice, long-grain, cooked", "grams": 300.0, "note": ""}, {"ingredient_id": "olive_oil", "name": "Extra-virgin olive oil", "grams": 15.0, "note": ""}]</t>
        </is>
      </c>
      <c r="N1286" s="2" t="n">
        <v>345</v>
      </c>
      <c r="O1286" s="5" t="n">
        <v>31.4</v>
      </c>
      <c r="P1286" s="5" t="n">
        <v>7.5</v>
      </c>
      <c r="Q1286" s="5" t="n">
        <v>36</v>
      </c>
      <c r="R1286" s="5" t="n">
        <v>2.7</v>
      </c>
      <c r="S1286" s="5" t="n">
        <v>33.2</v>
      </c>
      <c r="T1286" s="2" t="n">
        <v>66</v>
      </c>
      <c r="U1286" s="2" t="inlineStr">
        <is>
          <t>medium</t>
        </is>
      </c>
      <c r="V1286" s="5" t="n">
        <v>21.9</v>
      </c>
      <c r="W1286" s="2" t="inlineStr">
        <is>
          <t>high</t>
        </is>
      </c>
      <c r="X1286" s="3" t="inlineStr">
        <is>
          <t>Medium-GI dish: keep to the stated portion and pair with the protein/fat in the recipe; GL per serving is the better guide.</t>
        </is>
      </c>
      <c r="Y1286" s="3" t="inlineStr">
        <is>
          <t>85% of this dish's available carbohydrate comes from ingredients with a published, measured GI; the rest uses conventional placeholders (see Ingredients sheet)</t>
        </is>
      </c>
      <c r="Z1286" s="2" t="n">
        <v>85</v>
      </c>
      <c r="AA1286" s="3" t="inlineStr">
        <is>
          <t>gluten-free, dairy-free, nut-free, high-protein</t>
        </is>
      </c>
      <c r="AB1286" s="3" t="inlineStr">
        <is>
          <t>1. Sear the cubed chicken in oil.
2. Add the pepper and onion, then a sauce of paste, vinegar and sweetener thickened with arrowroot.
3. Fold in the pineapple and serve over rice.</t>
        </is>
      </c>
      <c r="AC1286" s="4" t="inlineStr">
        <is>
          <t>["Sear the cubed chicken in oil.", "Add the pepper and onion, then a sauce of paste, vinegar and sweetener thickened with arrowroot.", "Fold in the pineapple and serve over rice."]</t>
        </is>
      </c>
    </row>
    <row r="1287" ht="96" customHeight="1">
      <c r="A1287" s="2" t="inlineStr">
        <is>
          <t>DB-1286</t>
        </is>
      </c>
      <c r="B1287" s="3" t="inlineStr">
        <is>
          <t>Chicken Lo Mein with Vegetables</t>
        </is>
      </c>
      <c r="C1287" s="4" t="inlineStr">
        <is>
          <t>Poultry</t>
        </is>
      </c>
      <c r="D1287" s="4" t="inlineStr">
        <is>
          <t>Chinese-American</t>
        </is>
      </c>
      <c r="E1287" s="2" t="n">
        <v>4</v>
      </c>
      <c r="F1287" s="2" t="n">
        <v>15</v>
      </c>
      <c r="G1287" s="2" t="n">
        <v>12</v>
      </c>
      <c r="H1287" s="2" t="n">
        <v>27</v>
      </c>
      <c r="I1287" s="4" t="inlineStr">
        <is>
          <t>chicken-lo-mein-with-vegetables.jpg</t>
        </is>
      </c>
      <c r="J1287" s="3" t="inlineStr">
        <is>
          <t>Chicken Lo Mein with Vegetables, healthy food photography, plated, natural light</t>
        </is>
      </c>
      <c r="K1287" s="4" t="inlineStr"/>
      <c r="L1287" s="3" t="inlineStr">
        <is>
          <t>Egg noodles, cooked — 450 g (15.9 oz)
Chicken breast, skinless — 350 g (12.3 oz)
Green cabbage — 200 g (7.1 oz)
Carrot — 100 g (3.5 oz)
Mung bean sprouts — 100 g (3.5 oz)
Soy sauce, low sodium — 35 g (1.2 oz)
Toasted sesame oil — 10 g (0.4 oz)
Garlic — 6 g (0.2 oz)
Fresh ginger — 6 g (0.2 oz)
Green onions (scallions) — 20 g (0.7 oz)
Extra-virgin olive oil — 15 g (0.5 oz)</t>
        </is>
      </c>
      <c r="M1287" s="4" t="inlineStr">
        <is>
          <t>[{"ingredient_id": "egg_noodles", "name": "Egg noodles, cooked", "grams": 450.0, "note": ""}, {"ingredient_id": "chicken_breast", "name": "Chicken breast, skinless", "grams": 350.0,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"green_onion", "name": "Green onions (scallions)", "grams": 20.0, "note": ""}, {"ingredient_id": "olive_oil", "name": "Extra-virgin olive oil", "grams": 15.0, "note": ""}]</t>
        </is>
      </c>
      <c r="N1287" s="2" t="n">
        <v>354</v>
      </c>
      <c r="O1287" s="5" t="n">
        <v>27.3</v>
      </c>
      <c r="P1287" s="5" t="n">
        <v>11</v>
      </c>
      <c r="Q1287" s="5" t="n">
        <v>36.5</v>
      </c>
      <c r="R1287" s="5" t="n">
        <v>4</v>
      </c>
      <c r="S1287" s="5" t="n">
        <v>32.5</v>
      </c>
      <c r="T1287" s="2" t="n">
        <v>54</v>
      </c>
      <c r="U1287" s="2" t="inlineStr">
        <is>
          <t>low</t>
        </is>
      </c>
      <c r="V1287" s="5" t="n">
        <v>17.5</v>
      </c>
      <c r="W1287" s="2" t="inlineStr">
        <is>
          <t>medium</t>
        </is>
      </c>
      <c r="X1287" s="3" t="inlineStr"/>
      <c r="Y1287" s="3" t="inlineStr">
        <is>
          <t>88% of this dish's available carbohydrate comes from ingredients with a published, measured GI; the rest uses conventional placeholders (see Ingredients sheet)</t>
        </is>
      </c>
      <c r="Z1287" s="2" t="n">
        <v>88</v>
      </c>
      <c r="AA1287" s="3" t="inlineStr">
        <is>
          <t>dairy-free, nut-free, high-protein</t>
        </is>
      </c>
      <c r="AB1287" s="3" t="inlineStr">
        <is>
          <t>1. Boil the noodles and drain.
2. Stir-fry the sliced chicken in oil, add the vegetables, garlic and ginger.
3. Toss with the noodles, soy sauce and sesame oil.</t>
        </is>
      </c>
      <c r="AC1287" s="4" t="inlineStr">
        <is>
          <t>["Boil the noodles and drain.", "Stir-fry the sliced chicken in oil, add the vegetables, garlic and ginger.", "Toss with the noodles, soy sauce and sesame oil."]</t>
        </is>
      </c>
    </row>
    <row r="1288" ht="96" customHeight="1">
      <c r="A1288" s="2" t="inlineStr">
        <is>
          <t>DB-1287</t>
        </is>
      </c>
      <c r="B1288" s="3" t="inlineStr">
        <is>
          <t>Shrimp with Snow Peas and Garlic Sauce</t>
        </is>
      </c>
      <c r="C1288" s="4" t="inlineStr">
        <is>
          <t>Seafood</t>
        </is>
      </c>
      <c r="D1288" s="4" t="inlineStr">
        <is>
          <t>Chinese-American</t>
        </is>
      </c>
      <c r="E1288" s="2" t="n">
        <v>4</v>
      </c>
      <c r="F1288" s="2" t="n">
        <v>10</v>
      </c>
      <c r="G1288" s="2" t="n">
        <v>10</v>
      </c>
      <c r="H1288" s="2" t="n">
        <v>20</v>
      </c>
      <c r="I1288" s="4" t="inlineStr">
        <is>
          <t>shrimp-with-snow-peas-and-garlic-sauce.jpg</t>
        </is>
      </c>
      <c r="J1288" s="3" t="inlineStr">
        <is>
          <t>Shrimp with Snow Peas and Garlic Sauce, healthy food photography, plated, natural light</t>
        </is>
      </c>
      <c r="K1288" s="4" t="inlineStr"/>
      <c r="L1288" s="3" t="inlineStr">
        <is>
          <t>Shrimp, peeled — 450 g (15.9 oz)
Sugar snap peas — 250 g (8.8 oz)
Mushrooms (cremini/white) — 150 g (5.3 oz)
Garlic — 12 g (0.4 oz)
Soy sauce, low sodium — 25 g (0.9 oz)
Rice vinegar, unseasoned — 10 g (0.4 oz)
Arrowroot starch — 8 g (0.3 oz)
Toasted sesame oil — 8 g (0.3 oz)
Extra-virgin olive oil — 15 g (0.5 oz)</t>
        </is>
      </c>
      <c r="M1288" s="4" t="inlineStr">
        <is>
          <t>[{"ingredient_id": "shrimp", "name": "Shrimp, peeled", "grams": 450.0, "note": ""}, {"ingredient_id": "snap_peas", "name": "Sugar snap peas", "grams": 250.0, "note": ""}, {"ingredient_id": "mushrooms", "name": "Mushrooms (cremini/white)", "grams": 150.0, "note": ""}, {"ingredient_id": "garlic", "name": "Garlic", "grams": 12.0, "note": ""}, {"ingredient_id": "soy_sauce", "name": "Soy sauce, low sodium", "grams": 25.0, "note": ""}, {"ingredient_id": "rice_vinegar", "name": "Rice vinegar, unseasoned", "grams": 10.0, "note": ""}, {"ingredient_id": "arrowroot", "name": "Arrowroot starch", "grams": 8.0, "note": ""}, {"ingredient_id": "sesame_oil", "name": "Toasted sesame oil", "grams": 8.0, "note": ""}, {"ingredient_id": "olive_oil", "name": "Extra-virgin olive oil", "grams": 15.0, "note": ""}]</t>
        </is>
      </c>
      <c r="N1288" s="2" t="n">
        <v>196</v>
      </c>
      <c r="O1288" s="5" t="n">
        <v>26.1</v>
      </c>
      <c r="P1288" s="5" t="n">
        <v>6.6</v>
      </c>
      <c r="Q1288" s="5" t="n">
        <v>9</v>
      </c>
      <c r="R1288" s="5" t="n">
        <v>2.2</v>
      </c>
      <c r="S1288" s="5" t="n">
        <v>6.8</v>
      </c>
      <c r="T1288" s="2" t="n">
        <v>30</v>
      </c>
      <c r="U1288" s="2" t="inlineStr">
        <is>
          <t>low</t>
        </is>
      </c>
      <c r="V1288" s="5" t="n">
        <v>2</v>
      </c>
      <c r="W1288" s="2" t="inlineStr">
        <is>
          <t>low</t>
        </is>
      </c>
      <c r="X1288" s="3" t="inlineStr"/>
      <c r="Y1288" s="3" t="inlineStr">
        <is>
          <t>25% of this dish's available carbohydrate comes from ingredients with a published, measured GI; the rest uses conventional placeholders (see Ingredients sheet)</t>
        </is>
      </c>
      <c r="Z1288" s="2" t="n">
        <v>25</v>
      </c>
      <c r="AA1288" s="3" t="inlineStr">
        <is>
          <t>pescatarian, dairy-free, nut-free, low-carb, high-protein</t>
        </is>
      </c>
      <c r="AB1288" s="3" t="inlineStr">
        <is>
          <t>1. Sear the shrimp in oil and set aside.
2. Stir-fry the peas, mushrooms and garlic.
3. Add the soy sauce, vinegar and arrowroot slurry and return the shrimp.</t>
        </is>
      </c>
      <c r="AC1288" s="4" t="inlineStr">
        <is>
          <t>["Sear the shrimp in oil and set aside.", "Stir-fry the peas, mushrooms and garlic.", "Add the soy sauce, vinegar and arrowroot slurry and return the shrimp."]</t>
        </is>
      </c>
    </row>
    <row r="1289" ht="96" customHeight="1">
      <c r="A1289" s="2" t="inlineStr">
        <is>
          <t>DB-1288</t>
        </is>
      </c>
      <c r="B1289" s="3" t="inlineStr">
        <is>
          <t>Mongolian-Style Beef with Scallions</t>
        </is>
      </c>
      <c r="C1289" s="4" t="inlineStr">
        <is>
          <t>Beef, Pork &amp; Lamb</t>
        </is>
      </c>
      <c r="D1289" s="4" t="inlineStr">
        <is>
          <t>Chinese-American</t>
        </is>
      </c>
      <c r="E1289" s="2" t="n">
        <v>4</v>
      </c>
      <c r="F1289" s="2" t="n">
        <v>15</v>
      </c>
      <c r="G1289" s="2" t="n">
        <v>10</v>
      </c>
      <c r="H1289" s="2" t="n">
        <v>25</v>
      </c>
      <c r="I1289" s="4" t="inlineStr">
        <is>
          <t>mongolian-style-beef-with-scallions.jpg</t>
        </is>
      </c>
      <c r="J1289" s="3" t="inlineStr">
        <is>
          <t>Mongolian-Style Beef with Scallions, healthy food photography, plated, natural light</t>
        </is>
      </c>
      <c r="K1289" s="4" t="inlineStr"/>
      <c r="L1289" s="3" t="inlineStr">
        <is>
          <t>Flank steak — 500 g (17.6 oz)
Green onions (scallions) — 100 g (3.5 oz)
Soy sauce, low sodium — 35 g (1.2 oz)
Garlic — 8 g (0.3 oz)
Fresh ginger — 8 g (0.3 oz)
Arrowroot starch — 15 g (0.5 oz)
Monk fruit/erythritol sweetener — 5 g (0.2 oz)
Extra-virgin olive oil — 20 g (0.7 oz)
Cauliflower rice — 300 g (10.6 oz)</t>
        </is>
      </c>
      <c r="M1289" s="4" t="inlineStr">
        <is>
          <t>[{"ingredient_id": "flank_steak", "name": "Flank steak", "grams": 500.0, "note": ""}, {"ingredient_id": "green_onion", "name": "Green onions (scallions)", "grams": 100.0, "note": ""}, {"ingredient_id": "soy_sauce", "name": "Soy sauce, low sodium", "grams": 35.0, "note": ""}, {"ingredient_id": "garlic", "name": "Garlic", "grams": 8.0, "note": ""}, {"ingredient_id": "ginger", "name": "Fresh ginger", "grams": 8.0, "note": ""}, {"ingredient_id": "arrowroot", "name": "Arrowroot starch", "grams": 15.0, "note": ""}, {"ingredient_id": "monk_fruit_sweetener", "name": "Monk fruit/erythritol sweetener", "grams": 5.0, "note": ""}, {"ingredient_id": "olive_oil", "name": "Extra-virgin olive oil", "grams": 20.0, "note": ""}, {"ingredient_id": "cauliflower_rice", "name": "Cauliflower rice", "grams": 300.0, "note": ""}]</t>
        </is>
      </c>
      <c r="N1289" s="2" t="n">
        <v>281</v>
      </c>
      <c r="O1289" s="5" t="n">
        <v>29</v>
      </c>
      <c r="P1289" s="5" t="n">
        <v>14.1</v>
      </c>
      <c r="Q1289" s="5" t="n">
        <v>10.3</v>
      </c>
      <c r="R1289" s="5" t="n">
        <v>2.4</v>
      </c>
      <c r="S1289" s="5" t="n">
        <v>7.9</v>
      </c>
      <c r="T1289" s="2" t="n">
        <v>36</v>
      </c>
      <c r="U1289" s="2" t="inlineStr">
        <is>
          <t>low</t>
        </is>
      </c>
      <c r="V1289" s="5" t="n">
        <v>2.8</v>
      </c>
      <c r="W1289" s="2" t="inlineStr">
        <is>
          <t>low</t>
        </is>
      </c>
      <c r="X1289" s="3" t="inlineStr"/>
      <c r="Y1289" s="3" t="inlineStr">
        <is>
          <t>40% of this dish's available carbohydrate comes from ingredients with a published, measured GI; the rest uses conventional placeholders (see Ingredients sheet)</t>
        </is>
      </c>
      <c r="Z1289" s="2" t="n">
        <v>40</v>
      </c>
      <c r="AA1289" s="3" t="inlineStr">
        <is>
          <t>dairy-free, nut-free, low-carb, high-protein</t>
        </is>
      </c>
      <c r="AB1289" s="3" t="inlineStr">
        <is>
          <t>1. Slice the steak thin and toss in arrowroot.
2. Sear in oil in two batches.
3. Add garlic, ginger, soy sauce and sweetener, then the green onion.
4. Serve over cauliflower rice.</t>
        </is>
      </c>
      <c r="AC1289" s="4" t="inlineStr">
        <is>
          <t>["Slice the steak thin and toss in arrowroot.", "Sear in oil in two batches.", "Add garlic, ginger, soy sauce and sweetener, then the green onion.", "Serve over cauliflower rice."]</t>
        </is>
      </c>
    </row>
    <row r="1290" ht="96" customHeight="1">
      <c r="A1290" s="2" t="inlineStr">
        <is>
          <t>DB-1289</t>
        </is>
      </c>
      <c r="B1290" s="3" t="inlineStr">
        <is>
          <t>Egg Foo Young</t>
        </is>
      </c>
      <c r="C1290" s="4" t="inlineStr">
        <is>
          <t>Breakfast</t>
        </is>
      </c>
      <c r="D1290" s="4" t="inlineStr">
        <is>
          <t>Chinese-American</t>
        </is>
      </c>
      <c r="E1290" s="2" t="n">
        <v>3</v>
      </c>
      <c r="F1290" s="2" t="n">
        <v>10</v>
      </c>
      <c r="G1290" s="2" t="n">
        <v>12</v>
      </c>
      <c r="H1290" s="2" t="n">
        <v>22</v>
      </c>
      <c r="I1290" s="4" t="inlineStr">
        <is>
          <t>egg-foo-young.jpg</t>
        </is>
      </c>
      <c r="J1290" s="3" t="inlineStr">
        <is>
          <t>Egg Foo Young, healthy food photography, plated, natural light</t>
        </is>
      </c>
      <c r="K1290" s="4" t="inlineStr"/>
      <c r="L1290" s="3" t="inlineStr">
        <is>
          <t>Egg, large (50 g each) — 300 g (10.6 oz)
Mung bean sprouts — 100 g (3.5 oz)
Shrimp, peeled — 150 g (5.3 oz)
Green onions (scallions) — 30 g (1.1 oz)
Mushrooms (cremini/white) — 80 g (2.8 oz)
Extra-virgin olive oil — 15 g (0.5 oz)
Chicken broth, low sodium — 150 g (5.3 oz)
Soy sauce, low sodium — 15 g (0.5 oz)
Arrowroot starch — 6 g (0.2 oz)</t>
        </is>
      </c>
      <c r="M1290" s="4" t="inlineStr">
        <is>
          <t>[{"ingredient_id": "egg", "name": "Egg, large (50 g each)", "grams": 300.0, "note": ""}, {"ingredient_id": "bean_sprouts", "name": "Mung bean sprouts", "grams": 100.0, "note": ""}, {"ingredient_id": "shrimp", "name": "Shrimp, peeled", "grams": 150.0, "note": ""}, {"ingredient_id": "green_onion", "name": "Green onions (scallions)", "grams": 30.0, "note": ""}, {"ingredient_id": "mushrooms", "name": "Mushrooms (cremini/white)", "grams": 80.0, "note": ""}, {"ingredient_id": "olive_oil", "name": "Extra-virgin olive oil", "grams": 15.0, "note": ""}, {"ingredient_id": "chicken_broth", "name": "Chicken broth, low sodium", "grams": 150.0, "note": ""}, {"ingredient_id": "soy_sauce", "name": "Soy sauce, low sodium", "grams": 15.0, "note": ""}, {"ingredient_id": "arrowroot", "name": "Arrowroot starch", "grams": 6.0, "note": ""}]</t>
        </is>
      </c>
      <c r="N1290" s="2" t="n">
        <v>262</v>
      </c>
      <c r="O1290" s="5" t="n">
        <v>25.5</v>
      </c>
      <c r="P1290" s="5" t="n">
        <v>15</v>
      </c>
      <c r="Q1290" s="5" t="n">
        <v>6.6</v>
      </c>
      <c r="R1290" s="5" t="n">
        <v>1.2</v>
      </c>
      <c r="S1290" s="5" t="n">
        <v>5.3</v>
      </c>
      <c r="T1290" s="2" t="n">
        <v>28</v>
      </c>
      <c r="U1290" s="2" t="inlineStr">
        <is>
          <t>low</t>
        </is>
      </c>
      <c r="V1290" s="5" t="n">
        <v>1.5</v>
      </c>
      <c r="W1290" s="2" t="inlineStr">
        <is>
          <t>low</t>
        </is>
      </c>
      <c r="X1290" s="3" t="inlineStr"/>
      <c r="Y1290" s="3" t="inlineStr">
        <is>
          <t>32% of this dish's available carbohydrate comes from ingredients with a published, measured GI; the rest uses conventional placeholders (see Ingredients sheet)</t>
        </is>
      </c>
      <c r="Z1290" s="2" t="n">
        <v>32</v>
      </c>
      <c r="AA1290" s="3" t="inlineStr">
        <is>
          <t>pescatarian, dairy-free, nut-free, low-carb, high-protein</t>
        </is>
      </c>
      <c r="AB1290" s="3" t="inlineStr">
        <is>
          <t>1. Mix the beaten eggs with sprouts, shrimp, green onion and mushrooms.
2. Pan-fry small patties in oil, 2 minutes a side.
3. Simmer the broth, soy sauce and arrowroot into a gravy and spoon over.</t>
        </is>
      </c>
      <c r="AC1290" s="4" t="inlineStr">
        <is>
          <t>["Mix the beaten eggs with sprouts, shrimp, green onion and mushrooms.", "Pan-fry small patties in oil, 2 minutes a side.", "Simmer the broth, soy sauce and arrowroot into a gravy and spoon over."]</t>
        </is>
      </c>
    </row>
    <row r="1291" ht="96" customHeight="1">
      <c r="A1291" s="2" t="inlineStr">
        <is>
          <t>DB-1290</t>
        </is>
      </c>
      <c r="B1291" s="3" t="inlineStr">
        <is>
          <t>Moo Shu Chicken Lettuce Wraps</t>
        </is>
      </c>
      <c r="C1291" s="4" t="inlineStr">
        <is>
          <t>Sandwiches &amp; Wraps</t>
        </is>
      </c>
      <c r="D1291" s="4" t="inlineStr">
        <is>
          <t>Chinese-American</t>
        </is>
      </c>
      <c r="E1291" s="2" t="n">
        <v>4</v>
      </c>
      <c r="F1291" s="2" t="n">
        <v>15</v>
      </c>
      <c r="G1291" s="2" t="n">
        <v>10</v>
      </c>
      <c r="H1291" s="2" t="n">
        <v>25</v>
      </c>
      <c r="I1291" s="4" t="inlineStr">
        <is>
          <t>moo-shu-chicken-lettuce-wraps.jpg</t>
        </is>
      </c>
      <c r="J1291" s="3" t="inlineStr">
        <is>
          <t>Moo Shu Chicken Lettuce Wraps, healthy food photography, plated, natural light</t>
        </is>
      </c>
      <c r="K1291" s="4" t="inlineStr"/>
      <c r="L1291" s="3" t="inlineStr">
        <is>
          <t>Chicken breast, skinless — 400 g (14.1 oz)
Napa cabbage — 250 g (8.8 oz)
Shiitake mushrooms — 100 g (3.5 oz)
Egg, large (50 g each) — 100 g (3.5 oz)
Carrot — 60 g (2.1 oz)
Soy sauce, low sodium — 25 g (0.9 oz)
Toasted sesame oil — 8 g (0.3 oz)
Fresh ginger — 6 g (0.2 oz)
Butter lettuce — 150 g (5.3 oz)
Extra-virgin olive oil — 15 g (0.5 oz)</t>
        </is>
      </c>
      <c r="M1291" s="4" t="inlineStr">
        <is>
          <t>[{"ingredient_id": "chicken_breast", "name": "Chicken breast, skinless", "grams": 400.0, "note": ""}, {"ingredient_id": "napa_cabbage", "name": "Napa cabbage", "grams": 250.0, "note": ""}, {"ingredient_id": "shiitake", "name": "Shiitake mushrooms", "grams": 100.0, "note": ""}, {"ingredient_id": "egg", "name": "Egg, large (50 g each)", "grams": 100.0, "note": ""}, {"ingredient_id": "carrot", "name": "Carrot", "grams": 60.0, "note": ""}, {"ingredient_id": "soy_sauce", "name": "Soy sauce, low sodium", "grams": 25.0, "note": ""}, {"ingredient_id": "sesame_oil", "name": "Toasted sesame oil", "grams": 8.0, "note": ""}, {"ingredient_id": "ginger", "name": "Fresh ginger", "grams": 6.0, "note": ""}, {"ingredient_id": "butter_lettuce", "name": "Butter lettuce", "grams": 150.0, "note": ""}, {"ingredient_id": "olive_oil", "name": "Extra-virgin olive oil", "grams": 15.0, "note": ""}]</t>
        </is>
      </c>
      <c r="N1291" s="2" t="n">
        <v>241</v>
      </c>
      <c r="O1291" s="5" t="n">
        <v>28.1</v>
      </c>
      <c r="P1291" s="5" t="n">
        <v>11.1</v>
      </c>
      <c r="Q1291" s="5" t="n">
        <v>6.7</v>
      </c>
      <c r="R1291" s="5" t="n">
        <v>2.3</v>
      </c>
      <c r="S1291" s="5" t="n">
        <v>4.4</v>
      </c>
      <c r="T1291" s="2" t="n">
        <v>20</v>
      </c>
      <c r="U1291" s="2" t="inlineStr">
        <is>
          <t>low</t>
        </is>
      </c>
      <c r="V1291" s="5" t="n">
        <v>0.9</v>
      </c>
      <c r="W1291" s="2" t="inlineStr">
        <is>
          <t>low</t>
        </is>
      </c>
      <c r="X1291" s="3" t="inlineStr">
        <is>
          <t>Negligible carbohydrate (&lt;5 g net/serving): GI has little practical meaning, glycemic load is what matters.</t>
        </is>
      </c>
      <c r="Y1291" s="3" t="inlineStr">
        <is>
          <t>23% of this dish's available carbohydrate comes from ingredients with a published, measured GI; the rest uses conventional placeholders (see Ingredients sheet)</t>
        </is>
      </c>
      <c r="Z1291" s="2" t="n">
        <v>23</v>
      </c>
      <c r="AA1291" s="3" t="inlineStr">
        <is>
          <t>dairy-free, nut-free, low-carb, high-protein</t>
        </is>
      </c>
      <c r="AB1291" s="3" t="inlineStr">
        <is>
          <t>1. Stir-fry the sliced chicken in oil.
2. Add the vegetables and ginger, then push aside and scramble the eggs.
3. Season with soy sauce and sesame oil and spoon into lettuce.</t>
        </is>
      </c>
      <c r="AC1291" s="4" t="inlineStr">
        <is>
          <t>["Stir-fry the sliced chicken in oil.", "Add the vegetables and ginger, then push aside and scramble the eggs.", "Season with soy sauce and sesame oil and spoon into lettuce."]</t>
        </is>
      </c>
    </row>
    <row r="1292" ht="96" customHeight="1">
      <c r="A1292" s="2" t="inlineStr">
        <is>
          <t>DB-1291</t>
        </is>
      </c>
      <c r="B1292" s="3" t="inlineStr">
        <is>
          <t>Vegetable Fried Rice with Egg</t>
        </is>
      </c>
      <c r="C1292" s="4" t="inlineStr">
        <is>
          <t>Vegetarian &amp; Vegan</t>
        </is>
      </c>
      <c r="D1292" s="4" t="inlineStr">
        <is>
          <t>Chinese-American</t>
        </is>
      </c>
      <c r="E1292" s="2" t="n">
        <v>4</v>
      </c>
      <c r="F1292" s="2" t="n">
        <v>10</v>
      </c>
      <c r="G1292" s="2" t="n">
        <v>10</v>
      </c>
      <c r="H1292" s="2" t="n">
        <v>20</v>
      </c>
      <c r="I1292" s="4" t="inlineStr">
        <is>
          <t>vegetable-fried-rice-with-egg.jpg</t>
        </is>
      </c>
      <c r="J1292" s="3" t="inlineStr">
        <is>
          <t>Vegetable Fried Rice with Egg, healthy food photography, plated, natural light</t>
        </is>
      </c>
      <c r="K1292" s="4" t="inlineStr"/>
      <c r="L1292" s="3" t="inlineStr">
        <is>
          <t>White rice, long-grain, cooked — 480 g (16.9 oz)
Egg, large (50 g each) — 150 g (5.3 oz)
Green peas — 100 g (3.5 oz)
Carrot — 80 g (2.8 oz)
Green onions (scallions) — 30 g (1.1 oz)
Soy sauce, low sodium — 30 g (1.1 oz)
Toasted sesame oil — 8 g (0.3 oz)
Extra-virgin olive oil — 15 g (0.5 oz)
Garlic — 5 g (0.2 oz)</t>
        </is>
      </c>
      <c r="M1292" s="4" t="inlineStr">
        <is>
          <t>[{"ingredient_id": "white_rice", "name": "White rice, long-grain, cooked", "grams": 480.0, "note": ""}, {"ingredient_id": "egg", "name": "Egg, large (50 g each)", "grams": 150.0,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8.0, "note": ""}, {"ingredient_id": "olive_oil", "name": "Extra-virgin olive oil", "grams": 15.0, "note": ""}, {"ingredient_id": "garlic", "name": "Garlic", "grams": 5.0, "note": ""}]</t>
        </is>
      </c>
      <c r="N1292" s="2" t="n">
        <v>296</v>
      </c>
      <c r="O1292" s="5" t="n">
        <v>10.3</v>
      </c>
      <c r="P1292" s="5" t="n">
        <v>9.800000000000001</v>
      </c>
      <c r="Q1292" s="5" t="n">
        <v>40.6</v>
      </c>
      <c r="R1292" s="5" t="n">
        <v>2.7</v>
      </c>
      <c r="S1292" s="5" t="n">
        <v>37.9</v>
      </c>
      <c r="T1292" s="2" t="n">
        <v>71</v>
      </c>
      <c r="U1292" s="2" t="inlineStr">
        <is>
          <t>high</t>
        </is>
      </c>
      <c r="V1292" s="5" t="n">
        <v>26.9</v>
      </c>
      <c r="W1292" s="2" t="inlineStr">
        <is>
          <t>high</t>
        </is>
      </c>
      <c r="X1292" s="3" t="inlineStr">
        <is>
          <t>Medium-GI dish: keep to the stated portion and pair with the protein/fat in the recipe; GL per serving is the better guide.</t>
        </is>
      </c>
      <c r="Y1292" s="3" t="inlineStr">
        <is>
          <t>97% of this dish's available carbohydrate comes from ingredients with a published, measured GI; the rest uses conventional placeholders (see Ingredients sheet)</t>
        </is>
      </c>
      <c r="Z1292" s="2" t="n">
        <v>97</v>
      </c>
      <c r="AA1292" s="3" t="inlineStr">
        <is>
          <t>vegetarian, dairy-free, nut-free</t>
        </is>
      </c>
      <c r="AB1292" s="3" t="inlineStr">
        <is>
          <t>1. Stir-fry garlic, carrot and peas in oil.
2. Scramble the eggs in the pan.
3. Add the cold rice, soy sauce and sesame oil and finish with green onion.</t>
        </is>
      </c>
      <c r="AC1292" s="4" t="inlineStr">
        <is>
          <t>["Stir-fry garlic, carrot and peas in oil.", "Scramble the eggs in the pan.", "Add the cold rice, soy sauce and sesame oil and finish with green onion."]</t>
        </is>
      </c>
    </row>
    <row r="1293" ht="96" customHeight="1">
      <c r="A1293" s="2" t="inlineStr">
        <is>
          <t>DB-1292</t>
        </is>
      </c>
      <c r="B1293" s="3" t="inlineStr">
        <is>
          <t>Pork and Cabbage Stir-Fry</t>
        </is>
      </c>
      <c r="C1293" s="4" t="inlineStr">
        <is>
          <t>Beef, Pork &amp; Lamb</t>
        </is>
      </c>
      <c r="D1293" s="4" t="inlineStr">
        <is>
          <t>Chinese-American</t>
        </is>
      </c>
      <c r="E1293" s="2" t="n">
        <v>4</v>
      </c>
      <c r="F1293" s="2" t="n">
        <v>10</v>
      </c>
      <c r="G1293" s="2" t="n">
        <v>12</v>
      </c>
      <c r="H1293" s="2" t="n">
        <v>22</v>
      </c>
      <c r="I1293" s="4" t="inlineStr">
        <is>
          <t>pork-and-cabbage-stir-fry.jpg</t>
        </is>
      </c>
      <c r="J1293" s="3" t="inlineStr">
        <is>
          <t>Pork and Cabbage Stir-Fry, healthy food photography, plated, natural light</t>
        </is>
      </c>
      <c r="K1293" s="4" t="inlineStr"/>
      <c r="L1293" s="3" t="inlineStr">
        <is>
          <t>Ground pork, lean — 450 g (15.9 oz)
Green cabbage — 400 g (14.1 oz)
Carrot — 80 g (2.8 oz)
Soy sauce, low sodium — 30 g (1.1 oz)
Garlic — 8 g (0.3 oz)
Fresh ginger — 8 g (0.3 oz)
Toasted sesame oil — 8 g (0.3 oz)
Green onions (scallions) — 20 g (0.7 oz)
Extra-virgin olive oil — 10 g (0.4 oz)</t>
        </is>
      </c>
      <c r="M1293" s="4" t="inlineStr">
        <is>
          <t>[{"ingredient_id": "ground_pork", "name": "Ground pork, lean", "grams": 450.0, "note": ""}, {"ingredient_id": "cabbage", "name": "Green cabbage", "grams": 400.0, "note": ""}, {"ingredient_id": "carrot", "name": "Carrot", "grams": 80.0, "note": ""}, {"ingredient_id": "soy_sauce", "name": "Soy sauce, low sodium", "grams": 30.0, "note": ""}, {"ingredient_id": "garlic", "name": "Garlic", "grams": 8.0, "note": ""}, {"ingredient_id": "ginger", "name": "Fresh ginger", "grams": 8.0, "note": ""}, {"ingredient_id": "sesame_oil", "name": "Toasted sesame oil", "grams": 8.0, "note": ""}, {"ingredient_id": "green_onion", "name": "Green onions (scallions)", "grams": 20.0, "note": ""}, {"ingredient_id": "olive_oil", "name": "Extra-virgin olive oil", "grams": 10.0, "note": ""}]</t>
        </is>
      </c>
      <c r="N1293" s="2" t="n">
        <v>291</v>
      </c>
      <c r="O1293" s="5" t="n">
        <v>23.7</v>
      </c>
      <c r="P1293" s="5" t="n">
        <v>18.2</v>
      </c>
      <c r="Q1293" s="5" t="n">
        <v>9.5</v>
      </c>
      <c r="R1293" s="5" t="n">
        <v>3.3</v>
      </c>
      <c r="S1293" s="5" t="n">
        <v>6.1</v>
      </c>
      <c r="T1293" s="2" t="n">
        <v>22</v>
      </c>
      <c r="U1293" s="2" t="inlineStr">
        <is>
          <t>low</t>
        </is>
      </c>
      <c r="V1293" s="5" t="n">
        <v>1.4</v>
      </c>
      <c r="W1293" s="2" t="inlineStr">
        <is>
          <t>low</t>
        </is>
      </c>
      <c r="X1293" s="3" t="inlineStr"/>
      <c r="Y1293" s="3" t="inlineStr">
        <is>
          <t>22% of this dish's available carbohydrate comes from ingredients with a published, measured GI; the rest uses conventional placeholders (see Ingredients sheet)</t>
        </is>
      </c>
      <c r="Z1293" s="2" t="n">
        <v>22</v>
      </c>
      <c r="AA1293" s="3" t="inlineStr">
        <is>
          <t>dairy-free, nut-free, low-carb</t>
        </is>
      </c>
      <c r="AB1293" s="3" t="inlineStr">
        <is>
          <t>1. Brown the pork with garlic and ginger in oil.
2. Add the cabbage and carrot and stir-fry 5 minutes.
3. Season with soy sauce and sesame oil and top with green onion.</t>
        </is>
      </c>
      <c r="AC1293" s="4" t="inlineStr">
        <is>
          <t>["Brown the pork with garlic and ginger in oil.", "Add the cabbage and carrot and stir-fry 5 minutes.", "Season with soy sauce and sesame oil and top with green onion."]</t>
        </is>
      </c>
    </row>
    <row r="1294" ht="96" customHeight="1">
      <c r="A1294" s="2" t="inlineStr">
        <is>
          <t>DB-1293</t>
        </is>
      </c>
      <c r="B1294" s="3" t="inlineStr">
        <is>
          <t>Chicken Marsala</t>
        </is>
      </c>
      <c r="C1294" s="4" t="inlineStr">
        <is>
          <t>Poultry</t>
        </is>
      </c>
      <c r="D1294" s="4" t="inlineStr">
        <is>
          <t>Italian</t>
        </is>
      </c>
      <c r="E1294" s="2" t="n">
        <v>4</v>
      </c>
      <c r="F1294" s="2" t="n">
        <v>10</v>
      </c>
      <c r="G1294" s="2" t="n">
        <v>25</v>
      </c>
      <c r="H1294" s="2" t="n">
        <v>35</v>
      </c>
      <c r="I1294" s="4" t="inlineStr">
        <is>
          <t>chicken-marsala.jpg</t>
        </is>
      </c>
      <c r="J1294" s="3" t="inlineStr">
        <is>
          <t>Chicken Marsala, healthy food photography, plated, natural light</t>
        </is>
      </c>
      <c r="K1294" s="4" t="inlineStr"/>
      <c r="L1294" s="3" t="inlineStr">
        <is>
          <t>Chicken breast, skinless — 560 g (19.8 oz)
Mushrooms (cremini/white) — 300 g (10.6 oz)
Dry white wine (cooking) — 100 g (3.5 oz)
Chicken broth, low sodium — 150 g (5.3 oz)
Arrowroot starch — 10 g (0.4 oz)
Garlic — 6 g (0.2 oz)
Butter — 20 g (0.7 oz)
Fresh parsley — 5 g (0.2 oz)
Extra-virgin olive oil — 10 g (0.4 oz)</t>
        </is>
      </c>
      <c r="M1294" s="4" t="inlineStr">
        <is>
          <t>[{"ingredient_id": "chicken_breast", "name": "Chicken breast, skinless", "grams": 560.0, "note": ""}, {"ingredient_id": "mushrooms", "name": "Mushrooms (cremini/white)", "grams": 300.0, "note": ""}, {"ingredient_id": "white_wine", "name": "Dry white wine (cooking)", "grams": 100.0, "note": ""}, {"ingredient_id": "chicken_broth", "name": "Chicken broth, low sodium", "grams": 150.0, "note": ""}, {"ingredient_id": "arrowroot", "name": "Arrowroot starch", "grams": 10.0, "note": ""}, {"ingredient_id": "garlic", "name": "Garlic", "grams": 6.0, "note": ""}, {"ingredient_id": "butter", "name": "Butter", "grams": 20.0, "note": ""}, {"ingredient_id": "parsley", "name": "Fresh parsley", "grams": 5.0, "note": ""}, {"ingredient_id": "olive_oil", "name": "Extra-virgin olive oil", "grams": 10.0, "note": ""}]</t>
        </is>
      </c>
      <c r="N1294" s="2" t="n">
        <v>277</v>
      </c>
      <c r="O1294" s="5" t="n">
        <v>34.4</v>
      </c>
      <c r="P1294" s="5" t="n">
        <v>10.5</v>
      </c>
      <c r="Q1294" s="5" t="n">
        <v>6.1</v>
      </c>
      <c r="R1294" s="5" t="n">
        <v>0.9</v>
      </c>
      <c r="S1294" s="5" t="n">
        <v>5.2</v>
      </c>
      <c r="T1294" s="2" t="n">
        <v>34</v>
      </c>
      <c r="U1294" s="2" t="inlineStr">
        <is>
          <t>low</t>
        </is>
      </c>
      <c r="V1294" s="5" t="n">
        <v>1.8</v>
      </c>
      <c r="W1294" s="2" t="inlineStr">
        <is>
          <t>low</t>
        </is>
      </c>
      <c r="X1294" s="3" t="inlineStr"/>
      <c r="Y1294" s="3" t="inlineStr">
        <is>
          <t>41% of this dish's available carbohydrate comes from ingredients with a published, measured GI; the rest uses conventional placeholders (see Ingredients sheet)</t>
        </is>
      </c>
      <c r="Z1294" s="2" t="n">
        <v>41</v>
      </c>
      <c r="AA1294" s="3" t="inlineStr">
        <is>
          <t>gluten-free, nut-free, low-carb, high-protein</t>
        </is>
      </c>
      <c r="AB1294" s="3" t="inlineStr">
        <is>
          <t>1. Dust the chicken with arrowroot and sear in oil.
2. Brown the mushrooms with garlic in butter.
3. Add wine and broth, return the chicken and simmer 10 minutes.</t>
        </is>
      </c>
      <c r="AC1294" s="4" t="inlineStr">
        <is>
          <t>["Dust the chicken with arrowroot and sear in oil.", "Brown the mushrooms with garlic in butter.", "Add wine and broth, return the chicken and simmer 10 minutes."]</t>
        </is>
      </c>
    </row>
    <row r="1295" ht="96" customHeight="1">
      <c r="A1295" s="2" t="inlineStr">
        <is>
          <t>DB-1294</t>
        </is>
      </c>
      <c r="B1295" s="3" t="inlineStr">
        <is>
          <t>Spaghetti Carbonara</t>
        </is>
      </c>
      <c r="C1295" s="4" t="inlineStr">
        <is>
          <t>Beef, Pork &amp; Lamb</t>
        </is>
      </c>
      <c r="D1295" s="4" t="inlineStr">
        <is>
          <t>Italian</t>
        </is>
      </c>
      <c r="E1295" s="2" t="n">
        <v>4</v>
      </c>
      <c r="F1295" s="2" t="n">
        <v>10</v>
      </c>
      <c r="G1295" s="2" t="n">
        <v>15</v>
      </c>
      <c r="H1295" s="2" t="n">
        <v>25</v>
      </c>
      <c r="I1295" s="4" t="inlineStr">
        <is>
          <t>spaghetti-carbonara.jpg</t>
        </is>
      </c>
      <c r="J1295" s="3" t="inlineStr">
        <is>
          <t>Spaghetti Carbonara, healthy food photography, plated, natural light</t>
        </is>
      </c>
      <c r="K1295" s="4" t="inlineStr"/>
      <c r="L1295" s="3" t="inlineStr">
        <is>
          <t>White pasta, cooked al dente — 480 g (16.9 oz)
Egg, large (50 g each) — 150 g (5.3 oz)
Parmesan, grated — 60 g (2.1 oz)
Bacon — 70 g (2.5 oz)
Garlic — 4 g (0.1 oz)
Black pepper — 2 g (0.1 oz)</t>
        </is>
      </c>
      <c r="M1295" s="4" t="inlineStr">
        <is>
          <t>[{"ingredient_id": "white_pasta", "name": "White pasta, cooked al dente", "grams": 480.0, "note": ""}, {"ingredient_id": "egg", "name": "Egg, large (50 g each)", "grams": 150.0, "note": ""}, {"ingredient_id": "parmesan", "name": "Parmesan, grated", "grams": 60.0, "note": ""}, {"ingredient_id": "bacon", "name": "Bacon", "grams": 70.0, "note": ""}, {"ingredient_id": "garlic", "name": "Garlic", "grams": 4.0, "note": ""}, {"ingredient_id": "black_pepper", "name": "Black pepper", "grams": 2.0, "note": ""}]</t>
        </is>
      </c>
      <c r="N1295" s="2" t="n">
        <v>404</v>
      </c>
      <c r="O1295" s="5" t="n">
        <v>23.9</v>
      </c>
      <c r="P1295" s="5" t="n">
        <v>16.4</v>
      </c>
      <c r="Q1295" s="5" t="n">
        <v>38.6</v>
      </c>
      <c r="R1295" s="5" t="n">
        <v>2.3</v>
      </c>
      <c r="S1295" s="5" t="n">
        <v>36.3</v>
      </c>
      <c r="T1295" s="2" t="n">
        <v>47</v>
      </c>
      <c r="U1295" s="2" t="inlineStr">
        <is>
          <t>low</t>
        </is>
      </c>
      <c r="V1295" s="5" t="n">
        <v>17.1</v>
      </c>
      <c r="W1295" s="2" t="inlineStr">
        <is>
          <t>medium</t>
        </is>
      </c>
      <c r="X1295" s="3" t="inlineStr"/>
      <c r="Y1295" s="3" t="inlineStr">
        <is>
          <t>96% of this dish's available carbohydrate comes from ingredients with a published, measured GI; the rest uses conventional placeholders (see Ingredients sheet)</t>
        </is>
      </c>
      <c r="Z1295" s="2" t="n">
        <v>96</v>
      </c>
      <c r="AA1295" s="3" t="inlineStr">
        <is>
          <t>nut-free</t>
        </is>
      </c>
      <c r="AB1295" s="3" t="inlineStr">
        <is>
          <t>1. Cook the spaghetti.
2. Crisp the bacon with the garlic.
3. Whisk the eggs with parmesan and pepper.
4. Toss with the hot pasta off the heat until creamy.</t>
        </is>
      </c>
      <c r="AC1295" s="4" t="inlineStr">
        <is>
          <t>["Cook the spaghetti.", "Crisp the bacon with the garlic.", "Whisk the eggs with parmesan and pepper.", "Toss with the hot pasta off the heat until creamy."]</t>
        </is>
      </c>
    </row>
    <row r="1296" ht="96" customHeight="1">
      <c r="A1296" s="2" t="inlineStr">
        <is>
          <t>DB-1295</t>
        </is>
      </c>
      <c r="B1296" s="3" t="inlineStr">
        <is>
          <t>Pasta Primavera</t>
        </is>
      </c>
      <c r="C1296" s="4" t="inlineStr">
        <is>
          <t>Vegetarian &amp; Vegan</t>
        </is>
      </c>
      <c r="D1296" s="4" t="inlineStr">
        <is>
          <t>Italian</t>
        </is>
      </c>
      <c r="E1296" s="2" t="n">
        <v>4</v>
      </c>
      <c r="F1296" s="2" t="n">
        <v>15</v>
      </c>
      <c r="G1296" s="2" t="n">
        <v>15</v>
      </c>
      <c r="H1296" s="2" t="n">
        <v>30</v>
      </c>
      <c r="I1296" s="4" t="inlineStr">
        <is>
          <t>pasta-primavera.jpg</t>
        </is>
      </c>
      <c r="J1296" s="3" t="inlineStr">
        <is>
          <t>Pasta Primavera, healthy food photography, plated, natural light</t>
        </is>
      </c>
      <c r="K1296" s="4" t="inlineStr"/>
      <c r="L1296" s="3" t="inlineStr">
        <is>
          <t>White pasta, cooked al dente — 480 g (16.9 oz)
Zucchini — 200 g (7.1 oz)
Broccoli — 200 g (7.1 oz)
Cherry tomatoes — 150 g (5.3 oz)
Bell pepper — 100 g (3.5 oz)
Garlic — 8 g (0.3 oz)
Extra-virgin olive oil — 30 g (1.1 oz)
Parmesan, grated — 30 g (1.1 oz)
Fresh basil — 8 g (0.3 oz)</t>
        </is>
      </c>
      <c r="M1296" s="4" t="inlineStr">
        <is>
          <t>[{"ingredient_id": "white_pasta", "name": "White pasta, cooked al dente", "grams": 480.0, "note": ""}, {"ingredient_id": "zucchini", "name": "Zucchini", "grams": 200.0, "note": ""}, {"ingredient_id": "broccoli", "name": "Broccoli", "grams": 200.0, "note": ""}, {"ingredient_id": "cherry_tomato", "name": "Cherry tomatoes", "grams": 150.0, "note": ""}, {"ingredient_id": "bell_pepper", "name": "Bell pepper", "grams": 100.0, "note": ""}, {"ingredient_id": "garlic", "name": "Garlic", "grams": 8.0, "note": ""}, {"ingredient_id": "olive_oil", "name": "Extra-virgin olive oil", "grams": 30.0, "note": ""}, {"ingredient_id": "parmesan", "name": "Parmesan, grated", "grams": 30.0, "note": ""}, {"ingredient_id": "basil", "name": "Fresh basil", "grams": 8.0, "note": ""}]</t>
        </is>
      </c>
      <c r="N1296" s="2" t="n">
        <v>330</v>
      </c>
      <c r="O1296" s="5" t="n">
        <v>12.5</v>
      </c>
      <c r="P1296" s="5" t="n">
        <v>11.3</v>
      </c>
      <c r="Q1296" s="5" t="n">
        <v>45.7</v>
      </c>
      <c r="R1296" s="5" t="n">
        <v>5</v>
      </c>
      <c r="S1296" s="5" t="n">
        <v>40.7</v>
      </c>
      <c r="T1296" s="2" t="n">
        <v>44</v>
      </c>
      <c r="U1296" s="2" t="inlineStr">
        <is>
          <t>low</t>
        </is>
      </c>
      <c r="V1296" s="5" t="n">
        <v>17.9</v>
      </c>
      <c r="W1296" s="2" t="inlineStr">
        <is>
          <t>medium</t>
        </is>
      </c>
      <c r="X1296" s="3" t="inlineStr"/>
      <c r="Y1296" s="3" t="inlineStr">
        <is>
          <t>85% of this dish's available carbohydrate comes from ingredients with a published, measured GI; the rest uses conventional placeholders (see Ingredients sheet)</t>
        </is>
      </c>
      <c r="Z1296" s="2" t="n">
        <v>85</v>
      </c>
      <c r="AA1296" s="3" t="inlineStr">
        <is>
          <t>vegetarian, nut-free</t>
        </is>
      </c>
      <c r="AB1296" s="3" t="inlineStr">
        <is>
          <t>1. Cook the pasta.
2. Sauté the vegetables and garlic in oil.
3. Toss together with parmesan and basil.</t>
        </is>
      </c>
      <c r="AC1296" s="4" t="inlineStr">
        <is>
          <t>["Cook the pasta.", "Sauté the vegetables and garlic in oil.", "Toss together with parmesan and basil."]</t>
        </is>
      </c>
    </row>
    <row r="1297" ht="96" customHeight="1">
      <c r="A1297" s="2" t="inlineStr">
        <is>
          <t>DB-1296</t>
        </is>
      </c>
      <c r="B1297" s="3" t="inlineStr">
        <is>
          <t>Stuffed Shells with Ricotta and Spinach</t>
        </is>
      </c>
      <c r="C1297" s="4" t="inlineStr">
        <is>
          <t>Vegetarian &amp; Vegan</t>
        </is>
      </c>
      <c r="D1297" s="4" t="inlineStr">
        <is>
          <t>Italian</t>
        </is>
      </c>
      <c r="E1297" s="2" t="n">
        <v>6</v>
      </c>
      <c r="F1297" s="2" t="n">
        <v>25</v>
      </c>
      <c r="G1297" s="2" t="n">
        <v>35</v>
      </c>
      <c r="H1297" s="2" t="n">
        <v>60</v>
      </c>
      <c r="I1297" s="4" t="inlineStr">
        <is>
          <t>stuffed-shells-with-ricotta-and-spinach.jpg</t>
        </is>
      </c>
      <c r="J1297" s="3" t="inlineStr">
        <is>
          <t>Stuffed Shells with Ricotta and Spinach, healthy food photography, plated, natural light</t>
        </is>
      </c>
      <c r="K1297" s="4" t="inlineStr"/>
      <c r="L1297" s="3" t="inlineStr">
        <is>
          <t>White pasta, cooked al dente — 540 g (19.0 oz)
Ricotta, part-skim — 300 g (10.6 oz)
Spinach — 200 g (7.1 oz)
Mozzarella, part-skim — 120 g (4.2 oz)
Parmesan, grated — 30 g (1.1 oz)
Egg, large (50 g each) — 50 g (1.8 oz)
Marinara sauce, no sugar added — 450 g (15.9 oz)
Garlic — 4 g (0.1 oz)</t>
        </is>
      </c>
      <c r="M1297" s="4" t="inlineStr">
        <is>
          <t>[{"ingredient_id": "white_pasta", "name": "White pasta, cooked al dente", "grams": 540.0, "note": ""}, {"ingredient_id": "ricotta", "name": "Ricotta, part-skim", "grams": 300.0, "note": ""}, {"ingredient_id": "spinach", "name": "Spinach", "grams": 200.0, "note": ""}, {"ingredient_id": "mozzarella", "name": "Mozzarella, part-skim", "grams": 120.0, "note": ""}, {"ingredient_id": "parmesan", "name": "Parmesan, grated", "grams": 30.0, "note": ""}, {"ingredient_id": "egg", "name": "Egg, large (50 g each)", "grams": 50.0, "note": ""}, {"ingredient_id": "marinara", "name": "Marinara sauce, no sugar added", "grams": 450.0, "note": ""}, {"ingredient_id": "garlic", "name": "Garlic", "grams": 4.0, "note": ""}]</t>
        </is>
      </c>
      <c r="N1297" s="2" t="n">
        <v>337</v>
      </c>
      <c r="O1297" s="5" t="n">
        <v>20.6</v>
      </c>
      <c r="P1297" s="5" t="n">
        <v>12.3</v>
      </c>
      <c r="Q1297" s="5" t="n">
        <v>36.2</v>
      </c>
      <c r="R1297" s="5" t="n">
        <v>3.5</v>
      </c>
      <c r="S1297" s="5" t="n">
        <v>32.7</v>
      </c>
      <c r="T1297" s="2" t="n">
        <v>43</v>
      </c>
      <c r="U1297" s="2" t="inlineStr">
        <is>
          <t>low</t>
        </is>
      </c>
      <c r="V1297" s="5" t="n">
        <v>14</v>
      </c>
      <c r="W1297" s="2" t="inlineStr">
        <is>
          <t>medium</t>
        </is>
      </c>
      <c r="X1297" s="3" t="inlineStr"/>
      <c r="Y1297" s="3" t="inlineStr">
        <is>
          <t>88% of this dish's available carbohydrate comes from ingredients with a published, measured GI; the rest uses conventional placeholders (see Ingredients sheet)</t>
        </is>
      </c>
      <c r="Z1297" s="2" t="n">
        <v>88</v>
      </c>
      <c r="AA1297" s="3" t="inlineStr">
        <is>
          <t>vegetarian, nut-free</t>
        </is>
      </c>
      <c r="AB1297" s="3" t="inlineStr">
        <is>
          <t>1. Cook the shells al dente.
2. Mix the ricotta, wilted spinach, egg, parmesan and garlic.
3. Fill the shells, set on marinara in a dish and top with mozzarella.
4. Bake at 375°F for 25 minutes.</t>
        </is>
      </c>
      <c r="AC1297" s="4" t="inlineStr">
        <is>
          <t>["Cook the shells al dente.", "Mix the ricotta, wilted spinach, egg, parmesan and garlic.", "Fill the shells, set on marinara in a dish and top with mozzarella.", "Bake at 375°F for 25 minutes."]</t>
        </is>
      </c>
    </row>
    <row r="1298" ht="96" customHeight="1">
      <c r="A1298" s="2" t="inlineStr">
        <is>
          <t>DB-1297</t>
        </is>
      </c>
      <c r="B1298" s="3" t="inlineStr">
        <is>
          <t>Pasta e Fagioli</t>
        </is>
      </c>
      <c r="C1298" s="4" t="inlineStr">
        <is>
          <t>Soup &amp; Stew</t>
        </is>
      </c>
      <c r="D1298" s="4" t="inlineStr">
        <is>
          <t>Italian</t>
        </is>
      </c>
      <c r="E1298" s="2" t="n">
        <v>6</v>
      </c>
      <c r="F1298" s="2" t="n">
        <v>10</v>
      </c>
      <c r="G1298" s="2" t="n">
        <v>30</v>
      </c>
      <c r="H1298" s="2" t="n">
        <v>40</v>
      </c>
      <c r="I1298" s="4" t="inlineStr">
        <is>
          <t>pasta-e-fagioli.jpg</t>
        </is>
      </c>
      <c r="J1298" s="3" t="inlineStr">
        <is>
          <t>Pasta e Fagioli, healthy food photography, plated, natural light</t>
        </is>
      </c>
      <c r="K1298" s="4" t="inlineStr"/>
      <c r="L1298" s="3" t="inlineStr">
        <is>
          <t>Cannellini beans, cooked — 300 g (10.6 oz)
White pasta, cooked al dente — 240 g (8.5 oz)
Diced tomatoes, canned — 400 g (14.1 oz)
Vegetable broth, low sodium — 800 g (28.2 oz)
Carrot — 100 g (3.5 oz)
Celery — 80 g (2.8 oz)
Yellow onion — 100 g (3.5 oz)
Garlic — 6 g (0.2 oz)
Extra-virgin olive oil — 15 g (0.5 oz)
Italian seasoning — 3 g (0.1 oz)</t>
        </is>
      </c>
      <c r="M1298" s="4" t="inlineStr">
        <is>
          <t>[{"ingredient_id": "white_beans", "name": "Cannellini beans, cooked", "grams": 300.0, "note": ""}, {"ingredient_id": "white_pasta", "name": "White pasta, cooked al dente", "grams": 240.0, "note": ""}, {"ingredient_id": "diced_tomatoes", "name": "Diced tomatoes, canned", "grams": 400.0, "note": ""}, {"ingredient_id": "vegetable_broth", "name": "Vegetable broth, low sodium", "grams": 800.0, "note": ""}, {"ingredient_id": "carrot", "name": "Carrot", "grams": 100.0, "note": ""}, {"ingredient_id": "celery", "name": "Celery", "grams": 80.0, "note": ""}, {"ingredient_id": "onion", "name": "Yellow onion", "grams": 100.0, "note": ""}, {"ingredient_id": "garlic", "name": "Garlic", "grams": 6.0, "note": ""}, {"ingredient_id": "olive_oil", "name": "Extra-virgin olive oil", "grams": 15.0, "note": ""}, {"ingredient_id": "italian_seasoning", "name": "Italian seasoning", "grams": 3.0, "note": ""}]</t>
        </is>
      </c>
      <c r="N1298" s="2" t="n">
        <v>200</v>
      </c>
      <c r="O1298" s="5" t="n">
        <v>9.199999999999999</v>
      </c>
      <c r="P1298" s="5" t="n">
        <v>3.6</v>
      </c>
      <c r="Q1298" s="5" t="n">
        <v>34.3</v>
      </c>
      <c r="R1298" s="5" t="n">
        <v>6.1</v>
      </c>
      <c r="S1298" s="5" t="n">
        <v>28.3</v>
      </c>
      <c r="T1298" s="2" t="n">
        <v>36</v>
      </c>
      <c r="U1298" s="2" t="inlineStr">
        <is>
          <t>low</t>
        </is>
      </c>
      <c r="V1298" s="5" t="n">
        <v>10.2</v>
      </c>
      <c r="W1298" s="2" t="inlineStr">
        <is>
          <t>medium</t>
        </is>
      </c>
      <c r="X1298" s="3" t="inlineStr"/>
      <c r="Y1298" s="3" t="inlineStr">
        <is>
          <t>78% of this dish's available carbohydrate comes from ingredients with a published, measured GI; the rest uses conventional placeholders (see Ingredients sheet)</t>
        </is>
      </c>
      <c r="Z1298" s="2" t="n">
        <v>78</v>
      </c>
      <c r="AA1298" s="3" t="inlineStr">
        <is>
          <t>vegan, dairy-free, nut-free</t>
        </is>
      </c>
      <c r="AB1298" s="3" t="inlineStr">
        <is>
          <t>1. Sauté the onion, carrot, celery and garlic in oil.
2. Add the tomatoes, broth, beans and seasoning and simmer 15 minutes.
3. Add the pasta and cook until tender.</t>
        </is>
      </c>
      <c r="AC1298" s="4" t="inlineStr">
        <is>
          <t>["Sauté the onion, carrot, celery and garlic in oil.", "Add the tomatoes, broth, beans and seasoning and simmer 15 minutes.", "Add the pasta and cook until tender."]</t>
        </is>
      </c>
    </row>
    <row r="1299" ht="96" customHeight="1">
      <c r="A1299" s="2" t="inlineStr">
        <is>
          <t>DB-1298</t>
        </is>
      </c>
      <c r="B1299" s="3" t="inlineStr">
        <is>
          <t>Italian Wedding Soup</t>
        </is>
      </c>
      <c r="C1299" s="4" t="inlineStr">
        <is>
          <t>Soup &amp; Stew</t>
        </is>
      </c>
      <c r="D1299" s="4" t="inlineStr">
        <is>
          <t>Italian</t>
        </is>
      </c>
      <c r="E1299" s="2" t="n">
        <v>6</v>
      </c>
      <c r="F1299" s="2" t="n">
        <v>20</v>
      </c>
      <c r="G1299" s="2" t="n">
        <v>25</v>
      </c>
      <c r="H1299" s="2" t="n">
        <v>45</v>
      </c>
      <c r="I1299" s="4" t="inlineStr">
        <is>
          <t>italian-wedding-soup.jpg</t>
        </is>
      </c>
      <c r="J1299" s="3" t="inlineStr">
        <is>
          <t>Italian Wedding Soup, healthy food photography, plated, natural light</t>
        </is>
      </c>
      <c r="K1299" s="4" t="inlineStr"/>
      <c r="L1299" s="3" t="inlineStr">
        <is>
          <t>Ground turkey 93% lean — 350 g (12.3 oz)
Egg, large (50 g each) — 50 g (1.8 oz)
Parmesan, grated — 30 g (1.1 oz)
Chicken broth, low sodium — 1000 g (35.3 oz)
Spinach — 150 g (5.3 oz)
Carrot — 100 g (3.5 oz)
White pasta, cooked al dente — 150 g (5.3 oz)
Garlic — 4 g (0.1 oz)</t>
        </is>
      </c>
      <c r="M1299" s="4" t="inlineStr">
        <is>
          <t>[{"ingredient_id": "ground_turkey", "name": "Ground turkey 93% lean", "grams": 350.0, "note": ""}, {"ingredient_id": "egg", "name": "Egg, large (50 g each)", "grams": 50.0, "note": ""}, {"ingredient_id": "parmesan", "name": "Parmesan, grated", "grams": 30.0, "note": ""}, {"ingredient_id": "chicken_broth", "name": "Chicken broth, low sodium", "grams": 1000.0, "note": ""}, {"ingredient_id": "spinach", "name": "Spinach", "grams": 150.0, "note": ""}, {"ingredient_id": "carrot", "name": "Carrot", "grams": 100.0, "note": ""}, {"ingredient_id": "white_pasta", "name": "White pasta, cooked al dente", "grams": 150.0, "note": ""}, {"ingredient_id": "garlic", "name": "Garlic", "grams": 4.0, "note": ""}]</t>
        </is>
      </c>
      <c r="N1299" s="2" t="n">
        <v>185</v>
      </c>
      <c r="O1299" s="5" t="n">
        <v>17.9</v>
      </c>
      <c r="P1299" s="5" t="n">
        <v>7.6</v>
      </c>
      <c r="Q1299" s="5" t="n">
        <v>11.5</v>
      </c>
      <c r="R1299" s="5" t="n">
        <v>1.5</v>
      </c>
      <c r="S1299" s="5" t="n">
        <v>10</v>
      </c>
      <c r="T1299" s="2" t="n">
        <v>41</v>
      </c>
      <c r="U1299" s="2" t="inlineStr">
        <is>
          <t>low</t>
        </is>
      </c>
      <c r="V1299" s="5" t="n">
        <v>4.1</v>
      </c>
      <c r="W1299" s="2" t="inlineStr">
        <is>
          <t>low</t>
        </is>
      </c>
      <c r="X1299" s="3" t="inlineStr"/>
      <c r="Y1299" s="3" t="inlineStr">
        <is>
          <t>84% of this dish's available carbohydrate comes from ingredients with a published, measured GI; the rest uses conventional placeholders (see Ingredients sheet)</t>
        </is>
      </c>
      <c r="Z1299" s="2" t="n">
        <v>84</v>
      </c>
      <c r="AA1299" s="3" t="inlineStr">
        <is>
          <t>nut-free, low-carb</t>
        </is>
      </c>
      <c r="AB1299" s="3" t="inlineStr">
        <is>
          <t>1. Mix the turkey, egg, parmesan and garlic and roll tiny meatballs.
2. Simmer the broth and carrot, drop in the meatballs for 10 minutes.
3. Add the pasta and spinach and cook until tender.</t>
        </is>
      </c>
      <c r="AC1299" s="4" t="inlineStr">
        <is>
          <t>["Mix the turkey, egg, parmesan and garlic and roll tiny meatballs.", "Simmer the broth and carrot, drop in the meatballs for 10 minutes.", "Add the pasta and spinach and cook until tender."]</t>
        </is>
      </c>
    </row>
    <row r="1300" ht="96" customHeight="1">
      <c r="A1300" s="2" t="inlineStr">
        <is>
          <t>DB-1299</t>
        </is>
      </c>
      <c r="B1300" s="3" t="inlineStr">
        <is>
          <t>Antipasto Salad</t>
        </is>
      </c>
      <c r="C1300" s="4" t="inlineStr">
        <is>
          <t>Salad</t>
        </is>
      </c>
      <c r="D1300" s="4" t="inlineStr">
        <is>
          <t>Italian</t>
        </is>
      </c>
      <c r="E1300" s="2" t="n">
        <v>4</v>
      </c>
      <c r="F1300" s="2" t="n">
        <v>15</v>
      </c>
      <c r="G1300" s="2" t="n">
        <v>0</v>
      </c>
      <c r="H1300" s="2" t="n">
        <v>15</v>
      </c>
      <c r="I1300" s="4" t="inlineStr">
        <is>
          <t>antipasto-salad.jpg</t>
        </is>
      </c>
      <c r="J1300" s="3" t="inlineStr">
        <is>
          <t>Antipasto Salad, healthy food photography, plated, natural light</t>
        </is>
      </c>
      <c r="K1300" s="4" t="inlineStr"/>
      <c r="L1300" s="3" t="inlineStr">
        <is>
          <t>Romaine lettuce — 200 g (7.1 oz)
Deli turkey breast, low sodium — 100 g (3.5 oz)
Mozzarella, part-skim — 80 g (2.8 oz)
Artichoke hearts, canned in water — 100 g (3.5 oz)
Roasted red peppers, jarred — 80 g (2.8 oz)
Olives (kalamata/green) — 40 g (1.4 oz)
Cherry tomatoes — 120 g (4.2 oz)
Red wine vinegar — 20 g (0.7 oz)
Extra-virgin olive oil — 30 g (1.1 oz)</t>
        </is>
      </c>
      <c r="M1300" s="4" t="inlineStr">
        <is>
          <t>[{"ingredient_id": "romaine", "name": "Romaine lettuce", "grams": 200.0, "note": ""}, {"ingredient_id": "deli_turkey", "name": "Deli turkey breast, low sodium", "grams": 100.0, "note": ""}, {"ingredient_id": "mozzarella", "name": "Mozzarella, part-skim", "grams": 80.0, "note": ""}, {"ingredient_id": "artichoke_hearts", "name": "Artichoke hearts, canned in water", "grams": 100.0, "note": ""}, {"ingredient_id": "roasted_red_pepper", "name": "Roasted red peppers, jarred", "grams": 80.0, "note": ""}, {"ingredient_id": "olives", "name": "Olives (kalamata/green)", "grams": 40.0, "note": ""}, {"ingredient_id": "cherry_tomato", "name": "Cherry tomatoes", "grams": 120.0, "note": ""}, {"ingredient_id": "red_wine_vinegar", "name": "Red wine vinegar", "grams": 20.0, "note": ""}, {"ingredient_id": "olive_oil", "name": "Extra-virgin olive oil", "grams": 30.0, "note": ""}]</t>
        </is>
      </c>
      <c r="N1300" s="2" t="n">
        <v>187</v>
      </c>
      <c r="O1300" s="5" t="n">
        <v>11</v>
      </c>
      <c r="P1300" s="5" t="n">
        <v>12.5</v>
      </c>
      <c r="Q1300" s="5" t="n">
        <v>8.9</v>
      </c>
      <c r="R1300" s="5" t="n">
        <v>3.5</v>
      </c>
      <c r="S1300" s="5" t="n">
        <v>5.4</v>
      </c>
      <c r="T1300" s="2" t="n">
        <v>10</v>
      </c>
      <c r="U1300" s="2" t="inlineStr">
        <is>
          <t>low</t>
        </is>
      </c>
      <c r="V1300" s="5" t="n">
        <v>0.5</v>
      </c>
      <c r="W1300" s="2" t="inlineStr">
        <is>
          <t>low</t>
        </is>
      </c>
      <c r="X1300" s="3" t="inlineStr"/>
      <c r="Y1300" s="3" t="inlineStr">
        <is>
          <t>0% of this dish's available carbohydrate comes from ingredients with a published, measured GI; the rest uses conventional placeholders (see Ingredients sheet)</t>
        </is>
      </c>
      <c r="Z1300" s="2" t="n">
        <v>0</v>
      </c>
      <c r="AA1300" s="3" t="inlineStr">
        <is>
          <t>gluten-free, nut-free, low-carb, no-cook</t>
        </is>
      </c>
      <c r="AB1300" s="3" t="inlineStr">
        <is>
          <t>1. Chop the romaine and arrange on a platter.
2. Add the turkey, mozzarella, artichokes, peppers, olives and tomatoes.
3. Dress with vinegar and oil.</t>
        </is>
      </c>
      <c r="AC1300" s="4" t="inlineStr">
        <is>
          <t>["Chop the romaine and arrange on a platter.", "Add the turkey, mozzarella, artichokes, peppers, olives and tomatoes.", "Dress with vinegar and oil."]</t>
        </is>
      </c>
    </row>
    <row r="1301" ht="96" customHeight="1">
      <c r="A1301" s="2" t="inlineStr">
        <is>
          <t>DB-1300</t>
        </is>
      </c>
      <c r="B1301" s="3" t="inlineStr">
        <is>
          <t>Caprese Chicken Skillet</t>
        </is>
      </c>
      <c r="C1301" s="4" t="inlineStr">
        <is>
          <t>Poultry</t>
        </is>
      </c>
      <c r="D1301" s="4" t="inlineStr">
        <is>
          <t>Italian</t>
        </is>
      </c>
      <c r="E1301" s="2" t="n">
        <v>4</v>
      </c>
      <c r="F1301" s="2" t="n">
        <v>10</v>
      </c>
      <c r="G1301" s="2" t="n">
        <v>20</v>
      </c>
      <c r="H1301" s="2" t="n">
        <v>30</v>
      </c>
      <c r="I1301" s="4" t="inlineStr">
        <is>
          <t>caprese-chicken-skillet.jpg</t>
        </is>
      </c>
      <c r="J1301" s="3" t="inlineStr">
        <is>
          <t>Caprese Chicken Skillet, healthy food photography, plated, natural light</t>
        </is>
      </c>
      <c r="K1301" s="4" t="inlineStr"/>
      <c r="L1301" s="3" t="inlineStr">
        <is>
          <t>Chicken breast, skinless — 560 g (19.8 oz)
Mozzarella, part-skim — 120 g (4.2 oz)
Cherry tomatoes — 250 g (8.8 oz)
Fresh basil — 10 g (0.4 oz)
Balsamic vinegar — 20 g (0.7 oz)
Garlic — 6 g (0.2 oz)
Extra-virgin olive oil — 20 g (0.7 oz)</t>
        </is>
      </c>
      <c r="M1301" s="4" t="inlineStr">
        <is>
          <t>[{"ingredient_id": "chicken_breast", "name": "Chicken breast, skinless", "grams": 560.0, "note": ""}, {"ingredient_id": "mozzarella", "name": "Mozzarella, part-skim", "grams": 120.0, "note": ""}, {"ingredient_id": "cherry_tomato", "name": "Cherry tomatoes", "grams": 250.0, "note": ""}, {"ingredient_id": "basil", "name": "Fresh basil", "grams": 10.0, "note": ""}, {"ingredient_id": "balsamic_vinegar", "name": "Balsamic vinegar", "grams": 20.0, "note": ""}, {"ingredient_id": "garlic", "name": "Garlic", "grams": 6.0, "note": ""}, {"ingredient_id": "olive_oil", "name": "Extra-virgin olive oil", "grams": 20.0, "note": ""}]</t>
        </is>
      </c>
      <c r="N1301" s="2" t="n">
        <v>307</v>
      </c>
      <c r="O1301" s="5" t="n">
        <v>39.5</v>
      </c>
      <c r="P1301" s="5" t="n">
        <v>13.6</v>
      </c>
      <c r="Q1301" s="5" t="n">
        <v>4.8</v>
      </c>
      <c r="R1301" s="5" t="n">
        <v>0.8</v>
      </c>
      <c r="S1301" s="5" t="n">
        <v>3.9</v>
      </c>
      <c r="T1301" s="2" t="n">
        <v>18</v>
      </c>
      <c r="U1301" s="2" t="inlineStr">
        <is>
          <t>low</t>
        </is>
      </c>
      <c r="V1301" s="5" t="n">
        <v>0.7</v>
      </c>
      <c r="W1301" s="2" t="inlineStr">
        <is>
          <t>low</t>
        </is>
      </c>
      <c r="X1301" s="3" t="inlineStr">
        <is>
          <t>Negligible carbohydrate (&lt;5 g net/serving): GI has little practical meaning, glycemic load is what matters.</t>
        </is>
      </c>
      <c r="Y1301" s="3" t="inlineStr">
        <is>
          <t>0% of this dish's available carbohydrate comes from ingredients with a published, measured GI; the rest uses conventional placeholders (see Ingredients sheet)</t>
        </is>
      </c>
      <c r="Z1301" s="2" t="n">
        <v>0</v>
      </c>
      <c r="AA1301" s="3" t="inlineStr">
        <is>
          <t>gluten-free, nut-free, low-carb, high-protein, one-pan</t>
        </is>
      </c>
      <c r="AB1301" s="3" t="inlineStr">
        <is>
          <t>1. Sear the chicken in oil, 5 minutes a side.
2. Add the garlic and tomatoes and cook 4 minutes.
3. Top with mozzarella to melt and finish with basil and balsamic.</t>
        </is>
      </c>
      <c r="AC1301" s="4" t="inlineStr">
        <is>
          <t>["Sear the chicken in oil, 5 minutes a side.", "Add the garlic and tomatoes and cook 4 minutes.", "Top with mozzarella to melt and finish with basil and balsamic."]</t>
        </is>
      </c>
    </row>
    <row r="1302" ht="96" customHeight="1">
      <c r="A1302" s="2" t="inlineStr">
        <is>
          <t>DB-1301</t>
        </is>
      </c>
      <c r="B1302" s="3" t="inlineStr">
        <is>
          <t>Eggplant Rollatini</t>
        </is>
      </c>
      <c r="C1302" s="4" t="inlineStr">
        <is>
          <t>Vegetarian &amp; Vegan</t>
        </is>
      </c>
      <c r="D1302" s="4" t="inlineStr">
        <is>
          <t>Italian</t>
        </is>
      </c>
      <c r="E1302" s="2" t="n">
        <v>4</v>
      </c>
      <c r="F1302" s="2" t="n">
        <v>25</v>
      </c>
      <c r="G1302" s="2" t="n">
        <v>30</v>
      </c>
      <c r="H1302" s="2" t="n">
        <v>55</v>
      </c>
      <c r="I1302" s="4" t="inlineStr">
        <is>
          <t>eggplant-rollatini.jpg</t>
        </is>
      </c>
      <c r="J1302" s="3" t="inlineStr">
        <is>
          <t>Eggplant Rollatini, healthy food photography, plated, natural light</t>
        </is>
      </c>
      <c r="K1302" s="4" t="inlineStr"/>
      <c r="L1302" s="3" t="inlineStr">
        <is>
          <t>Eggplant — 600 g (21.2 oz)
Ricotta, part-skim — 250 g (8.8 oz)
Spinach — 100 g (3.5 oz)
Mozzarella, part-skim — 100 g (3.5 oz)
Marinara sauce, no sugar added — 350 g (12.3 oz)
Parmesan, grated — 25 g (0.9 oz)
Garlic — 4 g (0.1 oz)
Extra-virgin olive oil — 20 g (0.7 oz)</t>
        </is>
      </c>
      <c r="M1302" s="4" t="inlineStr">
        <is>
          <t>[{"ingredient_id": "eggplant", "name": "Eggplant", "grams": 600.0, "note": ""}, {"ingredient_id": "ricotta", "name": "Ricotta, part-skim", "grams": 250.0, "note": ""}, {"ingredient_id": "spinach", "name": "Spinach", "grams": 100.0, "note": ""}, {"ingredient_id": "mozzarella", "name": "Mozzarella, part-skim", "grams": 100.0, "note": ""}, {"ingredient_id": "marinara", "name": "Marinara sauce, no sugar added", "grams": 350.0, "note": ""}, {"ingredient_id": "parmesan", "name": "Parmesan, grated", "grams": 25.0, "note": ""}, {"ingredient_id": "garlic", "name": "Garlic", "grams": 4.0, "note": ""}, {"ingredient_id": "olive_oil", "name": "Extra-virgin olive oil", "grams": 20.0, "note": ""}]</t>
        </is>
      </c>
      <c r="N1302" s="2" t="n">
        <v>305</v>
      </c>
      <c r="O1302" s="5" t="n">
        <v>18.9</v>
      </c>
      <c r="P1302" s="5" t="n">
        <v>18.4</v>
      </c>
      <c r="Q1302" s="5" t="n">
        <v>18.7</v>
      </c>
      <c r="R1302" s="5" t="n">
        <v>6.4</v>
      </c>
      <c r="S1302" s="5" t="n">
        <v>12.3</v>
      </c>
      <c r="T1302" s="2" t="n">
        <v>19</v>
      </c>
      <c r="U1302" s="2" t="inlineStr">
        <is>
          <t>low</t>
        </is>
      </c>
      <c r="V1302" s="5" t="n">
        <v>2.3</v>
      </c>
      <c r="W1302" s="2" t="inlineStr">
        <is>
          <t>low</t>
        </is>
      </c>
      <c r="X1302" s="3" t="inlineStr"/>
      <c r="Y1302" s="3" t="inlineStr">
        <is>
          <t>25% of this dish's available carbohydrate comes from ingredients with a published, measured GI; the rest uses conventional placeholders (see Ingredients sheet)</t>
        </is>
      </c>
      <c r="Z1302" s="2" t="n">
        <v>25</v>
      </c>
      <c r="AA1302" s="3" t="inlineStr">
        <is>
          <t>vegetarian, gluten-free, nut-free, low-carb</t>
        </is>
      </c>
      <c r="AB1302" s="3" t="inlineStr">
        <is>
          <t>1. Slice the eggplant lengthwise and roast until pliable.
2. Spread with the ricotta and spinach mixture and roll.
3. Cover with marinara and cheeses and bake at 375°F for 20 minutes.</t>
        </is>
      </c>
      <c r="AC1302" s="4" t="inlineStr">
        <is>
          <t>["Slice the eggplant lengthwise and roast until pliable.", "Spread with the ricotta and spinach mixture and roll.", "Cover with marinara and cheeses and bake at 375°F for 20 minutes."]</t>
        </is>
      </c>
    </row>
    <row r="1303" ht="96" customHeight="1">
      <c r="A1303" s="2" t="inlineStr">
        <is>
          <t>DB-1302</t>
        </is>
      </c>
      <c r="B1303" s="3" t="inlineStr">
        <is>
          <t>Zuppa Toscana-Style Soup</t>
        </is>
      </c>
      <c r="C1303" s="4" t="inlineStr">
        <is>
          <t>Soup &amp; Stew</t>
        </is>
      </c>
      <c r="D1303" s="4" t="inlineStr">
        <is>
          <t>Italian</t>
        </is>
      </c>
      <c r="E1303" s="2" t="n">
        <v>6</v>
      </c>
      <c r="F1303" s="2" t="n">
        <v>15</v>
      </c>
      <c r="G1303" s="2" t="n">
        <v>30</v>
      </c>
      <c r="H1303" s="2" t="n">
        <v>45</v>
      </c>
      <c r="I1303" s="4" t="inlineStr">
        <is>
          <t>zuppa-toscana-style-soup.jpg</t>
        </is>
      </c>
      <c r="J1303" s="3" t="inlineStr">
        <is>
          <t>Zuppa Toscana-Style Soup, healthy food photography, plated, natural light</t>
        </is>
      </c>
      <c r="K1303" s="4" t="inlineStr"/>
      <c r="L1303" s="3" t="inlineStr">
        <is>
          <t>Turkey sausage — 300 g (10.6 oz)
New potatoes, boiled — 350 g (12.3 oz)
Kale — 120 g (4.2 oz)
Chicken broth, low sodium — 900 g (31.7 oz)
Yellow onion — 100 g (3.5 oz)
Garlic — 6 g (0.2 oz)
Heavy cream — 60 g (2.1 oz)
Red pepper flakes — 1 g (0.0 oz)</t>
        </is>
      </c>
      <c r="M1303" s="4" t="inlineStr">
        <is>
          <t>[{"ingredient_id": "turkey_sausage", "name": "Turkey sausage", "grams": 300.0, "note": ""}, {"ingredient_id": "new_potato", "name": "New potatoes, boiled", "grams": 350.0, "note": ""}, {"ingredient_id": "kale", "name": "Kale", "grams": 120.0, "note": ""}, {"ingredient_id": "chicken_broth", "name": "Chicken broth, low sodium", "grams": 900.0, "note": ""}, {"ingredient_id": "onion", "name": "Yellow onion", "grams": 100.0, "note": ""}, {"ingredient_id": "garlic", "name": "Garlic", "grams": 6.0, "note": ""}, {"ingredient_id": "heavy_cream", "name": "Heavy cream", "grams": 60.0, "note": ""}, {"ingredient_id": "red_pepper_flakes", "name": "Red pepper flakes", "grams": 1.0, "note": ""}]</t>
        </is>
      </c>
      <c r="N1303" s="2" t="n">
        <v>191</v>
      </c>
      <c r="O1303" s="5" t="n">
        <v>11.4</v>
      </c>
      <c r="P1303" s="5" t="n">
        <v>9.199999999999999</v>
      </c>
      <c r="Q1303" s="5" t="n">
        <v>17.5</v>
      </c>
      <c r="R1303" s="5" t="n">
        <v>2.1</v>
      </c>
      <c r="S1303" s="5" t="n">
        <v>15.3</v>
      </c>
      <c r="T1303" s="2" t="n">
        <v>52</v>
      </c>
      <c r="U1303" s="2" t="inlineStr">
        <is>
          <t>low</t>
        </is>
      </c>
      <c r="V1303" s="5" t="n">
        <v>8</v>
      </c>
      <c r="W1303" s="2" t="inlineStr">
        <is>
          <t>low</t>
        </is>
      </c>
      <c r="X1303" s="3" t="inlineStr"/>
      <c r="Y1303" s="3" t="inlineStr">
        <is>
          <t>69% of this dish's available carbohydrate comes from ingredients with a published, measured GI; the rest uses conventional placeholders (see Ingredients sheet)</t>
        </is>
      </c>
      <c r="Z1303" s="2" t="n">
        <v>69</v>
      </c>
      <c r="AA1303" s="3" t="inlineStr">
        <is>
          <t>gluten-free, nut-free</t>
        </is>
      </c>
      <c r="AB1303" s="3" t="inlineStr">
        <is>
          <t>1. Brown the sausage with the onion and garlic.
2. Add the broth, potatoes and pepper flakes and simmer 15 minutes.
3. Stir in the kale and cream and cook 5 minutes.</t>
        </is>
      </c>
      <c r="AC1303" s="4" t="inlineStr">
        <is>
          <t>["Brown the sausage with the onion and garlic.", "Add the broth, potatoes and pepper flakes and simmer 15 minutes.", "Stir in the kale and cream and cook 5 minutes."]</t>
        </is>
      </c>
    </row>
    <row r="1304" ht="96" customHeight="1">
      <c r="A1304" s="2" t="inlineStr">
        <is>
          <t>DB-1303</t>
        </is>
      </c>
      <c r="B1304" s="3" t="inlineStr">
        <is>
          <t>Gyro Chicken Bowls with Tzatziki</t>
        </is>
      </c>
      <c r="C1304" s="4" t="inlineStr">
        <is>
          <t>Poultry</t>
        </is>
      </c>
      <c r="D1304" s="4" t="inlineStr">
        <is>
          <t>Greek</t>
        </is>
      </c>
      <c r="E1304" s="2" t="n">
        <v>4</v>
      </c>
      <c r="F1304" s="2" t="n">
        <v>20</v>
      </c>
      <c r="G1304" s="2" t="n">
        <v>15</v>
      </c>
      <c r="H1304" s="2" t="n">
        <v>35</v>
      </c>
      <c r="I1304" s="4" t="inlineStr">
        <is>
          <t>gyro-chicken-bowls-with-tzatziki.jpg</t>
        </is>
      </c>
      <c r="J1304" s="3" t="inlineStr">
        <is>
          <t>Gyro Chicken Bowls with Tzatziki, healthy food photography, plated, natural light</t>
        </is>
      </c>
      <c r="K1304" s="4" t="inlineStr"/>
      <c r="L1304" s="3" t="inlineStr">
        <is>
          <t>Chicken thigh, skinless boneless — 550 g (19.4 oz)
White rice, long-grain, cooked — 300 g (10.6 oz)
Cucumber — 150 g (5.3 oz)
Tomato — 150 g (5.3 oz)
Red onion — 40 g (1.4 oz)
Greek yogurt, plain 2% — 150 g (5.3 oz)
Garlic — 6 g (0.2 oz)
Lemon juice — 20 g (0.7 oz)
Dried oregano — 3 g (0.1 oz)
Extra-virgin olive oil — 20 g (0.7 oz)
Feta cheese — 50 g (1.8 oz)</t>
        </is>
      </c>
      <c r="M1304" s="4" t="inlineStr">
        <is>
          <t>[{"ingredient_id": "chicken_thigh", "name": "Chicken thigh, skinless boneless", "grams": 550.0, "note": ""}, {"ingredient_id": "white_rice", "name": "White rice, long-grain, cooked", "grams": 300.0, "note": ""}, {"ingredient_id": "cucumber", "name": "Cucumber", "grams": 150.0, "note": ""}, {"ingredient_id": "tomato", "name": "Tomato", "grams": 150.0, "note": ""}, {"ingredient_id": "red_onion", "name": "Red onion", "grams": 40.0, "note": ""}, {"ingredient_id": "greek_yogurt", "name": "Greek yogurt, plain 2%", "grams": 150.0, "note": ""}, {"ingredient_id": "garlic", "name": "Garlic", "grams": 6.0, "note": ""}, {"ingredient_id": "lemon_juice", "name": "Lemon juice", "grams": 20.0, "note": ""}, {"ingredient_id": "oregano", "name": "Dried oregano", "grams": 3.0, "note": ""}, {"ingredient_id": "olive_oil", "name": "Extra-virgin olive oil", "grams": 20.0, "note": ""}, {"ingredient_id": "feta", "name": "Feta cheese", "grams": 50.0, "note": ""}]</t>
        </is>
      </c>
      <c r="N1304" s="2" t="n">
        <v>389</v>
      </c>
      <c r="O1304" s="5" t="n">
        <v>35.5</v>
      </c>
      <c r="P1304" s="5" t="n">
        <v>14.4</v>
      </c>
      <c r="Q1304" s="5" t="n">
        <v>28.1</v>
      </c>
      <c r="R1304" s="5" t="n">
        <v>1.5</v>
      </c>
      <c r="S1304" s="5" t="n">
        <v>26.6</v>
      </c>
      <c r="T1304" s="2" t="n">
        <v>63</v>
      </c>
      <c r="U1304" s="2" t="inlineStr">
        <is>
          <t>medium</t>
        </is>
      </c>
      <c r="V1304" s="5" t="n">
        <v>16.8</v>
      </c>
      <c r="W1304" s="2" t="inlineStr">
        <is>
          <t>medium</t>
        </is>
      </c>
      <c r="X1304" s="3" t="inlineStr">
        <is>
          <t>Medium-GI dish: keep to the stated portion and pair with the protein/fat in the recipe; GL per serving is the better guide.</t>
        </is>
      </c>
      <c r="Y1304" s="3" t="inlineStr">
        <is>
          <t>83% of this dish's available carbohydrate comes from ingredients with a published, measured GI; the rest uses conventional placeholders (see Ingredients sheet)</t>
        </is>
      </c>
      <c r="Z1304" s="2" t="n">
        <v>83</v>
      </c>
      <c r="AA1304" s="3" t="inlineStr">
        <is>
          <t>gluten-free, nut-free, high-protein</t>
        </is>
      </c>
      <c r="AB1304" s="3" t="inlineStr">
        <is>
          <t>1. Marinate the chicken in oil, lemon and oregano and grill; slice.
2. Stir the yogurt with grated cucumber, garlic and lemon.
3. Build bowls from rice, chicken, tomato, onion and feta with tzatziki.</t>
        </is>
      </c>
      <c r="AC1304" s="4" t="inlineStr">
        <is>
          <t>["Marinate the chicken in oil, lemon and oregano and grill; slice.", "Stir the yogurt with grated cucumber, garlic and lemon.", "Build bowls from rice, chicken, tomato, onion and feta with tzatziki."]</t>
        </is>
      </c>
    </row>
    <row r="1305" ht="96" customHeight="1">
      <c r="A1305" s="2" t="inlineStr">
        <is>
          <t>DB-1304</t>
        </is>
      </c>
      <c r="B1305" s="3" t="inlineStr">
        <is>
          <t>Greek Diner Omelet with Feta and Spinach</t>
        </is>
      </c>
      <c r="C1305" s="4" t="inlineStr">
        <is>
          <t>Breakfast</t>
        </is>
      </c>
      <c r="D1305" s="4" t="inlineStr">
        <is>
          <t>Greek</t>
        </is>
      </c>
      <c r="E1305" s="2" t="n">
        <v>2</v>
      </c>
      <c r="F1305" s="2" t="n">
        <v>5</v>
      </c>
      <c r="G1305" s="2" t="n">
        <v>8</v>
      </c>
      <c r="H1305" s="2" t="n">
        <v>13</v>
      </c>
      <c r="I1305" s="4" t="inlineStr">
        <is>
          <t>greek-diner-omelet-with-feta-and-spinach.jpg</t>
        </is>
      </c>
      <c r="J1305" s="3" t="inlineStr">
        <is>
          <t>Greek Diner Omelet with Feta and Spinach, healthy food photography, plated, natural light</t>
        </is>
      </c>
      <c r="K1305" s="4" t="inlineStr"/>
      <c r="L1305" s="3" t="inlineStr">
        <is>
          <t>Egg, large (50 g each) — 300 g (10.6 oz)
Feta cheese — 60 g (2.1 oz)
Spinach — 80 g (2.8 oz)
Tomato — 80 g (2.8 oz)
Extra-virgin olive oil — 10 g (0.4 oz)
Dried oregano — 1 g (0.0 oz)</t>
        </is>
      </c>
      <c r="M1305" s="4" t="inlineStr">
        <is>
          <t>[{"ingredient_id": "egg", "name": "Egg, large (50 g each)", "grams": 300.0, "note": ""}, {"ingredient_id": "feta", "name": "Feta cheese", "grams": 60.0, "note": ""}, {"ingredient_id": "spinach", "name": "Spinach", "grams": 80.0, "note": ""}, {"ingredient_id": "tomato", "name": "Tomato", "grams": 80.0, "note": ""}, {"ingredient_id": "olive_oil", "name": "Extra-virgin olive oil", "grams": 10.0, "note": ""}, {"ingredient_id": "oregano", "name": "Dried oregano", "grams": 1.0, "note": ""}]</t>
        </is>
      </c>
      <c r="N1305" s="2" t="n">
        <v>356</v>
      </c>
      <c r="O1305" s="5" t="n">
        <v>24.7</v>
      </c>
      <c r="P1305" s="5" t="n">
        <v>25.8</v>
      </c>
      <c r="Q1305" s="5" t="n">
        <v>5.6</v>
      </c>
      <c r="R1305" s="5" t="n">
        <v>1.6</v>
      </c>
      <c r="S1305" s="5" t="n">
        <v>4</v>
      </c>
      <c r="T1305" s="2" t="n">
        <v>7</v>
      </c>
      <c r="U1305" s="2" t="inlineStr">
        <is>
          <t>low</t>
        </is>
      </c>
      <c r="V1305" s="5" t="n">
        <v>0.3</v>
      </c>
      <c r="W1305" s="2" t="inlineStr">
        <is>
          <t>low</t>
        </is>
      </c>
      <c r="X1305" s="3" t="inlineStr">
        <is>
          <t>Negligible carbohydrate (&lt;5 g net/serving): GI has little practical meaning, glycemic load is what matters.</t>
        </is>
      </c>
      <c r="Y1305" s="3" t="inlineStr">
        <is>
          <t>0% of this dish's available carbohydrate comes from ingredients with a published, measured GI; the rest uses conventional placeholders (see Ingredients sheet)</t>
        </is>
      </c>
      <c r="Z1305" s="2" t="n">
        <v>0</v>
      </c>
      <c r="AA1305" s="3" t="inlineStr">
        <is>
          <t>vegetarian, gluten-free, nut-free, low-carb</t>
        </is>
      </c>
      <c r="AB1305" s="3" t="inlineStr">
        <is>
          <t>1. Sauté the spinach and tomato in oil.
2. Add the beaten eggs and cook until nearly set.
3. Top with feta and oregano and fold.</t>
        </is>
      </c>
      <c r="AC1305" s="4" t="inlineStr">
        <is>
          <t>["Sauté the spinach and tomato in oil.", "Add the beaten eggs and cook until nearly set.", "Top with feta and oregano and fold."]</t>
        </is>
      </c>
    </row>
    <row r="1306" ht="96" customHeight="1">
      <c r="A1306" s="2" t="inlineStr">
        <is>
          <t>DB-1305</t>
        </is>
      </c>
      <c r="B1306" s="3" t="inlineStr">
        <is>
          <t>Butter Chicken with Cauliflower Rice</t>
        </is>
      </c>
      <c r="C1306" s="4" t="inlineStr">
        <is>
          <t>Poultry</t>
        </is>
      </c>
      <c r="D1306" s="4" t="inlineStr">
        <is>
          <t>Indian</t>
        </is>
      </c>
      <c r="E1306" s="2" t="n">
        <v>4</v>
      </c>
      <c r="F1306" s="2" t="n">
        <v>15</v>
      </c>
      <c r="G1306" s="2" t="n">
        <v>25</v>
      </c>
      <c r="H1306" s="2" t="n">
        <v>40</v>
      </c>
      <c r="I1306" s="4" t="inlineStr">
        <is>
          <t>butter-chicken-with-cauliflower-rice.jpg</t>
        </is>
      </c>
      <c r="J1306" s="3" t="inlineStr">
        <is>
          <t>Butter Chicken with Cauliflower Rice, healthy food photography, plated, natural light</t>
        </is>
      </c>
      <c r="K1306" s="4" t="inlineStr"/>
      <c r="L1306" s="3" t="inlineStr">
        <is>
          <t>Chicken thigh, skinless boneless — 600 g (21.2 oz)
Tomato sauce, canned, no sugar added — 300 g (10.6 oz)
Heavy cream — 80 g (2.8 oz)
Garam masala — 6 g (0.2 oz)
Ground turmeric — 2 g (0.1 oz)
Fresh ginger — 8 g (0.3 oz)
Garlic — 8 g (0.3 oz)
Yellow onion — 120 g (4.2 oz)
Butter — 20 g (0.7 oz)
Cauliflower rice — 400 g (14.1 oz)</t>
        </is>
      </c>
      <c r="M1306" s="4" t="inlineStr">
        <is>
          <t>[{"ingredient_id": "chicken_thigh", "name": "Chicken thigh, skinless boneless", "grams": 600.0, "note": ""}, {"ingredient_id": "tomato_sauce", "name": "Tomato sauce, canned, no sugar added", "grams": 300.0, "note": ""}, {"ingredient_id": "heavy_cream", "name": "Heavy cream", "grams": 80.0, "note": ""}, {"ingredient_id": "garam_masala", "name": "Garam masala", "grams": 6.0, "note": ""}, {"ingredient_id": "turmeric", "name": "Ground turmeric", "grams": 2.0, "note": ""}, {"ingredient_id": "ginger", "name": "Fresh ginger", "grams": 8.0, "note": ""}, {"ingredient_id": "garlic", "name": "Garlic", "grams": 8.0, "note": ""}, {"ingredient_id": "onion", "name": "Yellow onion", "grams": 120.0, "note": ""}, {"ingredient_id": "butter", "name": "Butter", "grams": 20.0, "note": ""}, {"ingredient_id": "cauliflower_rice", "name": "Cauliflower rice", "grams": 400.0, "note": ""}]</t>
        </is>
      </c>
      <c r="N1306" s="2" t="n">
        <v>351</v>
      </c>
      <c r="O1306" s="5" t="n">
        <v>33.6</v>
      </c>
      <c r="P1306" s="5" t="n">
        <v>18.1</v>
      </c>
      <c r="Q1306" s="5" t="n">
        <v>14.6</v>
      </c>
      <c r="R1306" s="5" t="n">
        <v>4.6</v>
      </c>
      <c r="S1306" s="5" t="n">
        <v>10</v>
      </c>
      <c r="T1306" s="2" t="n">
        <v>21</v>
      </c>
      <c r="U1306" s="2" t="inlineStr">
        <is>
          <t>low</t>
        </is>
      </c>
      <c r="V1306" s="5" t="n">
        <v>2.1</v>
      </c>
      <c r="W1306" s="2" t="inlineStr">
        <is>
          <t>low</t>
        </is>
      </c>
      <c r="X1306" s="3" t="inlineStr"/>
      <c r="Y1306" s="3" t="inlineStr">
        <is>
          <t>0% of this dish's available carbohydrate comes from ingredients with a published, measured GI; the rest uses conventional placeholders (see Ingredients sheet)</t>
        </is>
      </c>
      <c r="Z1306" s="2" t="n">
        <v>0</v>
      </c>
      <c r="AA1306" s="3" t="inlineStr">
        <is>
          <t>gluten-free, nut-free, low-carb, high-protein</t>
        </is>
      </c>
      <c r="AB1306" s="3" t="inlineStr">
        <is>
          <t>1. Brown the chicken in butter.
2. Add the onion, garlic, ginger and spices, then the tomato sauce.
3. Simmer 15 minutes and stir in the cream.
4. Serve over cauliflower rice.</t>
        </is>
      </c>
      <c r="AC1306" s="4" t="inlineStr">
        <is>
          <t>["Brown the chicken in butter.", "Add the onion, garlic, ginger and spices, then the tomato sauce.", "Simmer 15 minutes and stir in the cream.", "Serve over cauliflower rice."]</t>
        </is>
      </c>
    </row>
    <row r="1307" ht="96" customHeight="1">
      <c r="A1307" s="2" t="inlineStr">
        <is>
          <t>DB-1306</t>
        </is>
      </c>
      <c r="B1307" s="3" t="inlineStr">
        <is>
          <t>Herb-Roasted Turkey Breast with Pan Gravy</t>
        </is>
      </c>
      <c r="C1307" s="4" t="inlineStr">
        <is>
          <t>Poultry</t>
        </is>
      </c>
      <c r="D1307" s="4" t="inlineStr">
        <is>
          <t>American</t>
        </is>
      </c>
      <c r="E1307" s="2" t="n">
        <v>8</v>
      </c>
      <c r="F1307" s="2" t="n">
        <v>20</v>
      </c>
      <c r="G1307" s="2" t="n">
        <v>90</v>
      </c>
      <c r="H1307" s="2" t="n">
        <v>110</v>
      </c>
      <c r="I1307" s="4" t="inlineStr">
        <is>
          <t>herb-roasted-turkey-breast-with-pan-gravy.jpg</t>
        </is>
      </c>
      <c r="J1307" s="3" t="inlineStr">
        <is>
          <t>Herb-Roasted Turkey Breast with Pan Gravy, healthy food photography, plated, natural light</t>
        </is>
      </c>
      <c r="K1307" s="4" t="inlineStr"/>
      <c r="L1307" s="3" t="inlineStr">
        <is>
          <t>Turkey breast, skinless — 1600 g (56.4 oz)
Butter — 40 g (1.4 oz)
Fresh sage — 4 g (0.1 oz)
Fresh thyme — 4 g (0.1 oz)
Fresh rosemary — 3 g (0.1 oz)
Garlic — 10 g (0.4 oz)
Chicken broth, low sodium — 400 g (14.1 oz)
Arrowroot starch — 12 g (0.4 oz)
Yellow onion — 150 g (5.3 oz)
Salt — 5 g (0.2 oz)</t>
        </is>
      </c>
      <c r="M1307" s="4" t="inlineStr">
        <is>
          <t>[{"ingredient_id": "turkey_breast", "name": "Turkey breast, skinless", "grams": 1600.0, "note": ""}, {"ingredient_id": "butter", "name": "Butter", "grams": 40.0, "note": ""}, {"ingredient_id": "sage", "name": "Fresh sage", "grams": 4.0, "note": ""}, {"ingredient_id": "thyme", "name": "Fresh thyme", "grams": 4.0, "note": ""}, {"ingredient_id": "rosemary", "name": "Fresh rosemary", "grams": 3.0, "note": ""}, {"ingredient_id": "garlic", "name": "Garlic", "grams": 10.0, "note": ""}, {"ingredient_id": "chicken_broth", "name": "Chicken broth, low sodium", "grams": 400.0, "note": ""}, {"ingredient_id": "arrowroot", "name": "Arrowroot starch", "grams": 12.0, "note": ""}, {"ingredient_id": "onion", "name": "Yellow onion", "grams": 150.0, "note": ""}, {"ingredient_id": "salt", "name": "Salt", "grams": 5.0, "note": ""}]</t>
        </is>
      </c>
      <c r="N1307" s="2" t="n">
        <v>277</v>
      </c>
      <c r="O1307" s="5" t="n">
        <v>48.9</v>
      </c>
      <c r="P1307" s="5" t="n">
        <v>6.3</v>
      </c>
      <c r="Q1307" s="5" t="n">
        <v>4.2</v>
      </c>
      <c r="R1307" s="5" t="n">
        <v>0.7</v>
      </c>
      <c r="S1307" s="5" t="n">
        <v>3.5</v>
      </c>
      <c r="T1307" s="2" t="n">
        <v>34</v>
      </c>
      <c r="U1307" s="2" t="inlineStr">
        <is>
          <t>low</t>
        </is>
      </c>
      <c r="V1307" s="5" t="n">
        <v>1.2</v>
      </c>
      <c r="W1307" s="2" t="inlineStr">
        <is>
          <t>low</t>
        </is>
      </c>
      <c r="X1307" s="3" t="inlineStr">
        <is>
          <t>Negligible carbohydrate (&lt;5 g net/serving): GI has little practical meaning, glycemic load is what matters.</t>
        </is>
      </c>
      <c r="Y1307" s="3" t="inlineStr">
        <is>
          <t>36% of this dish's available carbohydrate comes from ingredients with a published, measured GI; the rest uses conventional placeholders (see Ingredients sheet)</t>
        </is>
      </c>
      <c r="Z1307" s="2" t="n">
        <v>36</v>
      </c>
      <c r="AA1307" s="3" t="inlineStr">
        <is>
          <t>gluten-free, nut-free, low-carb, high-protein</t>
        </is>
      </c>
      <c r="AB1307" s="3" t="inlineStr">
        <is>
          <t>1. Rub the turkey with butter, herbs, garlic and salt and set on the onion.
2. Roast at 350°F until 165°F, about 90 minutes, adding broth to the pan.
3. Strain the juices, thicken with arrowroot into a gravy and slice.</t>
        </is>
      </c>
      <c r="AC1307" s="4" t="inlineStr">
        <is>
          <t>["Rub the turkey with butter, herbs, garlic and salt and set on the onion.", "Roast at 350°F until 165°F, about 90 minutes, adding broth to the pan.", "Strain the juices, thicken with arrowroot into a gravy and slice."]</t>
        </is>
      </c>
    </row>
    <row r="1308" ht="96" customHeight="1">
      <c r="A1308" s="2" t="inlineStr">
        <is>
          <t>DB-1307</t>
        </is>
      </c>
      <c r="B1308" s="3" t="inlineStr">
        <is>
          <t>Bread Stuffing with Celery and Sage</t>
        </is>
      </c>
      <c r="C1308" s="4" t="inlineStr">
        <is>
          <t>Side Dish</t>
        </is>
      </c>
      <c r="D1308" s="4" t="inlineStr">
        <is>
          <t>American</t>
        </is>
      </c>
      <c r="E1308" s="2" t="n">
        <v>8</v>
      </c>
      <c r="F1308" s="2" t="n">
        <v>20</v>
      </c>
      <c r="G1308" s="2" t="n">
        <v>40</v>
      </c>
      <c r="H1308" s="2" t="n">
        <v>60</v>
      </c>
      <c r="I1308" s="4" t="inlineStr">
        <is>
          <t>bread-stuffing-with-celery-and-sage.jpg</t>
        </is>
      </c>
      <c r="J1308" s="3" t="inlineStr">
        <is>
          <t>Bread Stuffing with Celery and Sage, healthy food photography, plated, natural light</t>
        </is>
      </c>
      <c r="K1308" s="4" t="inlineStr"/>
      <c r="L1308" s="3" t="inlineStr">
        <is>
          <t>White bread — 320 g (11.3 oz)
Celery — 150 g (5.3 oz)
Yellow onion — 150 g (5.3 oz)
Chicken broth, low sodium — 350 g (12.3 oz)
Butter — 40 g (1.4 oz)
Fresh sage — 4 g (0.1 oz)
Fresh thyme — 3 g (0.1 oz)
Egg, large (50 g each) — 50 g (1.8 oz)</t>
        </is>
      </c>
      <c r="M1308" s="4" t="inlineStr">
        <is>
          <t>[{"ingredient_id": "white_bread", "name": "White bread", "grams": 320.0, "note": ""}, {"ingredient_id": "celery", "name": "Celery", "grams": 150.0, "note": ""}, {"ingredient_id": "onion", "name": "Yellow onion", "grams": 150.0, "note": ""}, {"ingredient_id": "chicken_broth", "name": "Chicken broth, low sodium", "grams": 350.0, "note": ""}, {"ingredient_id": "butter", "name": "Butter", "grams": 40.0, "note": ""}, {"ingredient_id": "sage", "name": "Fresh sage", "grams": 4.0, "note": ""}, {"ingredient_id": "thyme", "name": "Fresh thyme", "grams": 3.0, "note": ""}, {"ingredient_id": "egg", "name": "Egg, large (50 g each)", "grams": 50.0, "note": ""}]</t>
        </is>
      </c>
      <c r="N1308" s="2" t="n">
        <v>167</v>
      </c>
      <c r="O1308" s="5" t="n">
        <v>5.5</v>
      </c>
      <c r="P1308" s="5" t="n">
        <v>6.3</v>
      </c>
      <c r="Q1308" s="5" t="n">
        <v>22.6</v>
      </c>
      <c r="R1308" s="5" t="n">
        <v>1.8</v>
      </c>
      <c r="S1308" s="5" t="n">
        <v>20.8</v>
      </c>
      <c r="T1308" s="2" t="n">
        <v>66</v>
      </c>
      <c r="U1308" s="2" t="inlineStr">
        <is>
          <t>medium</t>
        </is>
      </c>
      <c r="V1308" s="5" t="n">
        <v>13.8</v>
      </c>
      <c r="W1308" s="2" t="inlineStr">
        <is>
          <t>medium</t>
        </is>
      </c>
      <c r="X1308" s="3" t="inlineStr">
        <is>
          <t>Medium-GI dish: keep to the stated portion and pair with the protein/fat in the recipe; GL per serving is the better guide.</t>
        </is>
      </c>
      <c r="Y1308" s="3" t="inlineStr">
        <is>
          <t>90% of this dish's available carbohydrate comes from ingredients with a published, measured GI; the rest uses conventional placeholders (see Ingredients sheet)</t>
        </is>
      </c>
      <c r="Z1308" s="2" t="n">
        <v>90</v>
      </c>
      <c r="AA1308" s="3" t="inlineStr">
        <is>
          <t>vegetarian, nut-free</t>
        </is>
      </c>
      <c r="AB1308" s="3" t="inlineStr">
        <is>
          <t>1. Cube and dry the bread.
2. Sauté the onion and celery in butter with the herbs.
3. Toss with the bread, broth and egg.
4. Bake covered at 350°F for 30 minutes, uncovered for 10.</t>
        </is>
      </c>
      <c r="AC1308" s="4" t="inlineStr">
        <is>
          <t>["Cube and dry the bread.", "Sauté the onion and celery in butter with the herbs.", "Toss with the bread, broth and egg.", "Bake covered at 350°F for 30 minutes, uncovered for 10."]</t>
        </is>
      </c>
    </row>
    <row r="1309" ht="96" customHeight="1">
      <c r="A1309" s="2" t="inlineStr">
        <is>
          <t>DB-1308</t>
        </is>
      </c>
      <c r="B1309" s="3" t="inlineStr">
        <is>
          <t>Cranberry Sauce with Orange (Low Sugar)</t>
        </is>
      </c>
      <c r="C1309" s="4" t="inlineStr">
        <is>
          <t>Side Dish</t>
        </is>
      </c>
      <c r="D1309" s="4" t="inlineStr">
        <is>
          <t>American</t>
        </is>
      </c>
      <c r="E1309" s="2" t="n">
        <v>8</v>
      </c>
      <c r="F1309" s="2" t="n">
        <v>5</v>
      </c>
      <c r="G1309" s="2" t="n">
        <v>12</v>
      </c>
      <c r="H1309" s="2" t="n">
        <v>17</v>
      </c>
      <c r="I1309" s="4" t="inlineStr">
        <is>
          <t>cranberry-sauce-with-orange-low-sugar.jpg</t>
        </is>
      </c>
      <c r="J1309" s="3" t="inlineStr">
        <is>
          <t>Cranberry Sauce with Orange (Low Sugar), healthy food photography, plated, natural light</t>
        </is>
      </c>
      <c r="K1309" s="4" t="inlineStr"/>
      <c r="L1309" s="3" t="inlineStr">
        <is>
          <t>Cranberries, fresh — 340 g (12.0 oz)
Orange — 100 g (3.5 oz)
Monk fruit/erythritol sweetener — 12 g (0.4 oz)
Ground cinnamon — 1 g (0.0 oz)
Water / ice — 80 g (2.8 oz)</t>
        </is>
      </c>
      <c r="M1309" s="4" t="inlineStr">
        <is>
          <t>[{"ingredient_id": "cranberries", "name": "Cranberries, fresh", "grams": 340.0, "note": ""}, {"ingredient_id": "orange", "name": "Orange", "grams": 100.0, "note": ""}, {"ingredient_id": "monk_fruit_sweetener", "name": "Monk fruit/erythritol sweetener", "grams": 12.0, "note": ""}, {"ingredient_id": "cinnamon", "name": "Ground cinnamon", "grams": 1.0, "note": ""}, {"ingredient_id": "water", "name": "Water / ice", "grams": 80.0, "note": ""}]</t>
        </is>
      </c>
      <c r="N1309" s="2" t="n">
        <v>26</v>
      </c>
      <c r="O1309" s="5" t="n">
        <v>0.3</v>
      </c>
      <c r="P1309" s="5" t="n">
        <v>0.1</v>
      </c>
      <c r="Q1309" s="5" t="n">
        <v>6.7</v>
      </c>
      <c r="R1309" s="5" t="n">
        <v>2.3</v>
      </c>
      <c r="S1309" s="5" t="n">
        <v>4.4</v>
      </c>
      <c r="T1309" s="2" t="n">
        <v>44</v>
      </c>
      <c r="U1309" s="2" t="inlineStr">
        <is>
          <t>low</t>
        </is>
      </c>
      <c r="V1309" s="5" t="n">
        <v>1.9</v>
      </c>
      <c r="W1309" s="2" t="inlineStr">
        <is>
          <t>low</t>
        </is>
      </c>
      <c r="X1309" s="3" t="inlineStr">
        <is>
          <t>Negligible carbohydrate (&lt;5 g net/serving): GI has little practical meaning, glycemic load is what matters.</t>
        </is>
      </c>
      <c r="Y1309" s="3" t="inlineStr">
        <is>
          <t>27% of this dish's available carbohydrate comes from ingredients with a published, measured GI; the rest uses conventional placeholders (see Ingredients sheet)</t>
        </is>
      </c>
      <c r="Z1309" s="2" t="n">
        <v>27</v>
      </c>
      <c r="AA1309" s="3" t="inlineStr">
        <is>
          <t>vegan, gluten-free, dairy-free, nut-free, low-carb</t>
        </is>
      </c>
      <c r="AB1309" s="3" t="inlineStr">
        <is>
          <t>1. Simmer everything for 10 to 12 minutes until the berries pop.
2. Cool; it thickens as it chills.</t>
        </is>
      </c>
      <c r="AC1309" s="4" t="inlineStr">
        <is>
          <t>["Simmer everything for 10 to 12 minutes until the berries pop.", "Cool; it thickens as it chills."]</t>
        </is>
      </c>
    </row>
    <row r="1310" ht="96" customHeight="1">
      <c r="A1310" s="2" t="inlineStr">
        <is>
          <t>DB-1309</t>
        </is>
      </c>
      <c r="B1310" s="3" t="inlineStr">
        <is>
          <t>Pumpkin Custard (Crustless Pie)</t>
        </is>
      </c>
      <c r="C1310" s="4" t="inlineStr">
        <is>
          <t>Dessert</t>
        </is>
      </c>
      <c r="D1310" s="4" t="inlineStr">
        <is>
          <t>American</t>
        </is>
      </c>
      <c r="E1310" s="2" t="n">
        <v>8</v>
      </c>
      <c r="F1310" s="2" t="n">
        <v>10</v>
      </c>
      <c r="G1310" s="2" t="n">
        <v>50</v>
      </c>
      <c r="H1310" s="2" t="n">
        <v>60</v>
      </c>
      <c r="I1310" s="4" t="inlineStr">
        <is>
          <t>pumpkin-custard-crustless-pie.jpg</t>
        </is>
      </c>
      <c r="J1310" s="3" t="inlineStr">
        <is>
          <t>Pumpkin Custard (Crustless Pie), healthy food photography, plated, natural light</t>
        </is>
      </c>
      <c r="K1310" s="4" t="inlineStr"/>
      <c r="L1310" s="3" t="inlineStr">
        <is>
          <t>Pumpkin puree, canned — 425 g (15.0 oz)
Egg, large (50 g each) — 150 g (5.3 oz)
Milk, 2% — 300 g (10.6 oz)
White sugar — 30 g (1.1 oz)
Pumpkin pie spice — 5 g (0.2 oz)
Vanilla extract — 5 g (0.2 oz)</t>
        </is>
      </c>
      <c r="M1310" s="4" t="inlineStr">
        <is>
          <t>[{"ingredient_id": "pumpkin_puree", "name": "Pumpkin puree, canned", "grams": 425.0, "note": ""}, {"ingredient_id": "egg", "name": "Egg, large (50 g each)", "grams": 150.0, "note": ""}, {"ingredient_id": "milk", "name": "Milk, 2%", "grams": 300.0, "note": ""}, {"ingredient_id": "sugar_white", "name": "White sugar", "grams": 30.0, "note": ""}, {"ingredient_id": "pumpkin_pie_spice", "name": "Pumpkin pie spice", "grams": 5.0, "note": ""}, {"ingredient_id": "vanilla_extract", "name": "Vanilla extract", "grams": 5.0, "note": ""}]</t>
        </is>
      </c>
      <c r="N1310" s="2" t="n">
        <v>83</v>
      </c>
      <c r="O1310" s="5" t="n">
        <v>4.2</v>
      </c>
      <c r="P1310" s="5" t="n">
        <v>2.6</v>
      </c>
      <c r="Q1310" s="5" t="n">
        <v>10.5</v>
      </c>
      <c r="R1310" s="5" t="n">
        <v>1.8</v>
      </c>
      <c r="S1310" s="5" t="n">
        <v>8.699999999999999</v>
      </c>
      <c r="T1310" s="2" t="n">
        <v>56</v>
      </c>
      <c r="U1310" s="2" t="inlineStr">
        <is>
          <t>medium</t>
        </is>
      </c>
      <c r="V1310" s="5" t="n">
        <v>4.9</v>
      </c>
      <c r="W1310" s="2" t="inlineStr">
        <is>
          <t>low</t>
        </is>
      </c>
      <c r="X1310" s="3" t="inlineStr">
        <is>
          <t>Medium-GI dish: keep to the stated portion and pair with the protein/fat in the recipe; GL per serving is the better guide.</t>
        </is>
      </c>
      <c r="Y1310" s="3" t="inlineStr">
        <is>
          <t>94% of this dish's available carbohydrate comes from ingredients with a published, measured GI; the rest uses conventional placeholders (see Ingredients sheet)</t>
        </is>
      </c>
      <c r="Z1310" s="2" t="n">
        <v>94</v>
      </c>
      <c r="AA1310" s="3" t="inlineStr">
        <is>
          <t>vegetarian, gluten-free, nut-free, low-carb</t>
        </is>
      </c>
      <c r="AB1310" s="3" t="inlineStr">
        <is>
          <t>1. Whisk everything together.
2. Pour into a greased dish.
3. Bake at 350°F for 45 to 50 minutes until set.</t>
        </is>
      </c>
      <c r="AC1310" s="4" t="inlineStr">
        <is>
          <t>["Whisk everything together.", "Pour into a greased dish.", "Bake at 350°F for 45 to 50 minutes until set."]</t>
        </is>
      </c>
    </row>
    <row r="1311" ht="96" customHeight="1">
      <c r="A1311" s="2" t="inlineStr">
        <is>
          <t>DB-1310</t>
        </is>
      </c>
      <c r="B1311" s="3" t="inlineStr">
        <is>
          <t>Roasted Brussels Sprouts with Pecans and Cranberries</t>
        </is>
      </c>
      <c r="C1311" s="4" t="inlineStr">
        <is>
          <t>Side Dish</t>
        </is>
      </c>
      <c r="D1311" s="4" t="inlineStr">
        <is>
          <t>American</t>
        </is>
      </c>
      <c r="E1311" s="2" t="n">
        <v>6</v>
      </c>
      <c r="F1311" s="2" t="n">
        <v>10</v>
      </c>
      <c r="G1311" s="2" t="n">
        <v>25</v>
      </c>
      <c r="H1311" s="2" t="n">
        <v>35</v>
      </c>
      <c r="I1311" s="4" t="inlineStr">
        <is>
          <t>roasted-brussels-sprouts-with-pecans-and-cranberries.jpg</t>
        </is>
      </c>
      <c r="J1311" s="3" t="inlineStr">
        <is>
          <t>Roasted Brussels Sprouts with Pecans and Cranberries, healthy food photography, plated, natural light</t>
        </is>
      </c>
      <c r="K1311" s="4" t="inlineStr"/>
      <c r="L1311" s="3" t="inlineStr">
        <is>
          <t>Brussels sprouts — 600 g (21.2 oz)
Pecans — 40 g (1.4 oz)
Cranberries, fresh — 40 g (1.4 oz)
Extra-virgin olive oil — 25 g (0.9 oz)
Balsamic vinegar — 15 g (0.5 oz)
Salt — 2 g (0.1 oz)</t>
        </is>
      </c>
      <c r="M1311" s="4" t="inlineStr">
        <is>
          <t>[{"ingredient_id": "brussels_sprouts", "name": "Brussels sprouts", "grams": 600.0, "note": ""}, {"ingredient_id": "pecans", "name": "Pecans", "grams": 40.0, "note": ""}, {"ingredient_id": "cranberries", "name": "Cranberries, fresh", "grams": 40.0, "note": ""}, {"ingredient_id": "olive_oil", "name": "Extra-virgin olive oil", "grams": 25.0, "note": ""}, {"ingredient_id": "balsamic_vinegar", "name": "Balsamic vinegar", "grams": 15.0, "note": ""}, {"ingredient_id": "salt", "name": "Salt", "grams": 2.0, "note": ""}]</t>
        </is>
      </c>
      <c r="N1311" s="2" t="n">
        <v>131</v>
      </c>
      <c r="O1311" s="5" t="n">
        <v>4</v>
      </c>
      <c r="P1311" s="5" t="n">
        <v>9.300000000000001</v>
      </c>
      <c r="Q1311" s="5" t="n">
        <v>11.2</v>
      </c>
      <c r="R1311" s="5" t="n">
        <v>4.7</v>
      </c>
      <c r="S1311" s="5" t="n">
        <v>6.4</v>
      </c>
      <c r="T1311" s="2" t="n">
        <v>19</v>
      </c>
      <c r="U1311" s="2" t="inlineStr">
        <is>
          <t>low</t>
        </is>
      </c>
      <c r="V1311" s="5" t="n">
        <v>1.2</v>
      </c>
      <c r="W1311" s="2" t="inlineStr">
        <is>
          <t>low</t>
        </is>
      </c>
      <c r="X1311" s="3" t="inlineStr"/>
      <c r="Y1311" s="3" t="inlineStr">
        <is>
          <t>0% of this dish's available carbohydrate comes from ingredients with a published, measured GI; the rest uses conventional placeholders (see Ingredients sheet)</t>
        </is>
      </c>
      <c r="Z1311" s="2" t="n">
        <v>0</v>
      </c>
      <c r="AA1311" s="3" t="inlineStr">
        <is>
          <t>vegan, gluten-free, dairy-free, low-carb</t>
        </is>
      </c>
      <c r="AB1311" s="3" t="inlineStr">
        <is>
          <t>1. Roast the halved sprouts with oil and salt at 425°F for 20 minutes.
2. Toss with pecans, cranberries and balsamic.</t>
        </is>
      </c>
      <c r="AC1311" s="4" t="inlineStr">
        <is>
          <t>["Roast the halved sprouts with oil and salt at 425°F for 20 minutes.", "Toss with pecans, cranberries and balsamic."]</t>
        </is>
      </c>
    </row>
    <row r="1312" ht="96" customHeight="1">
      <c r="A1312" s="2" t="inlineStr">
        <is>
          <t>DB-1311</t>
        </is>
      </c>
      <c r="B1312" s="3" t="inlineStr">
        <is>
          <t>Mashed Cauliflower and Potato</t>
        </is>
      </c>
      <c r="C1312" s="4" t="inlineStr">
        <is>
          <t>Side Dish</t>
        </is>
      </c>
      <c r="D1312" s="4" t="inlineStr">
        <is>
          <t>American</t>
        </is>
      </c>
      <c r="E1312" s="2" t="n">
        <v>6</v>
      </c>
      <c r="F1312" s="2" t="n">
        <v>10</v>
      </c>
      <c r="G1312" s="2" t="n">
        <v>20</v>
      </c>
      <c r="H1312" s="2" t="n">
        <v>30</v>
      </c>
      <c r="I1312" s="4" t="inlineStr">
        <is>
          <t>mashed-cauliflower-and-potato.jpg</t>
        </is>
      </c>
      <c r="J1312" s="3" t="inlineStr">
        <is>
          <t>Mashed Cauliflower and Potato, healthy food photography, plated, natural light</t>
        </is>
      </c>
      <c r="K1312" s="4" t="inlineStr"/>
      <c r="L1312" s="3" t="inlineStr">
        <is>
          <t>Cauliflower — 450 g (15.9 oz)
Potato, boiled, peeled — 300 g (10.6 oz)
Butter — 25 g (0.9 oz)
Milk, 2% — 80 g (2.8 oz)
Garlic — 4 g (0.1 oz)
Fresh chives — 4 g (0.1 oz)</t>
        </is>
      </c>
      <c r="M1312" s="4" t="inlineStr">
        <is>
          <t>[{"ingredient_id": "cauliflower", "name": "Cauliflower", "grams": 450.0, "note": ""}, {"ingredient_id": "potato_boiled", "name": "Potato, boiled, peeled", "grams": 300.0, "note": ""}, {"ingredient_id": "butter", "name": "Butter", "grams": 25.0, "note": ""}, {"ingredient_id": "milk", "name": "Milk, 2%", "grams": 80.0, "note": ""}, {"ingredient_id": "garlic", "name": "Garlic", "grams": 4.0, "note": ""}, {"ingredient_id": "chives", "name": "Fresh chives", "grams": 4.0, "note": ""}]</t>
        </is>
      </c>
      <c r="N1312" s="2" t="n">
        <v>103</v>
      </c>
      <c r="O1312" s="5" t="n">
        <v>2.9</v>
      </c>
      <c r="P1312" s="5" t="n">
        <v>3.9</v>
      </c>
      <c r="Q1312" s="5" t="n">
        <v>15.4</v>
      </c>
      <c r="R1312" s="5" t="n">
        <v>2.3</v>
      </c>
      <c r="S1312" s="5" t="n">
        <v>13.1</v>
      </c>
      <c r="T1312" s="2" t="n">
        <v>55</v>
      </c>
      <c r="U1312" s="2" t="inlineStr">
        <is>
          <t>low</t>
        </is>
      </c>
      <c r="V1312" s="5" t="n">
        <v>7.2</v>
      </c>
      <c r="W1312" s="2" t="inlineStr">
        <is>
          <t>low</t>
        </is>
      </c>
      <c r="X1312" s="3" t="inlineStr"/>
      <c r="Y1312" s="3" t="inlineStr">
        <is>
          <t>81% of this dish's available carbohydrate comes from ingredients with a published, measured GI; the rest uses conventional placeholders (see Ingredients sheet)</t>
        </is>
      </c>
      <c r="Z1312" s="2" t="n">
        <v>81</v>
      </c>
      <c r="AA1312" s="3" t="inlineStr">
        <is>
          <t>vegetarian, gluten-free, nut-free, low-carb</t>
        </is>
      </c>
      <c r="AB1312" s="3" t="inlineStr">
        <is>
          <t>1. Boil the cauliflower and potatoes until tender.
2. Mash with butter, milk and garlic.
3. Top with chives.</t>
        </is>
      </c>
      <c r="AC1312" s="4" t="inlineStr">
        <is>
          <t>["Boil the cauliflower and potatoes until tender.", "Mash with butter, milk and garlic.", "Top with chives."]</t>
        </is>
      </c>
    </row>
    <row r="1313" ht="96" customHeight="1">
      <c r="A1313" s="2" t="inlineStr">
        <is>
          <t>DB-1312</t>
        </is>
      </c>
      <c r="B1313" s="3" t="inlineStr">
        <is>
          <t>Thyme Roasted Carrots</t>
        </is>
      </c>
      <c r="C1313" s="4" t="inlineStr">
        <is>
          <t>Side Dish</t>
        </is>
      </c>
      <c r="D1313" s="4" t="inlineStr">
        <is>
          <t>American</t>
        </is>
      </c>
      <c r="E1313" s="2" t="n">
        <v>6</v>
      </c>
      <c r="F1313" s="2" t="n">
        <v>10</v>
      </c>
      <c r="G1313" s="2" t="n">
        <v>30</v>
      </c>
      <c r="H1313" s="2" t="n">
        <v>40</v>
      </c>
      <c r="I1313" s="4" t="inlineStr">
        <is>
          <t>thyme-roasted-carrots.jpg</t>
        </is>
      </c>
      <c r="J1313" s="3" t="inlineStr">
        <is>
          <t>Thyme Roasted Carrots, healthy food photography, plated, natural light</t>
        </is>
      </c>
      <c r="K1313" s="4" t="inlineStr"/>
      <c r="L1313" s="3" t="inlineStr">
        <is>
          <t>Carrot — 700 g (24.7 oz)
Extra-virgin olive oil — 25 g (0.9 oz)
Fresh thyme — 3 g (0.1 oz)
Salt — 2 g (0.1 oz)
Black pepper — 1 g (0.0 oz)</t>
        </is>
      </c>
      <c r="M1313" s="4" t="inlineStr">
        <is>
          <t>[{"ingredient_id": "carrot", "name": "Carrot", "grams": 700.0, "note": ""}, {"ingredient_id": "olive_oil", "name": "Extra-virgin olive oil", "grams": 25.0, "note": ""}, {"ingredient_id": "thyme", "name": "Fresh thyme", "grams": 3.0, "note": ""}, {"ingredient_id": "salt", "name": "Salt", "grams": 2.0, "note": ""}, {"ingredient_id": "black_pepper", "name": "Black pepper", "grams": 1.0, "note": ""}]</t>
        </is>
      </c>
      <c r="N1313" s="2" t="n">
        <v>86</v>
      </c>
      <c r="O1313" s="5" t="n">
        <v>1.1</v>
      </c>
      <c r="P1313" s="5" t="n">
        <v>4.4</v>
      </c>
      <c r="Q1313" s="5" t="n">
        <v>11.4</v>
      </c>
      <c r="R1313" s="5" t="n">
        <v>3.4</v>
      </c>
      <c r="S1313" s="5" t="n">
        <v>8</v>
      </c>
      <c r="T1313" s="2" t="n">
        <v>39</v>
      </c>
      <c r="U1313" s="2" t="inlineStr">
        <is>
          <t>low</t>
        </is>
      </c>
      <c r="V1313" s="5" t="n">
        <v>3.1</v>
      </c>
      <c r="W1313" s="2" t="inlineStr">
        <is>
          <t>low</t>
        </is>
      </c>
      <c r="X1313" s="3" t="inlineStr"/>
      <c r="Y1313" s="3" t="inlineStr">
        <is>
          <t>99% of this dish's available carbohydrate comes from ingredients with a published, measured GI; the rest uses conventional placeholders (see Ingredients sheet)</t>
        </is>
      </c>
      <c r="Z1313" s="2" t="n">
        <v>99</v>
      </c>
      <c r="AA1313" s="3" t="inlineStr">
        <is>
          <t>vegan, gluten-free, dairy-free, nut-free, low-carb</t>
        </is>
      </c>
      <c r="AB1313" s="3" t="inlineStr">
        <is>
          <t>1. Roast the carrots with oil and thyme at 425°F for 30 minutes.</t>
        </is>
      </c>
      <c r="AC1313" s="4" t="inlineStr">
        <is>
          <t>["Roast the carrots with oil and thyme at 425°F for 30 minutes."]</t>
        </is>
      </c>
    </row>
    <row r="1314" ht="96" customHeight="1">
      <c r="A1314" s="2" t="inlineStr">
        <is>
          <t>DB-1313</t>
        </is>
      </c>
      <c r="B1314" s="3" t="inlineStr">
        <is>
          <t>Glazed Ham Steak with Pineapple</t>
        </is>
      </c>
      <c r="C1314" s="4" t="inlineStr">
        <is>
          <t>Beef, Pork &amp; Lamb</t>
        </is>
      </c>
      <c r="D1314" s="4" t="inlineStr">
        <is>
          <t>American</t>
        </is>
      </c>
      <c r="E1314" s="2" t="n">
        <v>4</v>
      </c>
      <c r="F1314" s="2" t="n">
        <v>5</v>
      </c>
      <c r="G1314" s="2" t="n">
        <v>12</v>
      </c>
      <c r="H1314" s="2" t="n">
        <v>17</v>
      </c>
      <c r="I1314" s="4" t="inlineStr">
        <is>
          <t>glazed-ham-steak-with-pineapple.jpg</t>
        </is>
      </c>
      <c r="J1314" s="3" t="inlineStr">
        <is>
          <t>Glazed Ham Steak with Pineapple, healthy food photography, plated, natural light</t>
        </is>
      </c>
      <c r="K1314" s="4" t="inlineStr"/>
      <c r="L1314" s="3" t="inlineStr">
        <is>
          <t>Ham, lean — 500 g (17.6 oz)
Pineapple — 150 g (5.3 oz)
Dijon mustard — 20 g (0.7 oz)
Apple cider vinegar — 10 g (0.4 oz)
Black pepper — 1 g (0.0 oz)
Extra-virgin olive oil — 10 g (0.4 oz)</t>
        </is>
      </c>
      <c r="M1314" s="4" t="inlineStr">
        <is>
          <t>[{"ingredient_id": "ham", "name": "Ham, lean", "grams": 500.0, "note": ""}, {"ingredient_id": "pineapple", "name": "Pineapple", "grams": 150.0, "note": ""}, {"ingredient_id": "dijon", "name": "Dijon mustard", "grams": 20.0, "note": ""}, {"ingredient_id": "apple_cider_vinegar", "name": "Apple cider vinegar", "grams": 10.0, "note": ""}, {"ingredient_id": "black_pepper", "name": "Black pepper", "grams": 1.0, "note": ""}, {"ingredient_id": "olive_oil", "name": "Extra-virgin olive oil", "grams": 10.0, "note": ""}]</t>
        </is>
      </c>
      <c r="N1314" s="2" t="n">
        <v>227</v>
      </c>
      <c r="O1314" s="5" t="n">
        <v>26.7</v>
      </c>
      <c r="P1314" s="5" t="n">
        <v>10.2</v>
      </c>
      <c r="Q1314" s="5" t="n">
        <v>7.2</v>
      </c>
      <c r="R1314" s="5" t="n">
        <v>0.7</v>
      </c>
      <c r="S1314" s="5" t="n">
        <v>6.4</v>
      </c>
      <c r="T1314" s="2" t="n">
        <v>48</v>
      </c>
      <c r="U1314" s="2" t="inlineStr">
        <is>
          <t>low</t>
        </is>
      </c>
      <c r="V1314" s="5" t="n">
        <v>3.1</v>
      </c>
      <c r="W1314" s="2" t="inlineStr">
        <is>
          <t>low</t>
        </is>
      </c>
      <c r="X1314" s="3" t="inlineStr"/>
      <c r="Y1314" s="3" t="inlineStr">
        <is>
          <t>67% of this dish's available carbohydrate comes from ingredients with a published, measured GI; the rest uses conventional placeholders (see Ingredients sheet)</t>
        </is>
      </c>
      <c r="Z1314" s="2" t="n">
        <v>67</v>
      </c>
      <c r="AA1314" s="3" t="inlineStr">
        <is>
          <t>gluten-free, dairy-free, nut-free, low-carb, high-protein</t>
        </is>
      </c>
      <c r="AB1314" s="3" t="inlineStr">
        <is>
          <t>1. Sear the ham steaks in oil.
2. Brush with mustard and vinegar and top with pineapple.
3. Broil 3 minutes.</t>
        </is>
      </c>
      <c r="AC1314" s="4" t="inlineStr">
        <is>
          <t>["Sear the ham steaks in oil.", "Brush with mustard and vinegar and top with pineapple.", "Broil 3 minutes."]</t>
        </is>
      </c>
    </row>
    <row r="1315" ht="96" customHeight="1">
      <c r="A1315" s="2" t="inlineStr">
        <is>
          <t>DB-1314</t>
        </is>
      </c>
      <c r="B1315" s="3" t="inlineStr">
        <is>
          <t>Sweet Potato Mash with Cinnamon</t>
        </is>
      </c>
      <c r="C1315" s="4" t="inlineStr">
        <is>
          <t>Side Dish</t>
        </is>
      </c>
      <c r="D1315" s="4" t="inlineStr">
        <is>
          <t>American</t>
        </is>
      </c>
      <c r="E1315" s="2" t="n">
        <v>5</v>
      </c>
      <c r="F1315" s="2" t="n">
        <v>10</v>
      </c>
      <c r="G1315" s="2" t="n">
        <v>25</v>
      </c>
      <c r="H1315" s="2" t="n">
        <v>35</v>
      </c>
      <c r="I1315" s="4" t="inlineStr">
        <is>
          <t>sweet-potato-mash-with-cinnamon.jpg</t>
        </is>
      </c>
      <c r="J1315" s="3" t="inlineStr">
        <is>
          <t>Sweet Potato Mash with Cinnamon, healthy food photography, plated, natural light</t>
        </is>
      </c>
      <c r="K1315" s="4" t="inlineStr"/>
      <c r="L1315" s="3" t="inlineStr">
        <is>
          <t>Sweet potato, boiled/simmered — 700 g (24.7 oz)
Butter — 20 g (0.7 oz)
Ground cinnamon — 2 g (0.1 oz)
Milk, 2% — 60 g (2.1 oz)
Salt — 1 g (0.0 oz)</t>
        </is>
      </c>
      <c r="M1315" s="4" t="inlineStr">
        <is>
          <t>[{"ingredient_id": "sweet_potato", "name": "Sweet potato, boiled/simmered", "grams": 700.0, "note": ""}, {"ingredient_id": "butter", "name": "Butter", "grams": 20.0, "note": ""}, {"ingredient_id": "cinnamon", "name": "Ground cinnamon", "grams": 2.0, "note": ""}, {"ingredient_id": "milk", "name": "Milk, 2%", "grams": 60.0, "note": ""}, {"ingredient_id": "salt", "name": "Salt", "grams": 1.0, "note": ""}]</t>
        </is>
      </c>
      <c r="N1315" s="2" t="n">
        <v>156</v>
      </c>
      <c r="O1315" s="5" t="n">
        <v>2.7</v>
      </c>
      <c r="P1315" s="5" t="n">
        <v>3.6</v>
      </c>
      <c r="Q1315" s="5" t="n">
        <v>28.9</v>
      </c>
      <c r="R1315" s="5" t="n">
        <v>4.4</v>
      </c>
      <c r="S1315" s="5" t="n">
        <v>24.5</v>
      </c>
      <c r="T1315" s="2" t="n">
        <v>45</v>
      </c>
      <c r="U1315" s="2" t="inlineStr">
        <is>
          <t>low</t>
        </is>
      </c>
      <c r="V1315" s="5" t="n">
        <v>11</v>
      </c>
      <c r="W1315" s="2" t="inlineStr">
        <is>
          <t>medium</t>
        </is>
      </c>
      <c r="X1315" s="3" t="inlineStr"/>
      <c r="Y1315" s="3" t="inlineStr">
        <is>
          <t>100% of this dish's available carbohydrate comes from ingredients with a published, measured GI; the rest uses conventional placeholders (see Ingredients sheet)</t>
        </is>
      </c>
      <c r="Z1315" s="2" t="n">
        <v>100</v>
      </c>
      <c r="AA1315" s="3" t="inlineStr">
        <is>
          <t>vegetarian, gluten-free, nut-free</t>
        </is>
      </c>
      <c r="AB1315" s="3" t="inlineStr">
        <is>
          <t>1. Boil the sweet potatoes until soft.
2. Mash with butter, milk, cinnamon and salt.</t>
        </is>
      </c>
      <c r="AC1315" s="4" t="inlineStr">
        <is>
          <t>["Boil the sweet potatoes until soft.", "Mash with butter, milk, cinnamon and salt."]</t>
        </is>
      </c>
    </row>
    <row r="1316" ht="96" customHeight="1">
      <c r="A1316" s="2" t="inlineStr">
        <is>
          <t>DB-1315</t>
        </is>
      </c>
      <c r="B1316" s="3" t="inlineStr">
        <is>
          <t>Turkey Pot Pie Casserole with Cauliflower Topping</t>
        </is>
      </c>
      <c r="C1316" s="4" t="inlineStr">
        <is>
          <t>Poultry</t>
        </is>
      </c>
      <c r="D1316" s="4" t="inlineStr">
        <is>
          <t>American</t>
        </is>
      </c>
      <c r="E1316" s="2" t="n">
        <v>6</v>
      </c>
      <c r="F1316" s="2" t="n">
        <v>20</v>
      </c>
      <c r="G1316" s="2" t="n">
        <v>40</v>
      </c>
      <c r="H1316" s="2" t="n">
        <v>60</v>
      </c>
      <c r="I1316" s="4" t="inlineStr">
        <is>
          <t>turkey-pot-pie-casserole-with-cauliflower-topping.jpg</t>
        </is>
      </c>
      <c r="J1316" s="3" t="inlineStr">
        <is>
          <t>Turkey Pot Pie Casserole with Cauliflower Topping, healthy food photography, plated, natural light</t>
        </is>
      </c>
      <c r="K1316" s="4" t="inlineStr"/>
      <c r="L1316" s="3" t="inlineStr">
        <is>
          <t>Turkey breast, skinless — 500 g (17.6 oz)
Cauliflower — 450 g (15.9 oz)
Carrot — 120 g (4.2 oz)
Green peas — 100 g (3.5 oz)
Celery — 60 g (2.1 oz)
Yellow onion — 100 g (3.5 oz)
Milk, 2% — 250 g (8.8 oz)
Chicken broth, low sodium — 250 g (8.8 oz)
Arrowroot starch — 10 g (0.4 oz)
Cheddar cheese — 60 g (2.1 oz)
Fresh thyme — 2 g (0.1 oz)</t>
        </is>
      </c>
      <c r="M1316" s="4" t="inlineStr">
        <is>
          <t>[{"ingredient_id": "turkey_breast", "name": "Turkey breast, skinless", "grams": 500.0, "note": ""}, {"ingredient_id": "cauliflower", "name": "Cauliflower", "grams": 450.0, "note": ""}, {"ingredient_id": "carrot", "name": "Carrot", "grams": 120.0, "note": ""}, {"ingredient_id": "green_peas", "name": "Green peas", "grams": 100.0, "note": ""}, {"ingredient_id": "celery", "name": "Celery", "grams": 60.0, "note": ""}, {"ingredient_id": "onion", "name": "Yellow onion", "grams": 100.0, "note": ""}, {"ingredient_id": "milk", "name": "Milk, 2%", "grams": 250.0, "note": ""}, {"ingredient_id": "chicken_broth", "name": "Chicken broth, low sodium", "grams": 250.0, "note": ""}, {"ingredient_id": "arrowroot", "name": "Arrowroot starch", "grams": 10.0, "note": ""}, {"ingredient_id": "cheddar", "name": "Cheddar cheese", "grams": 60.0, "note": ""}, {"ingredient_id": "thyme", "name": "Fresh thyme", "grams": 2.0, "note": ""}]</t>
        </is>
      </c>
      <c r="N1316" s="2" t="n">
        <v>211</v>
      </c>
      <c r="O1316" s="5" t="n">
        <v>26.9</v>
      </c>
      <c r="P1316" s="5" t="n">
        <v>5.4</v>
      </c>
      <c r="Q1316" s="5" t="n">
        <v>13.7</v>
      </c>
      <c r="R1316" s="5" t="n">
        <v>3.6</v>
      </c>
      <c r="S1316" s="5" t="n">
        <v>10.2</v>
      </c>
      <c r="T1316" s="2" t="n">
        <v>30</v>
      </c>
      <c r="U1316" s="2" t="inlineStr">
        <is>
          <t>low</t>
        </is>
      </c>
      <c r="V1316" s="5" t="n">
        <v>3.1</v>
      </c>
      <c r="W1316" s="2" t="inlineStr">
        <is>
          <t>low</t>
        </is>
      </c>
      <c r="X1316" s="3" t="inlineStr"/>
      <c r="Y1316" s="3" t="inlineStr">
        <is>
          <t>60% of this dish's available carbohydrate comes from ingredients with a published, measured GI; the rest uses conventional placeholders (see Ingredients sheet)</t>
        </is>
      </c>
      <c r="Z1316" s="2" t="n">
        <v>60</v>
      </c>
      <c r="AA1316" s="3" t="inlineStr">
        <is>
          <t>gluten-free, nut-free, low-carb, high-protein</t>
        </is>
      </c>
      <c r="AB1316" s="3" t="inlineStr">
        <is>
          <t>1. Simmer the turkey, vegetables, broth, milk and thyme and thicken with arrowroot.
2. Spread in a dish.
3. Top with mashed cauliflower and cheddar and bake at 375°F for 25 minutes.</t>
        </is>
      </c>
      <c r="AC1316" s="4" t="inlineStr">
        <is>
          <t>["Simmer the turkey, vegetables, broth, milk and thyme and thicken with arrowroot.", "Spread in a dish.", "Top with mashed cauliflower and cheddar and bake at 375°F for 25 minutes."]</t>
        </is>
      </c>
    </row>
    <row r="1317" ht="96" customHeight="1">
      <c r="A1317" s="2" t="inlineStr">
        <is>
          <t>DB-1316</t>
        </is>
      </c>
      <c r="B1317" s="3" t="inlineStr">
        <is>
          <t>Chicken Divan Casserole</t>
        </is>
      </c>
      <c r="C1317" s="4" t="inlineStr">
        <is>
          <t>Poultry</t>
        </is>
      </c>
      <c r="D1317" s="4" t="inlineStr">
        <is>
          <t>American</t>
        </is>
      </c>
      <c r="E1317" s="2" t="n">
        <v>6</v>
      </c>
      <c r="F1317" s="2" t="n">
        <v>15</v>
      </c>
      <c r="G1317" s="2" t="n">
        <v>35</v>
      </c>
      <c r="H1317" s="2" t="n">
        <v>50</v>
      </c>
      <c r="I1317" s="4" t="inlineStr">
        <is>
          <t>chicken-divan-casserole.jpg</t>
        </is>
      </c>
      <c r="J1317" s="3" t="inlineStr">
        <is>
          <t>Chicken Divan Casserole, healthy food photography, plated, natural light</t>
        </is>
      </c>
      <c r="K1317" s="4" t="inlineStr"/>
      <c r="L1317" s="3" t="inlineStr">
        <is>
          <t>Chicken breast, skinless — 500 g (17.6 oz)
Broccoli — 450 g (15.9 oz)
Greek yogurt, plain 2% — 150 g (5.3 oz)
Cheddar cheese — 90 g (3.2 oz)
Milk, 2% — 150 g (5.3 oz)
Curry powder — 3 g (0.1 oz)
Lemon juice — 15 g (0.5 oz)
Mayonnaise (avocado oil) — 25 g (0.9 oz)</t>
        </is>
      </c>
      <c r="M1317" s="4" t="inlineStr">
        <is>
          <t>[{"ingredient_id": "chicken_breast", "name": "Chicken breast, skinless", "grams": 500.0, "note": ""}, {"ingredient_id": "broccoli", "name": "Broccoli", "grams": 450.0, "note": ""}, {"ingredient_id": "greek_yogurt", "name": "Greek yogurt, plain 2%", "grams": 150.0, "note": ""}, {"ingredient_id": "cheddar", "name": "Cheddar cheese", "grams": 90.0, "note": ""}, {"ingredient_id": "milk", "name": "Milk, 2%", "grams": 150.0, "note": ""}, {"ingredient_id": "curry_powder", "name": "Curry powder", "grams": 3.0, "note": ""}, {"ingredient_id": "lemon_juice", "name": "Lemon juice", "grams": 15.0, "note": ""}, {"ingredient_id": "mayo", "name": "Mayonnaise (avocado oil)", "grams": 25.0, "note": ""}]</t>
        </is>
      </c>
      <c r="N1317" s="2" t="n">
        <v>248</v>
      </c>
      <c r="O1317" s="5" t="n">
        <v>27.7</v>
      </c>
      <c r="P1317" s="5" t="n">
        <v>11.7</v>
      </c>
      <c r="Q1317" s="5" t="n">
        <v>7.8</v>
      </c>
      <c r="R1317" s="5" t="n">
        <v>2.2</v>
      </c>
      <c r="S1317" s="5" t="n">
        <v>5.6</v>
      </c>
      <c r="T1317" s="2" t="n">
        <v>16</v>
      </c>
      <c r="U1317" s="2" t="inlineStr">
        <is>
          <t>low</t>
        </is>
      </c>
      <c r="V1317" s="5" t="n">
        <v>0.9</v>
      </c>
      <c r="W1317" s="2" t="inlineStr">
        <is>
          <t>low</t>
        </is>
      </c>
      <c r="X1317" s="3" t="inlineStr"/>
      <c r="Y1317" s="3" t="inlineStr">
        <is>
          <t>39% of this dish's available carbohydrate comes from ingredients with a published, measured GI; the rest uses conventional placeholders (see Ingredients sheet)</t>
        </is>
      </c>
      <c r="Z1317" s="2" t="n">
        <v>39</v>
      </c>
      <c r="AA1317" s="3" t="inlineStr">
        <is>
          <t>gluten-free, nut-free, low-carb, high-protein</t>
        </is>
      </c>
      <c r="AB1317" s="3" t="inlineStr">
        <is>
          <t>1. Arrange the chicken and steamed broccoli in a dish.
2. Stir the yogurt, milk, mayo, curry powder and lemon and pour over.
3. Top with cheddar and bake at 375°F for 30 minutes.</t>
        </is>
      </c>
      <c r="AC1317" s="4" t="inlineStr">
        <is>
          <t>["Arrange the chicken and steamed broccoli in a dish.", "Stir the yogurt, milk, mayo, curry powder and lemon and pour over.", "Top with cheddar and bake at 375°F for 30 minutes."]</t>
        </is>
      </c>
    </row>
    <row r="1318" ht="96" customHeight="1">
      <c r="A1318" s="2" t="inlineStr">
        <is>
          <t>DB-1317</t>
        </is>
      </c>
      <c r="B1318" s="3" t="inlineStr">
        <is>
          <t>Baked Spaghetti Casserole</t>
        </is>
      </c>
      <c r="C1318" s="4" t="inlineStr">
        <is>
          <t>Beef, Pork &amp; Lamb</t>
        </is>
      </c>
      <c r="D1318" s="4" t="inlineStr">
        <is>
          <t>Italian</t>
        </is>
      </c>
      <c r="E1318" s="2" t="n">
        <v>8</v>
      </c>
      <c r="F1318" s="2" t="n">
        <v>20</v>
      </c>
      <c r="G1318" s="2" t="n">
        <v>40</v>
      </c>
      <c r="H1318" s="2" t="n">
        <v>60</v>
      </c>
      <c r="I1318" s="4" t="inlineStr">
        <is>
          <t>baked-spaghetti-casserole.jpg</t>
        </is>
      </c>
      <c r="J1318" s="3" t="inlineStr">
        <is>
          <t>Baked Spaghetti Casserole, healthy food photography, plated, natural light</t>
        </is>
      </c>
      <c r="K1318" s="4" t="inlineStr"/>
      <c r="L1318" s="3" t="inlineStr">
        <is>
          <t>White pasta, cooked al dente — 720 g (25.4 oz)
Ground beef 90% lean — 450 g (15.9 oz)
Marinara sauce, no sugar added — 500 g (17.6 oz)
Mozzarella, part-skim — 150 g (5.3 oz)
Cottage cheese, low-fat — 200 g (7.1 oz)
Parmesan, grated — 30 g (1.1 oz)
Yellow onion — 100 g (3.5 oz)
Italian seasoning — 3 g (0.1 oz)</t>
        </is>
      </c>
      <c r="M1318" s="4" t="inlineStr">
        <is>
          <t>[{"ingredient_id": "white_pasta", "name": "White pasta, cooked al dente", "grams": 720.0, "note": ""}, {"ingredient_id": "ground_beef", "name": "Ground beef 90% lean", "grams": 450.0, "note": ""}, {"ingredient_id": "marinara", "name": "Marinara sauce, no sugar added", "grams": 500.0, "note": ""}, {"ingredient_id": "mozzarella", "name": "Mozzarella, part-skim", "grams": 150.0, "note": ""}, {"ingredient_id": "cottage_cheese", "name": "Cottage cheese, low-fat", "grams": 200.0, "note": ""}, {"ingredient_id": "parmesan", "name": "Parmesan, grated", "grams": 30.0, "note": ""}, {"ingredient_id": "onion", "name": "Yellow onion", "grams": 100.0, "note": ""}, {"ingredient_id": "italian_seasoning", "name": "Italian seasoning", "grams": 3.0, "note": ""}]</t>
        </is>
      </c>
      <c r="N1318" s="2" t="n">
        <v>359</v>
      </c>
      <c r="O1318" s="5" t="n">
        <v>26.2</v>
      </c>
      <c r="P1318" s="5" t="n">
        <v>12.7</v>
      </c>
      <c r="Q1318" s="5" t="n">
        <v>34</v>
      </c>
      <c r="R1318" s="5" t="n">
        <v>2.9</v>
      </c>
      <c r="S1318" s="5" t="n">
        <v>31</v>
      </c>
      <c r="T1318" s="2" t="n">
        <v>44</v>
      </c>
      <c r="U1318" s="2" t="inlineStr">
        <is>
          <t>low</t>
        </is>
      </c>
      <c r="V1318" s="5" t="n">
        <v>13.7</v>
      </c>
      <c r="W1318" s="2" t="inlineStr">
        <is>
          <t>medium</t>
        </is>
      </c>
      <c r="X1318" s="3" t="inlineStr"/>
      <c r="Y1318" s="3" t="inlineStr">
        <is>
          <t>91% of this dish's available carbohydrate comes from ingredients with a published, measured GI; the rest uses conventional placeholders (see Ingredients sheet)</t>
        </is>
      </c>
      <c r="Z1318" s="2" t="n">
        <v>91</v>
      </c>
      <c r="AA1318" s="3" t="inlineStr">
        <is>
          <t>nut-free, high-protein</t>
        </is>
      </c>
      <c r="AB1318" s="3" t="inlineStr">
        <is>
          <t>1. Brown the beef with the onion and stir in the marinara.
2. Mix the pasta with cottage cheese and half the sauce in a dish.
3. Top with the rest and cheeses and bake at 375°F for 30 minutes.</t>
        </is>
      </c>
      <c r="AC1318" s="4" t="inlineStr">
        <is>
          <t>["Brown the beef with the onion and stir in the marinara.", "Mix the pasta with cottage cheese and half the sauce in a dish.", "Top with the rest and cheeses and bake at 375°F for 30 minutes."]</t>
        </is>
      </c>
    </row>
    <row r="1319" ht="96" customHeight="1">
      <c r="A1319" s="2" t="inlineStr">
        <is>
          <t>DB-1318</t>
        </is>
      </c>
      <c r="B1319" s="3" t="inlineStr">
        <is>
          <t>King Ranch Chicken Casserole (Lightened)</t>
        </is>
      </c>
      <c r="C1319" s="4" t="inlineStr">
        <is>
          <t>Poultry</t>
        </is>
      </c>
      <c r="D1319" s="4" t="inlineStr">
        <is>
          <t>Tex-Mex</t>
        </is>
      </c>
      <c r="E1319" s="2" t="n">
        <v>6</v>
      </c>
      <c r="F1319" s="2" t="n">
        <v>20</v>
      </c>
      <c r="G1319" s="2" t="n">
        <v>35</v>
      </c>
      <c r="H1319" s="2" t="n">
        <v>55</v>
      </c>
      <c r="I1319" s="4" t="inlineStr">
        <is>
          <t>king-ranch-chicken-casserole-lightened.jpg</t>
        </is>
      </c>
      <c r="J1319" s="3" t="inlineStr">
        <is>
          <t>King Ranch Chicken Casserole (Lightened), healthy food photography, plated, natural light</t>
        </is>
      </c>
      <c r="K1319" s="4" t="inlineStr"/>
      <c r="L1319" s="3" t="inlineStr">
        <is>
          <t>Chicken breast, skinless — 500 g (17.6 oz)
Corn tortilla — 240 g (8.5 oz)
Diced green chiles, canned — 120 g (4.2 oz)
Bell pepper — 120 g (4.2 oz)
Yellow onion — 100 g (3.5 oz)
Greek yogurt, plain 2% — 150 g (5.3 oz)
Chicken broth, low sodium — 150 g (5.3 oz)
Cheddar cheese — 100 g (3.5 oz)
Chili powder — 4 g (0.1 oz)</t>
        </is>
      </c>
      <c r="M1319" s="4" t="inlineStr">
        <is>
          <t>[{"ingredient_id": "chicken_breast", "name": "Chicken breast, skinless", "grams": 500.0, "note": ""}, {"ingredient_id": "corn_tortilla", "name": "Corn tortilla", "grams": 240.0, "note": ""}, {"ingredient_id": "green_chiles", "name": "Diced green chiles, canned", "grams": 120.0, "note": ""}, {"ingredient_id": "bell_pepper", "name": "Bell pepper", "grams": 120.0, "note": ""}, {"ingredient_id": "onion", "name": "Yellow onion", "grams": 100.0, "note": ""}, {"ingredient_id": "greek_yogurt", "name": "Greek yogurt, plain 2%", "grams": 150.0, "note": ""}, {"ingredient_id": "chicken_broth", "name": "Chicken broth, low sodium", "grams": 150.0, "note": ""}, {"ingredient_id": "cheddar", "name": "Cheddar cheese", "grams": 100.0, "note": ""}, {"ingredient_id": "chili_powder", "name": "Chili powder", "grams": 4.0, "note": ""}]</t>
        </is>
      </c>
      <c r="N1319" s="2" t="n">
        <v>293</v>
      </c>
      <c r="O1319" s="5" t="n">
        <v>28.2</v>
      </c>
      <c r="P1319" s="5" t="n">
        <v>9.6</v>
      </c>
      <c r="Q1319" s="5" t="n">
        <v>23.3</v>
      </c>
      <c r="R1319" s="5" t="n">
        <v>3.8</v>
      </c>
      <c r="S1319" s="5" t="n">
        <v>19.6</v>
      </c>
      <c r="T1319" s="2" t="n">
        <v>44</v>
      </c>
      <c r="U1319" s="2" t="inlineStr">
        <is>
          <t>low</t>
        </is>
      </c>
      <c r="V1319" s="5" t="n">
        <v>8.6</v>
      </c>
      <c r="W1319" s="2" t="inlineStr">
        <is>
          <t>low</t>
        </is>
      </c>
      <c r="X1319" s="3" t="inlineStr"/>
      <c r="Y1319" s="3" t="inlineStr">
        <is>
          <t>84% of this dish's available carbohydrate comes from ingredients with a published, measured GI; the rest uses conventional placeholders (see Ingredients sheet)</t>
        </is>
      </c>
      <c r="Z1319" s="2" t="n">
        <v>84</v>
      </c>
      <c r="AA1319" s="3" t="inlineStr">
        <is>
          <t>gluten-free, nut-free, high-protein</t>
        </is>
      </c>
      <c r="AB1319" s="3" t="inlineStr">
        <is>
          <t>1. Mix the shredded chicken, chiles, pepper and onion with the yogurt, broth and chili powder.
2. Layer with torn tortillas in a dish.
3. Top with cheddar and bake at 375°F for 30 minutes.</t>
        </is>
      </c>
      <c r="AC1319" s="4" t="inlineStr">
        <is>
          <t>["Mix the shredded chicken, chiles, pepper and onion with the yogurt, broth and chili powder.", "Layer with torn tortillas in a dish.", "Top with cheddar and bake at 375°F for 30 minutes."]</t>
        </is>
      </c>
    </row>
    <row r="1320" ht="96" customHeight="1">
      <c r="A1320" s="2" t="inlineStr">
        <is>
          <t>DB-1319</t>
        </is>
      </c>
      <c r="B1320" s="3" t="inlineStr">
        <is>
          <t>Hamburger Helper-Style Skillet with Whole Pasta</t>
        </is>
      </c>
      <c r="C1320" s="4" t="inlineStr">
        <is>
          <t>Beef, Pork &amp; Lamb</t>
        </is>
      </c>
      <c r="D1320" s="4" t="inlineStr">
        <is>
          <t>American</t>
        </is>
      </c>
      <c r="E1320" s="2" t="n">
        <v>6</v>
      </c>
      <c r="F1320" s="2" t="n">
        <v>10</v>
      </c>
      <c r="G1320" s="2" t="n">
        <v>25</v>
      </c>
      <c r="H1320" s="2" t="n">
        <v>35</v>
      </c>
      <c r="I1320" s="4" t="inlineStr">
        <is>
          <t>hamburger-helper-style-skillet-with-whole-pasta.jpg</t>
        </is>
      </c>
      <c r="J1320" s="3" t="inlineStr">
        <is>
          <t>Hamburger Helper-Style Skillet with Whole Pasta, healthy food photography, plated, natural light</t>
        </is>
      </c>
      <c r="K1320" s="4" t="inlineStr"/>
      <c r="L1320" s="3" t="inlineStr">
        <is>
          <t>Ground beef 90% lean — 450 g (15.9 oz)
White pasta, cooked al dente — 420 g (14.8 oz)
Tomato sauce, canned, no sugar added — 250 g (8.8 oz)
Beef broth, low sodium — 300 g (10.6 oz)
Cheddar cheese — 90 g (3.2 oz)
Yellow onion — 100 g (3.5 oz)
Garlic powder — 3 g (0.1 oz)
Paprika — 2 g (0.1 oz)</t>
        </is>
      </c>
      <c r="M1320" s="4" t="inlineStr">
        <is>
          <t>[{"ingredient_id": "ground_beef", "name": "Ground beef 90% lean", "grams": 450.0, "note": ""}, {"ingredient_id": "white_pasta", "name": "White pasta, cooked al dente", "grams": 420.0, "note": ""}, {"ingredient_id": "tomato_sauce", "name": "Tomato sauce, canned, no sugar added", "grams": 250.0, "note": ""}, {"ingredient_id": "beef_broth", "name": "Beef broth, low sodium", "grams": 300.0, "note": ""}, {"ingredient_id": "cheddar", "name": "Cheddar cheese", "grams": 90.0, "note": ""}, {"ingredient_id": "onion", "name": "Yellow onion", "grams": 100.0, "note": ""}, {"ingredient_id": "garlic_powder", "name": "Garlic powder", "grams": 3.0, "note": ""}, {"ingredient_id": "paprika", "name": "Paprika", "grams": 2.0, "note": ""}]</t>
        </is>
      </c>
      <c r="N1320" s="2" t="n">
        <v>325</v>
      </c>
      <c r="O1320" s="5" t="n">
        <v>24</v>
      </c>
      <c r="P1320" s="5" t="n">
        <v>13.3</v>
      </c>
      <c r="Q1320" s="5" t="n">
        <v>26.2</v>
      </c>
      <c r="R1320" s="5" t="n">
        <v>2.3</v>
      </c>
      <c r="S1320" s="5" t="n">
        <v>23.9</v>
      </c>
      <c r="T1320" s="2" t="n">
        <v>45</v>
      </c>
      <c r="U1320" s="2" t="inlineStr">
        <is>
          <t>low</t>
        </is>
      </c>
      <c r="V1320" s="5" t="n">
        <v>10.7</v>
      </c>
      <c r="W1320" s="2" t="inlineStr">
        <is>
          <t>medium</t>
        </is>
      </c>
      <c r="X1320" s="3" t="inlineStr"/>
      <c r="Y1320" s="3" t="inlineStr">
        <is>
          <t>85% of this dish's available carbohydrate comes from ingredients with a published, measured GI; the rest uses conventional placeholders (see Ingredients sheet)</t>
        </is>
      </c>
      <c r="Z1320" s="2" t="n">
        <v>85</v>
      </c>
      <c r="AA1320" s="3" t="inlineStr">
        <is>
          <t>nut-free</t>
        </is>
      </c>
      <c r="AB1320" s="3" t="inlineStr">
        <is>
          <t>1. Brown the beef with the onion.
2. Add the tomato sauce, broth and spices and bring to a simmer.
3. Stir in the cooked pasta and cheddar until melted.</t>
        </is>
      </c>
      <c r="AC1320" s="4" t="inlineStr">
        <is>
          <t>["Brown the beef with the onion.", "Add the tomato sauce, broth and spices and bring to a simmer.", "Stir in the cooked pasta and cheddar until melted."]</t>
        </is>
      </c>
    </row>
    <row r="1321" ht="96" customHeight="1">
      <c r="A1321" s="2" t="inlineStr">
        <is>
          <t>DB-1320</t>
        </is>
      </c>
      <c r="B1321" s="3" t="inlineStr">
        <is>
          <t>Stuffed Acorn Squash with Sausage and Apple</t>
        </is>
      </c>
      <c r="C1321" s="4" t="inlineStr">
        <is>
          <t>Beef, Pork &amp; Lamb</t>
        </is>
      </c>
      <c r="D1321" s="4" t="inlineStr">
        <is>
          <t>American</t>
        </is>
      </c>
      <c r="E1321" s="2" t="n">
        <v>4</v>
      </c>
      <c r="F1321" s="2" t="n">
        <v>15</v>
      </c>
      <c r="G1321" s="2" t="n">
        <v>45</v>
      </c>
      <c r="H1321" s="2" t="n">
        <v>60</v>
      </c>
      <c r="I1321" s="4" t="inlineStr">
        <is>
          <t>stuffed-acorn-squash-with-sausage-and-apple.jpg</t>
        </is>
      </c>
      <c r="J1321" s="3" t="inlineStr">
        <is>
          <t>Stuffed Acorn Squash with Sausage and Apple, healthy food photography, plated, natural light</t>
        </is>
      </c>
      <c r="K1321" s="4" t="inlineStr"/>
      <c r="L1321" s="3" t="inlineStr">
        <is>
          <t>Butternut squash — 700 g (24.7 oz)
Turkey sausage — 300 g (10.6 oz)
Apple — 120 g (4.2 oz)
Yellow onion — 80 g (2.8 oz)
Fresh sage — 2 g (0.1 oz)
Pecans — 20 g (0.7 oz)
Extra-virgin olive oil — 10 g (0.4 oz)</t>
        </is>
      </c>
      <c r="M1321" s="4" t="inlineStr">
        <is>
          <t>[{"ingredient_id": "butternut_squash", "name": "Butternut squash", "grams": 700.0, "note": ""}, {"ingredient_id": "turkey_sausage", "name": "Turkey sausage", "grams": 300.0, "note": ""}, {"ingredient_id": "apple", "name": "Apple", "grams": 120.0, "note": ""}, {"ingredient_id": "onion", "name": "Yellow onion", "grams": 80.0, "note": ""}, {"ingredient_id": "sage", "name": "Fresh sage", "grams": 2.0, "note": ""}, {"ingredient_id": "pecans", "name": "Pecans", "grams": 20.0, "note": ""}, {"ingredient_id": "olive_oil", "name": "Extra-virgin olive oil", "grams": 10.0, "note": ""}]</t>
        </is>
      </c>
      <c r="N1321" s="2" t="n">
        <v>277</v>
      </c>
      <c r="O1321" s="5" t="n">
        <v>13.8</v>
      </c>
      <c r="P1321" s="5" t="n">
        <v>13.9</v>
      </c>
      <c r="Q1321" s="5" t="n">
        <v>29.6</v>
      </c>
      <c r="R1321" s="5" t="n">
        <v>5.2</v>
      </c>
      <c r="S1321" s="5" t="n">
        <v>24.3</v>
      </c>
      <c r="T1321" s="2" t="n">
        <v>43</v>
      </c>
      <c r="U1321" s="2" t="inlineStr">
        <is>
          <t>low</t>
        </is>
      </c>
      <c r="V1321" s="5" t="n">
        <v>10.5</v>
      </c>
      <c r="W1321" s="2" t="inlineStr">
        <is>
          <t>medium</t>
        </is>
      </c>
      <c r="X1321" s="3" t="inlineStr"/>
      <c r="Y1321" s="3" t="inlineStr">
        <is>
          <t>86% of this dish's available carbohydrate comes from ingredients with a published, measured GI; the rest uses conventional placeholders (see Ingredients sheet)</t>
        </is>
      </c>
      <c r="Z1321" s="2" t="n">
        <v>86</v>
      </c>
      <c r="AA1321" s="3" t="inlineStr">
        <is>
          <t>gluten-free, dairy-free</t>
        </is>
      </c>
      <c r="AB1321" s="3" t="inlineStr">
        <is>
          <t>1. Halve and roast the squash at 400°F for 30 minutes.
2. Brown the sausage with onion, apple and sage.
3. Fill the squash and top with pecans; return to the oven for 10 minutes.</t>
        </is>
      </c>
      <c r="AC1321" s="4" t="inlineStr">
        <is>
          <t>["Halve and roast the squash at 400°F for 30 minutes.", "Brown the sausage with onion, apple and sage.", "Fill the squash and top with pecans; return to the oven for 10 minutes."]</t>
        </is>
      </c>
    </row>
    <row r="1322" ht="96" customHeight="1">
      <c r="A1322" s="2" t="inlineStr">
        <is>
          <t>DB-1321</t>
        </is>
      </c>
      <c r="B1322" s="3" t="inlineStr">
        <is>
          <t>Pork Tenderloin with Apple Cider Glaze</t>
        </is>
      </c>
      <c r="C1322" s="4" t="inlineStr">
        <is>
          <t>Beef, Pork &amp; Lamb</t>
        </is>
      </c>
      <c r="D1322" s="4" t="inlineStr">
        <is>
          <t>American</t>
        </is>
      </c>
      <c r="E1322" s="2" t="n">
        <v>4</v>
      </c>
      <c r="F1322" s="2" t="n">
        <v>10</v>
      </c>
      <c r="G1322" s="2" t="n">
        <v>25</v>
      </c>
      <c r="H1322" s="2" t="n">
        <v>35</v>
      </c>
      <c r="I1322" s="4" t="inlineStr">
        <is>
          <t>pork-tenderloin-with-apple-cider-glaze.jpg</t>
        </is>
      </c>
      <c r="J1322" s="3" t="inlineStr">
        <is>
          <t>Pork Tenderloin with Apple Cider Glaze, healthy food photography, plated, natural light</t>
        </is>
      </c>
      <c r="K1322" s="4" t="inlineStr"/>
      <c r="L1322" s="3" t="inlineStr">
        <is>
          <t>Pork tenderloin — 600 g (21.2 oz)
Apple cider vinegar — 30 g (1.1 oz)
Dijon mustard — 20 g (0.7 oz)
Apple — 150 g (5.3 oz)
Fresh thyme — 2 g (0.1 oz)
Extra-virgin olive oil — 15 g (0.5 oz)
Green beans — 300 g (10.6 oz)</t>
        </is>
      </c>
      <c r="M1322" s="4" t="inlineStr">
        <is>
          <t>[{"ingredient_id": "pork_tenderloin", "name": "Pork tenderloin", "grams": 600.0, "note": ""}, {"ingredient_id": "apple_cider_vinegar", "name": "Apple cider vinegar", "grams": 30.0, "note": ""}, {"ingredient_id": "dijon", "name": "Dijon mustard", "grams": 20.0, "note": ""}, {"ingredient_id": "apple", "name": "Apple", "grams": 150.0, "note": ""}, {"ingredient_id": "thyme", "name": "Fresh thyme", "grams": 2.0, "note": ""}, {"ingredient_id": "olive_oil", "name": "Extra-virgin olive oil", "grams": 15.0, "note": ""}, {"ingredient_id": "green_beans", "name": "Green beans", "grams": 300.0, "note": ""}]</t>
        </is>
      </c>
      <c r="N1322" s="2" t="n">
        <v>261</v>
      </c>
      <c r="O1322" s="5" t="n">
        <v>33.2</v>
      </c>
      <c r="P1322" s="5" t="n">
        <v>9.4</v>
      </c>
      <c r="Q1322" s="5" t="n">
        <v>10.9</v>
      </c>
      <c r="R1322" s="5" t="n">
        <v>3.1</v>
      </c>
      <c r="S1322" s="5" t="n">
        <v>7.8</v>
      </c>
      <c r="T1322" s="2" t="n">
        <v>27</v>
      </c>
      <c r="U1322" s="2" t="inlineStr">
        <is>
          <t>low</t>
        </is>
      </c>
      <c r="V1322" s="5" t="n">
        <v>2.1</v>
      </c>
      <c r="W1322" s="2" t="inlineStr">
        <is>
          <t>low</t>
        </is>
      </c>
      <c r="X1322" s="3" t="inlineStr"/>
      <c r="Y1322" s="3" t="inlineStr">
        <is>
          <t>56% of this dish's available carbohydrate comes from ingredients with a published, measured GI; the rest uses conventional placeholders (see Ingredients sheet)</t>
        </is>
      </c>
      <c r="Z1322" s="2" t="n">
        <v>56</v>
      </c>
      <c r="AA1322" s="3" t="inlineStr">
        <is>
          <t>gluten-free, dairy-free, nut-free, low-carb, high-protein</t>
        </is>
      </c>
      <c r="AB1322" s="3" t="inlineStr">
        <is>
          <t>1. Sear the pork in oil.
2. Roast at 400°F for 15 minutes with the apple and green beans.
3. Brush with mustard and vinegar and rest before slicing.</t>
        </is>
      </c>
      <c r="AC1322" s="4" t="inlineStr">
        <is>
          <t>["Sear the pork in oil.", "Roast at 400°F for 15 minutes with the apple and green beans.", "Brush with mustard and vinegar and rest before slicing."]</t>
        </is>
      </c>
    </row>
    <row r="1323" ht="96" customHeight="1">
      <c r="A1323" s="2" t="inlineStr">
        <is>
          <t>DB-1322</t>
        </is>
      </c>
      <c r="B1323" s="3" t="inlineStr">
        <is>
          <t>Rosemary Lamb Chops with Roasted Vegetables</t>
        </is>
      </c>
      <c r="C1323" s="4" t="inlineStr">
        <is>
          <t>Beef, Pork &amp; Lamb</t>
        </is>
      </c>
      <c r="D1323" s="4" t="inlineStr">
        <is>
          <t>American</t>
        </is>
      </c>
      <c r="E1323" s="2" t="n">
        <v>4</v>
      </c>
      <c r="F1323" s="2" t="n">
        <v>10</v>
      </c>
      <c r="G1323" s="2" t="n">
        <v>25</v>
      </c>
      <c r="H1323" s="2" t="n">
        <v>35</v>
      </c>
      <c r="I1323" s="4" t="inlineStr">
        <is>
          <t>rosemary-lamb-chops-with-roasted-vegetables.jpg</t>
        </is>
      </c>
      <c r="J1323" s="3" t="inlineStr">
        <is>
          <t>Rosemary Lamb Chops with Roasted Vegetables, healthy food photography, plated, natural light</t>
        </is>
      </c>
      <c r="K1323" s="4" t="inlineStr"/>
      <c r="L1323" s="3" t="inlineStr">
        <is>
          <t>Lamb loin chop, trimmed — 600 g (21.2 oz)
Fresh rosemary — 4 g (0.1 oz)
Garlic — 8 g (0.3 oz)
Zucchini — 250 g (8.8 oz)
Bell pepper — 200 g (7.1 oz)
Extra-virgin olive oil — 25 g (0.9 oz)
Lemon juice — 15 g (0.5 oz)</t>
        </is>
      </c>
      <c r="M1323" s="4" t="inlineStr">
        <is>
          <t>[{"ingredient_id": "lamb_chop", "name": "Lamb loin chop, trimmed", "grams": 600.0, "note": ""}, {"ingredient_id": "rosemary", "name": "Fresh rosemary", "grams": 4.0, "note": ""}, {"ingredient_id": "garlic", "name": "Garlic", "grams": 8.0, "note": ""}, {"ingredient_id": "zucchini", "name": "Zucchini", "grams": 250.0, "note": ""}, {"ingredient_id": "bell_pepper", "name": "Bell pepper", "grams": 200.0, "note": ""}, {"ingredient_id": "olive_oil", "name": "Extra-virgin olive oil", "grams": 25.0, "note": ""}, {"ingredient_id": "lemon_juice", "name": "Lemon juice", "grams": 15.0, "note": ""}]</t>
        </is>
      </c>
      <c r="N1323" s="2" t="n">
        <v>341</v>
      </c>
      <c r="O1323" s="5" t="n">
        <v>32.9</v>
      </c>
      <c r="P1323" s="5" t="n">
        <v>20.9</v>
      </c>
      <c r="Q1323" s="5" t="n">
        <v>6.1</v>
      </c>
      <c r="R1323" s="5" t="n">
        <v>1.9</v>
      </c>
      <c r="S1323" s="5" t="n">
        <v>4.2</v>
      </c>
      <c r="T1323" s="2" t="n">
        <v>18</v>
      </c>
      <c r="U1323" s="2" t="inlineStr">
        <is>
          <t>low</t>
        </is>
      </c>
      <c r="V1323" s="5" t="n">
        <v>0.8</v>
      </c>
      <c r="W1323" s="2" t="inlineStr">
        <is>
          <t>low</t>
        </is>
      </c>
      <c r="X1323" s="3" t="inlineStr">
        <is>
          <t>Negligible carbohydrate (&lt;5 g net/serving): GI has little practical meaning, glycemic load is what matters.</t>
        </is>
      </c>
      <c r="Y1323" s="3" t="inlineStr">
        <is>
          <t>0% of this dish's available carbohydrate comes from ingredients with a published, measured GI; the rest uses conventional placeholders (see Ingredients sheet)</t>
        </is>
      </c>
      <c r="Z1323" s="2" t="n">
        <v>0</v>
      </c>
      <c r="AA1323" s="3" t="inlineStr">
        <is>
          <t>gluten-free, dairy-free, nut-free, low-carb, high-protein, one-pan</t>
        </is>
      </c>
      <c r="AB1323" s="3" t="inlineStr">
        <is>
          <t>1. Rub the chops with rosemary, garlic and oil.
2. Roast with the vegetables at 425°F for 18 to 20 minutes.
3. Finish with lemon.</t>
        </is>
      </c>
      <c r="AC1323" s="4" t="inlineStr">
        <is>
          <t>["Rub the chops with rosemary, garlic and oil.", "Roast with the vegetables at 425°F for 18 to 20 minutes.", "Finish with lemon."]</t>
        </is>
      </c>
    </row>
    <row r="1324" ht="96" customHeight="1">
      <c r="A1324" s="2" t="inlineStr">
        <is>
          <t>DB-1323</t>
        </is>
      </c>
      <c r="B1324" s="3" t="inlineStr">
        <is>
          <t>Standing Rib-Style Roast with Horseradish Yogurt</t>
        </is>
      </c>
      <c r="C1324" s="4" t="inlineStr">
        <is>
          <t>Beef, Pork &amp; Lamb</t>
        </is>
      </c>
      <c r="D1324" s="4" t="inlineStr">
        <is>
          <t>American</t>
        </is>
      </c>
      <c r="E1324" s="2" t="n">
        <v>8</v>
      </c>
      <c r="F1324" s="2" t="n">
        <v>15</v>
      </c>
      <c r="G1324" s="2" t="n">
        <v>120</v>
      </c>
      <c r="H1324" s="2" t="n">
        <v>135</v>
      </c>
      <c r="I1324" s="4" t="inlineStr">
        <is>
          <t>standing-rib-style-roast-with-horseradish-yogurt.jpg</t>
        </is>
      </c>
      <c r="J1324" s="3" t="inlineStr">
        <is>
          <t>Standing Rib-Style Roast with Horseradish Yogurt, healthy food photography, plated, natural light</t>
        </is>
      </c>
      <c r="K1324" s="4" t="inlineStr"/>
      <c r="L1324" s="3" t="inlineStr">
        <is>
          <t>Beef sirloin, trimmed — 1400 g (49.4 oz)
Garlic — 10 g (0.4 oz)
Fresh rosemary — 4 g (0.1 oz)
Black pepper — 3 g (0.1 oz)
Salt — 6 g (0.2 oz)
Extra-virgin olive oil — 25 g (0.9 oz)
Greek yogurt, plain 2% — 150 g (5.3 oz)
Dijon mustard — 20 g (0.7 oz)</t>
        </is>
      </c>
      <c r="M1324" s="4" t="inlineStr">
        <is>
          <t>[{"ingredient_id": "beef_sirloin", "name": "Beef sirloin, trimmed", "grams": 1400.0, "note": ""}, {"ingredient_id": "garlic", "name": "Garlic", "grams": 10.0, "note": ""}, {"ingredient_id": "rosemary", "name": "Fresh rosemary", "grams": 4.0, "note": ""}, {"ingredient_id": "black_pepper", "name": "Black pepper", "grams": 3.0, "note": ""}, {"ingredient_id": "salt", "name": "Salt", "grams": 6.0, "note": ""}, {"ingredient_id": "olive_oil", "name": "Extra-virgin olive oil", "grams": 25.0, "note": ""}, {"ingredient_id": "greek_yogurt", "name": "Greek yogurt, plain 2%", "grams": 150.0, "note": ""}, {"ingredient_id": "dijon", "name": "Dijon mustard", "grams": 20.0, "note": ""}]</t>
        </is>
      </c>
      <c r="N1324" s="2" t="n">
        <v>274</v>
      </c>
      <c r="O1324" s="5" t="n">
        <v>40.6</v>
      </c>
      <c r="P1324" s="5" t="n">
        <v>11.5</v>
      </c>
      <c r="Q1324" s="5" t="n">
        <v>1.6</v>
      </c>
      <c r="R1324" s="5" t="n">
        <v>0.3</v>
      </c>
      <c r="S1324" s="5" t="n">
        <v>1.4</v>
      </c>
      <c r="T1324" s="2" t="n">
        <v>17</v>
      </c>
      <c r="U1324" s="2" t="inlineStr">
        <is>
          <t>low</t>
        </is>
      </c>
      <c r="V1324" s="5" t="n">
        <v>0.2</v>
      </c>
      <c r="W1324" s="2" t="inlineStr">
        <is>
          <t>low</t>
        </is>
      </c>
      <c r="X1324" s="3" t="inlineStr">
        <is>
          <t>Negligible carbohydrate (&lt;5 g net/serving): GI has little practical meaning, glycemic load is what matters.</t>
        </is>
      </c>
      <c r="Y1324" s="3" t="inlineStr">
        <is>
          <t>55% of this dish's available carbohydrate comes from ingredients with a published, measured GI; the rest uses conventional placeholders (see Ingredients sheet)</t>
        </is>
      </c>
      <c r="Z1324" s="2" t="n">
        <v>55</v>
      </c>
      <c r="AA1324" s="3" t="inlineStr">
        <is>
          <t>gluten-free, nut-free, low-carb, high-protein</t>
        </is>
      </c>
      <c r="AB1324" s="3" t="inlineStr">
        <is>
          <t>1. Rub the roast with oil, garlic, rosemary, pepper and salt.
2. Roast at 325°F to 130°F inside for medium rare.
3. Rest 20 minutes and slice; serve with yogurt mixed with mustard.</t>
        </is>
      </c>
      <c r="AC1324" s="4" t="inlineStr">
        <is>
          <t>["Rub the roast with oil, garlic, rosemary, pepper and salt.", "Roast at 325°F to 130°F inside for medium rare.", "Rest 20 minutes and slice; serve with yogurt mixed with mustard."]</t>
        </is>
      </c>
    </row>
    <row r="1325" ht="96" customHeight="1">
      <c r="A1325" s="2" t="inlineStr">
        <is>
          <t>DB-1324</t>
        </is>
      </c>
      <c r="B1325" s="3" t="inlineStr">
        <is>
          <t>Baked Salmon with Dijon and Dill</t>
        </is>
      </c>
      <c r="C1325" s="4" t="inlineStr">
        <is>
          <t>Seafood</t>
        </is>
      </c>
      <c r="D1325" s="4" t="inlineStr">
        <is>
          <t>American</t>
        </is>
      </c>
      <c r="E1325" s="2" t="n">
        <v>4</v>
      </c>
      <c r="F1325" s="2" t="n">
        <v>5</v>
      </c>
      <c r="G1325" s="2" t="n">
        <v>15</v>
      </c>
      <c r="H1325" s="2" t="n">
        <v>20</v>
      </c>
      <c r="I1325" s="4" t="inlineStr">
        <is>
          <t>baked-salmon-with-dijon-and-dill.jpg</t>
        </is>
      </c>
      <c r="J1325" s="3" t="inlineStr">
        <is>
          <t>Baked Salmon with Dijon and Dill, healthy food photography, plated, natural light</t>
        </is>
      </c>
      <c r="K1325" s="4" t="inlineStr"/>
      <c r="L1325" s="3" t="inlineStr">
        <is>
          <t>Salmon fillet — 600 g (21.2 oz)
Dijon mustard — 30 g (1.1 oz)
Fresh dill — 5 g (0.2 oz)
Lemon juice — 20 g (0.7 oz)
Extra-virgin olive oil — 15 g (0.5 oz)
Salt — 2 g (0.1 oz)</t>
        </is>
      </c>
      <c r="M1325" s="4" t="inlineStr">
        <is>
          <t>[{"ingredient_id": "salmon", "name": "Salmon fillet", "grams": 600.0, "note": ""}, {"ingredient_id": "dijon", "name": "Dijon mustard", "grams": 30.0, "note": ""}, {"ingredient_id": "dill", "name": "Fresh dill", "grams": 5.0, "note": ""}, {"ingredient_id": "lemon_juice", "name": "Lemon juice", "grams": 20.0, "note": ""}, {"ingredient_id": "olive_oil", "name": "Extra-virgin olive oil", "grams": 15.0, "note": ""}, {"ingredient_id": "salt", "name": "Salt", "grams": 2.0, "note": ""}]</t>
        </is>
      </c>
      <c r="N1325" s="2" t="n">
        <v>352</v>
      </c>
      <c r="O1325" s="5" t="n">
        <v>30.4</v>
      </c>
      <c r="P1325" s="5" t="n">
        <v>23.5</v>
      </c>
      <c r="Q1325" s="5" t="n">
        <v>0.8</v>
      </c>
      <c r="R1325" s="5" t="n">
        <v>0.3</v>
      </c>
      <c r="S1325" s="5" t="n">
        <v>0.5</v>
      </c>
      <c r="T1325" s="2" t="n">
        <v>18</v>
      </c>
      <c r="U1325" s="2" t="inlineStr">
        <is>
          <t>low</t>
        </is>
      </c>
      <c r="V1325" s="5" t="n">
        <v>0.1</v>
      </c>
      <c r="W1325" s="2" t="inlineStr">
        <is>
          <t>low</t>
        </is>
      </c>
      <c r="X1325" s="3" t="inlineStr">
        <is>
          <t>Negligible carbohydrate (&lt;5 g net/serving): GI has little practical meaning, glycemic load is what matters.</t>
        </is>
      </c>
      <c r="Y1325" s="3" t="inlineStr">
        <is>
          <t>0% of this dish's available carbohydrate comes from ingredients with a published, measured GI; the rest uses conventional placeholders (see Ingredients sheet)</t>
        </is>
      </c>
      <c r="Z1325" s="2" t="n">
        <v>0</v>
      </c>
      <c r="AA1325" s="3" t="inlineStr">
        <is>
          <t>pescatarian, gluten-free, dairy-free, nut-free, low-carb, high-protein</t>
        </is>
      </c>
      <c r="AB1325" s="3" t="inlineStr">
        <is>
          <t>1. Brush the salmon with mustard and oil.
2. Bake at 400°F for 12 to 15 minutes.
3. Finish with dill and lemon.</t>
        </is>
      </c>
      <c r="AC1325" s="4" t="inlineStr">
        <is>
          <t>["Brush the salmon with mustard and oil.", "Bake at 400°F for 12 to 15 minutes.", "Finish with dill and lemon."]</t>
        </is>
      </c>
    </row>
    <row r="1326" ht="96" customHeight="1">
      <c r="A1326" s="2" t="inlineStr">
        <is>
          <t>DB-1325</t>
        </is>
      </c>
      <c r="B1326" s="3" t="inlineStr">
        <is>
          <t>Seafood Chowder with Potatoes</t>
        </is>
      </c>
      <c r="C1326" s="4" t="inlineStr">
        <is>
          <t>Soup &amp; Stew</t>
        </is>
      </c>
      <c r="D1326" s="4" t="inlineStr">
        <is>
          <t>American</t>
        </is>
      </c>
      <c r="E1326" s="2" t="n">
        <v>6</v>
      </c>
      <c r="F1326" s="2" t="n">
        <v>15</v>
      </c>
      <c r="G1326" s="2" t="n">
        <v>30</v>
      </c>
      <c r="H1326" s="2" t="n">
        <v>45</v>
      </c>
      <c r="I1326" s="4" t="inlineStr">
        <is>
          <t>seafood-chowder-with-potatoes.jpg</t>
        </is>
      </c>
      <c r="J1326" s="3" t="inlineStr">
        <is>
          <t>Seafood Chowder with Potatoes, healthy food photography, plated, natural light</t>
        </is>
      </c>
      <c r="K1326" s="4" t="inlineStr"/>
      <c r="L1326" s="3" t="inlineStr">
        <is>
          <t>Cod fillet — 300 g (10.6 oz)
Shrimp, peeled — 200 g (7.1 oz)
Clams — 200 g (7.1 oz)
Potato, boiled, peeled — 300 g (10.6 oz)
Milk, 2% — 350 g (12.3 oz)
Chicken broth, low sodium — 400 g (14.1 oz)
Yellow onion — 100 g (3.5 oz)
Celery — 60 g (2.1 oz)
Bacon — 40 g (1.4 oz)
Fresh thyme — 2 g (0.1 oz)</t>
        </is>
      </c>
      <c r="M1326" s="4" t="inlineStr">
        <is>
          <t>[{"ingredient_id": "cod", "name": "Cod fillet", "grams": 300.0, "note": ""}, {"ingredient_id": "shrimp", "name": "Shrimp, peeled", "grams": 200.0, "note": ""}, {"ingredient_id": "clams", "name": "Clams", "grams": 200.0, "note": ""}, {"ingredient_id": "potato_boiled", "name": "Potato, boiled, peeled", "grams": 300.0, "note": ""}, {"ingredient_id": "milk", "name": "Milk, 2%", "grams": 350.0, "note": ""}, {"ingredient_id": "chicken_broth", "name": "Chicken broth, low sodium", "grams": 400.0, "note": ""}, {"ingredient_id": "onion", "name": "Yellow onion", "grams": 100.0, "note": ""}, {"ingredient_id": "celery", "name": "Celery", "grams": 60.0, "note": ""}, {"ingredient_id": "bacon", "name": "Bacon", "grams": 40.0, "note": ""}, {"ingredient_id": "thyme", "name": "Fresh thyme", "grams": 2.0, "note": ""}]</t>
        </is>
      </c>
      <c r="N1326" s="2" t="n">
        <v>223</v>
      </c>
      <c r="O1326" s="5" t="n">
        <v>27</v>
      </c>
      <c r="P1326" s="5" t="n">
        <v>5</v>
      </c>
      <c r="Q1326" s="5" t="n">
        <v>17.1</v>
      </c>
      <c r="R1326" s="5" t="n">
        <v>1.2</v>
      </c>
      <c r="S1326" s="5" t="n">
        <v>15.9</v>
      </c>
      <c r="T1326" s="2" t="n">
        <v>48</v>
      </c>
      <c r="U1326" s="2" t="inlineStr">
        <is>
          <t>low</t>
        </is>
      </c>
      <c r="V1326" s="5" t="n">
        <v>7.6</v>
      </c>
      <c r="W1326" s="2" t="inlineStr">
        <is>
          <t>low</t>
        </is>
      </c>
      <c r="X1326" s="3" t="inlineStr"/>
      <c r="Y1326" s="3" t="inlineStr">
        <is>
          <t>81% of this dish's available carbohydrate comes from ingredients with a published, measured GI; the rest uses conventional placeholders (see Ingredients sheet)</t>
        </is>
      </c>
      <c r="Z1326" s="2" t="n">
        <v>81</v>
      </c>
      <c r="AA1326" s="3" t="inlineStr">
        <is>
          <t>gluten-free, nut-free, high-protein</t>
        </is>
      </c>
      <c r="AB1326" s="3" t="inlineStr">
        <is>
          <t>1. Crisp the bacon, soften the onion and celery.
2. Add the broth, potatoes and thyme and simmer 12 minutes.
3. Add the milk and seafood and cook 6 minutes.</t>
        </is>
      </c>
      <c r="AC1326" s="4" t="inlineStr">
        <is>
          <t>["Crisp the bacon, soften the onion and celery.", "Add the broth, potatoes and thyme and simmer 12 minutes.", "Add the milk and seafood and cook 6 minutes."]</t>
        </is>
      </c>
    </row>
    <row r="1327" ht="96" customHeight="1">
      <c r="A1327" s="2" t="inlineStr">
        <is>
          <t>DB-1326</t>
        </is>
      </c>
      <c r="B1327" s="3" t="inlineStr">
        <is>
          <t>Spinach and Mushroom Quiche without Crust</t>
        </is>
      </c>
      <c r="C1327" s="4" t="inlineStr">
        <is>
          <t>Breakfast</t>
        </is>
      </c>
      <c r="D1327" s="4" t="inlineStr">
        <is>
          <t>American</t>
        </is>
      </c>
      <c r="E1327" s="2" t="n">
        <v>6</v>
      </c>
      <c r="F1327" s="2" t="n">
        <v>15</v>
      </c>
      <c r="G1327" s="2" t="n">
        <v>35</v>
      </c>
      <c r="H1327" s="2" t="n">
        <v>50</v>
      </c>
      <c r="I1327" s="4" t="inlineStr">
        <is>
          <t>spinach-and-mushroom-quiche-without-crust.jpg</t>
        </is>
      </c>
      <c r="J1327" s="3" t="inlineStr">
        <is>
          <t>Spinach and Mushroom Quiche without Crust, healthy food photography, plated, natural light</t>
        </is>
      </c>
      <c r="K1327" s="4" t="inlineStr"/>
      <c r="L1327" s="3" t="inlineStr">
        <is>
          <t>Egg, large (50 g each) — 300 g (10.6 oz)
Milk, 2% — 250 g (8.8 oz)
Spinach — 150 g (5.3 oz)
Mushrooms (cremini/white) — 150 g (5.3 oz)
Swiss cheese — 100 g (3.5 oz)
Yellow onion — 60 g (2.1 oz)
Ground nutmeg — 1 g (0.0 oz)
Extra-virgin olive oil — 10 g (0.4 oz)</t>
        </is>
      </c>
      <c r="M1327" s="4" t="inlineStr">
        <is>
          <t>[{"ingredient_id": "egg", "name": "Egg, large (50 g each)", "grams": 300.0, "note": ""}, {"ingredient_id": "milk", "name": "Milk, 2%", "grams": 250.0, "note": ""}, {"ingredient_id": "spinach", "name": "Spinach", "grams": 150.0, "note": ""}, {"ingredient_id": "mushrooms", "name": "Mushrooms (cremini/white)", "grams": 150.0, "note": ""}, {"ingredient_id": "swiss_cheese", "name": "Swiss cheese", "grams": 100.0, "note": ""}, {"ingredient_id": "onion", "name": "Yellow onion", "grams": 60.0, "note": ""}, {"ingredient_id": "nutmeg", "name": "Ground nutmeg", "grams": 1.0, "note": ""}, {"ingredient_id": "olive_oil", "name": "Extra-virgin olive oil", "grams": 10.0, "note": ""}]</t>
        </is>
      </c>
      <c r="N1327" s="2" t="n">
        <v>187</v>
      </c>
      <c r="O1327" s="5" t="n">
        <v>13.8</v>
      </c>
      <c r="P1327" s="5" t="n">
        <v>12.2</v>
      </c>
      <c r="Q1327" s="5" t="n">
        <v>5.3</v>
      </c>
      <c r="R1327" s="5" t="n">
        <v>1</v>
      </c>
      <c r="S1327" s="5" t="n">
        <v>4.3</v>
      </c>
      <c r="T1327" s="2" t="n">
        <v>18</v>
      </c>
      <c r="U1327" s="2" t="inlineStr">
        <is>
          <t>low</t>
        </is>
      </c>
      <c r="V1327" s="5" t="n">
        <v>0.8</v>
      </c>
      <c r="W1327" s="2" t="inlineStr">
        <is>
          <t>low</t>
        </is>
      </c>
      <c r="X1327" s="3" t="inlineStr">
        <is>
          <t>Negligible carbohydrate (&lt;5 g net/serving): GI has little practical meaning, glycemic load is what matters.</t>
        </is>
      </c>
      <c r="Y1327" s="3" t="inlineStr">
        <is>
          <t>46% of this dish's available carbohydrate comes from ingredients with a published, measured GI; the rest uses conventional placeholders (see Ingredients sheet)</t>
        </is>
      </c>
      <c r="Z1327" s="2" t="n">
        <v>46</v>
      </c>
      <c r="AA1327" s="3" t="inlineStr">
        <is>
          <t>vegetarian, gluten-free, nut-free, low-carb</t>
        </is>
      </c>
      <c r="AB1327" s="3" t="inlineStr">
        <is>
          <t>1. Sauté the onion, mushrooms and spinach in oil.
2. Whisk the eggs, milk and nutmeg and pour over the vegetables and cheese in a dish.
3. Bake at 350°F for 30 to 35 minutes.</t>
        </is>
      </c>
      <c r="AC1327" s="4" t="inlineStr">
        <is>
          <t>["Sauté the onion, mushrooms and spinach in oil.", "Whisk the eggs, milk and nutmeg and pour over the vegetables and cheese in a dish.", "Bake at 350°F for 30 to 35 minutes."]</t>
        </is>
      </c>
    </row>
    <row r="1328" ht="96" customHeight="1">
      <c r="A1328" s="2" t="inlineStr">
        <is>
          <t>DB-1327</t>
        </is>
      </c>
      <c r="B1328" s="3" t="inlineStr">
        <is>
          <t>Holiday Cheese and Veggie Platter</t>
        </is>
      </c>
      <c r="C1328" s="4" t="inlineStr">
        <is>
          <t>Snack &amp; Appetizer</t>
        </is>
      </c>
      <c r="D1328" s="4" t="inlineStr">
        <is>
          <t>American</t>
        </is>
      </c>
      <c r="E1328" s="2" t="n">
        <v>8</v>
      </c>
      <c r="F1328" s="2" t="n">
        <v>15</v>
      </c>
      <c r="G1328" s="2" t="n">
        <v>0</v>
      </c>
      <c r="H1328" s="2" t="n">
        <v>15</v>
      </c>
      <c r="I1328" s="4" t="inlineStr">
        <is>
          <t>holiday-cheese-and-veggie-platter.jpg</t>
        </is>
      </c>
      <c r="J1328" s="3" t="inlineStr">
        <is>
          <t>Holiday Cheese and Veggie Platter, healthy food photography, plated, natural light</t>
        </is>
      </c>
      <c r="K1328" s="4" t="inlineStr"/>
      <c r="L1328" s="3" t="inlineStr">
        <is>
          <t>Cheddar cheese — 120 g (4.2 oz)
Swiss cheese — 80 g (2.8 oz)
Cherry tomatoes — 150 g (5.3 oz)
Cucumber — 150 g (5.3 oz)
Bell pepper — 150 g (5.3 oz)
Carrot — 150 g (5.3 oz)
Olives (kalamata/green) — 50 g (1.8 oz)
Hummus — 150 g (5.3 oz)</t>
        </is>
      </c>
      <c r="M1328" s="4" t="inlineStr">
        <is>
          <t>[{"ingredient_id": "cheddar", "name": "Cheddar cheese", "grams": 120.0, "note": ""}, {"ingredient_id": "swiss_cheese", "name": "Swiss cheese", "grams": 80.0, "note": ""}, {"ingredient_id": "cherry_tomato", "name": "Cherry tomatoes", "grams": 150.0, "note": ""}, {"ingredient_id": "cucumber", "name": "Cucumber", "grams": 150.0, "note": ""}, {"ingredient_id": "bell_pepper", "name": "Bell pepper", "grams": 150.0, "note": ""}, {"ingredient_id": "carrot", "name": "Carrot", "grams": 150.0, "note": ""}, {"ingredient_id": "olives", "name": "Olives (kalamata/green)", "grams": 50.0, "note": ""}, {"ingredient_id": "hummus", "name": "Hummus", "grams": 150.0, "note": ""}]</t>
        </is>
      </c>
      <c r="N1328" s="2" t="n">
        <v>156</v>
      </c>
      <c r="O1328" s="5" t="n">
        <v>8.4</v>
      </c>
      <c r="P1328" s="5" t="n">
        <v>10.4</v>
      </c>
      <c r="Q1328" s="5" t="n">
        <v>7.7</v>
      </c>
      <c r="R1328" s="5" t="n">
        <v>2.6</v>
      </c>
      <c r="S1328" s="5" t="n">
        <v>5.1</v>
      </c>
      <c r="T1328" s="2" t="n">
        <v>20</v>
      </c>
      <c r="U1328" s="2" t="inlineStr">
        <is>
          <t>low</t>
        </is>
      </c>
      <c r="V1328" s="5" t="n">
        <v>1</v>
      </c>
      <c r="W1328" s="2" t="inlineStr">
        <is>
          <t>low</t>
        </is>
      </c>
      <c r="X1328" s="3" t="inlineStr"/>
      <c r="Y1328" s="3" t="inlineStr">
        <is>
          <t>54% of this dish's available carbohydrate comes from ingredients with a published, measured GI; the rest uses conventional placeholders (see Ingredients sheet)</t>
        </is>
      </c>
      <c r="Z1328" s="2" t="n">
        <v>54</v>
      </c>
      <c r="AA1328" s="3" t="inlineStr">
        <is>
          <t>vegetarian, gluten-free, nut-free, low-carb, no-cook</t>
        </is>
      </c>
      <c r="AB1328" s="3" t="inlineStr">
        <is>
          <t>1. Slice the cheeses and vegetables.
2. Arrange on a platter with olives and hummus.</t>
        </is>
      </c>
      <c r="AC1328" s="4" t="inlineStr">
        <is>
          <t>["Slice the cheeses and vegetables.", "Arrange on a platter with olives and hummus."]</t>
        </is>
      </c>
    </row>
    <row r="1329" ht="96" customHeight="1">
      <c r="A1329" s="2" t="inlineStr">
        <is>
          <t>DB-1328</t>
        </is>
      </c>
      <c r="B1329" s="3" t="inlineStr">
        <is>
          <t>Shrimp Cocktail with Horseradish Tomato Sauce</t>
        </is>
      </c>
      <c r="C1329" s="4" t="inlineStr">
        <is>
          <t>Snack &amp; Appetizer</t>
        </is>
      </c>
      <c r="D1329" s="4" t="inlineStr">
        <is>
          <t>American</t>
        </is>
      </c>
      <c r="E1329" s="2" t="n">
        <v>6</v>
      </c>
      <c r="F1329" s="2" t="n">
        <v>10</v>
      </c>
      <c r="G1329" s="2" t="n">
        <v>5</v>
      </c>
      <c r="H1329" s="2" t="n">
        <v>15</v>
      </c>
      <c r="I1329" s="4" t="inlineStr">
        <is>
          <t>shrimp-cocktail-with-horseradish-tomato-sauce.jpg</t>
        </is>
      </c>
      <c r="J1329" s="3" t="inlineStr">
        <is>
          <t>Shrimp Cocktail with Horseradish Tomato Sauce, healthy food photography, plated, natural light</t>
        </is>
      </c>
      <c r="K1329" s="4" t="inlineStr"/>
      <c r="L1329" s="3" t="inlineStr">
        <is>
          <t>Shrimp, peeled — 450 g (15.9 oz)
Tomato paste — 40 g (1.4 oz)
Lemon juice — 30 g (1.1 oz)
Hot sauce (Tabasco/Frank's) — 5 g (0.2 oz)
Dijon mustard — 10 g (0.4 oz)
Lemon (with juice &amp; zest) — 60 g (2.1 oz)</t>
        </is>
      </c>
      <c r="M1329" s="4" t="inlineStr">
        <is>
          <t>[{"ingredient_id": "shrimp", "name": "Shrimp, peeled", "grams": 450.0, "note": ""}, {"ingredient_id": "tomato_paste", "name": "Tomato paste", "grams": 40.0, "note": ""}, {"ingredient_id": "lemon_juice", "name": "Lemon juice", "grams": 30.0, "note": ""}, {"ingredient_id": "hot_sauce", "name": "Hot sauce (Tabasco/Frank's)", "grams": 5.0, "note": ""}, {"ingredient_id": "dijon", "name": "Dijon mustard", "grams": 10.0, "note": ""}, {"ingredient_id": "lemon", "name": "Lemon (with juice &amp; zest)", "grams": 60.0, "note": ""}]</t>
        </is>
      </c>
      <c r="N1329" s="2" t="n">
        <v>74</v>
      </c>
      <c r="O1329" s="5" t="n">
        <v>15.5</v>
      </c>
      <c r="P1329" s="5" t="n">
        <v>0.5</v>
      </c>
      <c r="Q1329" s="5" t="n">
        <v>2.6</v>
      </c>
      <c r="R1329" s="5" t="n">
        <v>0.6</v>
      </c>
      <c r="S1329" s="5" t="n">
        <v>2</v>
      </c>
      <c r="T1329" s="2" t="n">
        <v>27</v>
      </c>
      <c r="U1329" s="2" t="inlineStr">
        <is>
          <t>low</t>
        </is>
      </c>
      <c r="V1329" s="5" t="n">
        <v>0.5</v>
      </c>
      <c r="W1329" s="2" t="inlineStr">
        <is>
          <t>low</t>
        </is>
      </c>
      <c r="X1329" s="3" t="inlineStr">
        <is>
          <t>Negligible carbohydrate (&lt;5 g net/serving): GI has little practical meaning, glycemic load is what matters.</t>
        </is>
      </c>
      <c r="Y1329" s="3" t="inlineStr">
        <is>
          <t>0% of this dish's available carbohydrate comes from ingredients with a published, measured GI; the rest uses conventional placeholders (see Ingredients sheet)</t>
        </is>
      </c>
      <c r="Z1329" s="2" t="n">
        <v>0</v>
      </c>
      <c r="AA1329" s="3" t="inlineStr">
        <is>
          <t>pescatarian, gluten-free, dairy-free, nut-free, low-carb</t>
        </is>
      </c>
      <c r="AB1329" s="3" t="inlineStr">
        <is>
          <t>1. Poach the shrimp 3 minutes and chill.
2. Stir the paste, lemon juice, hot sauce and mustard into a sauce.
3. Serve with lemon.</t>
        </is>
      </c>
      <c r="AC1329" s="4" t="inlineStr">
        <is>
          <t>["Poach the shrimp 3 minutes and chill.", "Stir the paste, lemon juice, hot sauce and mustard into a sauce.", "Serve with lemon."]</t>
        </is>
      </c>
    </row>
    <row r="1330" ht="96" customHeight="1">
      <c r="A1330" s="2" t="inlineStr">
        <is>
          <t>DB-1329</t>
        </is>
      </c>
      <c r="B1330" s="3" t="inlineStr">
        <is>
          <t>Bacon-Wrapped Dates, Small Portion</t>
        </is>
      </c>
      <c r="C1330" s="4" t="inlineStr">
        <is>
          <t>Snack &amp; Appetizer</t>
        </is>
      </c>
      <c r="D1330" s="4" t="inlineStr">
        <is>
          <t>American</t>
        </is>
      </c>
      <c r="E1330" s="2" t="n">
        <v>6</v>
      </c>
      <c r="F1330" s="2" t="n">
        <v>10</v>
      </c>
      <c r="G1330" s="2" t="n">
        <v>20</v>
      </c>
      <c r="H1330" s="2" t="n">
        <v>30</v>
      </c>
      <c r="I1330" s="4" t="inlineStr">
        <is>
          <t>bacon-wrapped-dates-small-portion.jpg</t>
        </is>
      </c>
      <c r="J1330" s="3" t="inlineStr">
        <is>
          <t>Bacon-Wrapped Dates, Small Portion, healthy food photography, plated, natural light</t>
        </is>
      </c>
      <c r="K1330" s="4" t="inlineStr"/>
      <c r="L1330" s="3" t="inlineStr">
        <is>
          <t>Medjool dates (small amount) — 90 g (3.2 oz)
Bacon — 100 g (3.5 oz)
Almonds — 30 g (1.1 oz)</t>
        </is>
      </c>
      <c r="M1330" s="4" t="inlineStr">
        <is>
          <t>[{"ingredient_id": "dates", "name": "Medjool dates (small amount)", "grams": 90.0, "note": ""}, {"ingredient_id": "bacon", "name": "Bacon", "grams": 100.0, "note": ""}, {"ingredient_id": "almonds", "name": "Almonds", "grams": 30.0, "note": ""}]</t>
        </is>
      </c>
      <c r="N1330" s="2" t="n">
        <v>161</v>
      </c>
      <c r="O1330" s="5" t="n">
        <v>7.5</v>
      </c>
      <c r="P1330" s="5" t="n">
        <v>9.5</v>
      </c>
      <c r="Q1330" s="5" t="n">
        <v>12.6</v>
      </c>
      <c r="R1330" s="5" t="n">
        <v>1.6</v>
      </c>
      <c r="S1330" s="5" t="n">
        <v>11</v>
      </c>
      <c r="T1330" s="2" t="n">
        <v>51</v>
      </c>
      <c r="U1330" s="2" t="inlineStr">
        <is>
          <t>low</t>
        </is>
      </c>
      <c r="V1330" s="5" t="n">
        <v>5.6</v>
      </c>
      <c r="W1330" s="2" t="inlineStr">
        <is>
          <t>low</t>
        </is>
      </c>
      <c r="X1330" s="3" t="inlineStr"/>
      <c r="Y1330" s="3" t="inlineStr">
        <is>
          <t>94% of this dish's available carbohydrate comes from ingredients with a published, measured GI; the rest uses conventional placeholders (see Ingredients sheet)</t>
        </is>
      </c>
      <c r="Z1330" s="2" t="n">
        <v>94</v>
      </c>
      <c r="AA1330" s="3" t="inlineStr">
        <is>
          <t>gluten-free, dairy-free, low-carb</t>
        </is>
      </c>
      <c r="AB1330" s="3" t="inlineStr">
        <is>
          <t>1. Stuff each date with an almond.
2. Wrap with a strip of bacon.
3. Bake at 400°F for 18 to 20 minutes.</t>
        </is>
      </c>
      <c r="AC1330" s="4" t="inlineStr">
        <is>
          <t>["Stuff each date with an almond.", "Wrap with a strip of bacon.", "Bake at 400°F for 18 to 20 minutes."]</t>
        </is>
      </c>
    </row>
    <row r="1331" ht="96" customHeight="1">
      <c r="A1331" s="2" t="inlineStr">
        <is>
          <t>DB-1330</t>
        </is>
      </c>
      <c r="B1331" s="3" t="inlineStr">
        <is>
          <t>Pumpkin Soup with Toasted Pepitas</t>
        </is>
      </c>
      <c r="C1331" s="4" t="inlineStr">
        <is>
          <t>Soup &amp; Stew</t>
        </is>
      </c>
      <c r="D1331" s="4" t="inlineStr">
        <is>
          <t>American</t>
        </is>
      </c>
      <c r="E1331" s="2" t="n">
        <v>5</v>
      </c>
      <c r="F1331" s="2" t="n">
        <v>10</v>
      </c>
      <c r="G1331" s="2" t="n">
        <v>25</v>
      </c>
      <c r="H1331" s="2" t="n">
        <v>35</v>
      </c>
      <c r="I1331" s="4" t="inlineStr">
        <is>
          <t>pumpkin-soup-with-toasted-pepitas.jpg</t>
        </is>
      </c>
      <c r="J1331" s="3" t="inlineStr">
        <is>
          <t>Pumpkin Soup with Toasted Pepitas, healthy food photography, plated, natural light</t>
        </is>
      </c>
      <c r="K1331" s="4" t="inlineStr"/>
      <c r="L1331" s="3" t="inlineStr">
        <is>
          <t>Pumpkin puree, canned — 500 g (17.6 oz)
Vegetable broth, low sodium — 600 g (21.2 oz)
Yellow onion — 100 g (3.5 oz)
Garlic — 5 g (0.2 oz)
Heavy cream — 50 g (1.8 oz)
Pumpkin pie spice — 2 g (0.1 oz)
Pumpkin seeds (pepitas) — 25 g (0.9 oz)
Extra-virgin olive oil — 10 g (0.4 oz)</t>
        </is>
      </c>
      <c r="M1331" s="4" t="inlineStr">
        <is>
          <t>[{"ingredient_id": "pumpkin_puree", "name": "Pumpkin puree, canned", "grams": 500.0, "note": ""}, {"ingredient_id": "vegetable_broth", "name": "Vegetable broth, low sodium", "grams": 600.0, "note": ""}, {"ingredient_id": "onion", "name": "Yellow onion", "grams": 100.0, "note": ""}, {"ingredient_id": "garlic", "name": "Garlic", "grams": 5.0, "note": ""}, {"ingredient_id": "heavy_cream", "name": "Heavy cream", "grams": 50.0, "note": ""}, {"ingredient_id": "pumpkin_pie_spice", "name": "Pumpkin pie spice", "grams": 2.0, "note": ""}, {"ingredient_id": "pumpkin_seeds", "name": "Pumpkin seeds (pepitas)", "grams": 25.0, "note": ""}, {"ingredient_id": "olive_oil", "name": "Extra-virgin olive oil", "grams": 10.0, "note": ""}]</t>
        </is>
      </c>
      <c r="N1331" s="2" t="n">
        <v>134</v>
      </c>
      <c r="O1331" s="5" t="n">
        <v>3.7</v>
      </c>
      <c r="P1331" s="5" t="n">
        <v>8.4</v>
      </c>
      <c r="Q1331" s="5" t="n">
        <v>13.1</v>
      </c>
      <c r="R1331" s="5" t="n">
        <v>3.8</v>
      </c>
      <c r="S1331" s="5" t="n">
        <v>9.4</v>
      </c>
      <c r="T1331" s="2" t="n">
        <v>44</v>
      </c>
      <c r="U1331" s="2" t="inlineStr">
        <is>
          <t>low</t>
        </is>
      </c>
      <c r="V1331" s="5" t="n">
        <v>4.1</v>
      </c>
      <c r="W1331" s="2" t="inlineStr">
        <is>
          <t>low</t>
        </is>
      </c>
      <c r="X1331" s="3" t="inlineStr"/>
      <c r="Y1331" s="3" t="inlineStr">
        <is>
          <t>53% of this dish's available carbohydrate comes from ingredients with a published, measured GI; the rest uses conventional placeholders (see Ingredients sheet)</t>
        </is>
      </c>
      <c r="Z1331" s="2" t="n">
        <v>53</v>
      </c>
      <c r="AA1331" s="3" t="inlineStr">
        <is>
          <t>vegetarian, gluten-free, nut-free, low-carb</t>
        </is>
      </c>
      <c r="AB1331" s="3" t="inlineStr">
        <is>
          <t>1. Sauté the onion and garlic in oil.
2. Add the pumpkin, broth and spice and simmer 15 minutes.
3. Blend with the cream and top with pepitas.</t>
        </is>
      </c>
      <c r="AC1331" s="4" t="inlineStr">
        <is>
          <t>["Sauté the onion and garlic in oil.", "Add the pumpkin, broth and spice and simmer 15 minutes.", "Blend with the cream and top with pepitas."]</t>
        </is>
      </c>
    </row>
    <row r="1332" ht="96" customHeight="1">
      <c r="A1332" s="2" t="inlineStr">
        <is>
          <t>DB-1331</t>
        </is>
      </c>
      <c r="B1332" s="3" t="inlineStr">
        <is>
          <t>Apple Cinnamon Baked Oatmeal</t>
        </is>
      </c>
      <c r="C1332" s="4" t="inlineStr">
        <is>
          <t>Breakfast</t>
        </is>
      </c>
      <c r="D1332" s="4" t="inlineStr">
        <is>
          <t>American</t>
        </is>
      </c>
      <c r="E1332" s="2" t="n">
        <v>6</v>
      </c>
      <c r="F1332" s="2" t="n">
        <v>10</v>
      </c>
      <c r="G1332" s="2" t="n">
        <v>35</v>
      </c>
      <c r="H1332" s="2" t="n">
        <v>45</v>
      </c>
      <c r="I1332" s="4" t="inlineStr">
        <is>
          <t>apple-cinnamon-baked-oatmeal.jpg</t>
        </is>
      </c>
      <c r="J1332" s="3" t="inlineStr">
        <is>
          <t>Apple Cinnamon Baked Oatmeal, healthy food photography, plated, natural light</t>
        </is>
      </c>
      <c r="K1332" s="4" t="inlineStr"/>
      <c r="L1332" s="3" t="inlineStr">
        <is>
          <t>Rolled oats, dry — 240 g (8.5 oz)
Milk, 2% — 400 g (14.1 oz)
Egg, large (50 g each) — 100 g (3.5 oz)
Apple — 300 g (10.6 oz)
Ground cinnamon — 4 g (0.1 oz)
Baking powder — 4 g (0.1 oz)
Walnuts — 40 g (1.4 oz)
Vanilla extract — 5 g (0.2 oz)</t>
        </is>
      </c>
      <c r="M1332" s="4" t="inlineStr">
        <is>
          <t>[{"ingredient_id": "rolled_oats", "name": "Rolled oats, dry", "grams": 240.0, "note": ""}, {"ingredient_id": "milk", "name": "Milk, 2%", "grams": 400.0, "note": ""}, {"ingredient_id": "egg", "name": "Egg, large (50 g each)", "grams": 100.0, "note": ""}, {"ingredient_id": "apple", "name": "Apple", "grams": 300.0, "note": ""}, {"ingredient_id": "cinnamon", "name": "Ground cinnamon", "grams": 4.0, "note": ""}, {"ingredient_id": "baking_powder", "name": "Baking powder", "grams": 4.0, "note": ""}, {"ingredient_id": "walnuts", "name": "Walnuts", "grams": 40.0, "note": ""}, {"ingredient_id": "vanilla_extract", "name": "Vanilla extract", "grams": 5.0, "note": ""}]</t>
        </is>
      </c>
      <c r="N1332" s="2" t="n">
        <v>283</v>
      </c>
      <c r="O1332" s="5" t="n">
        <v>10.7</v>
      </c>
      <c r="P1332" s="5" t="n">
        <v>10</v>
      </c>
      <c r="Q1332" s="5" t="n">
        <v>39.3</v>
      </c>
      <c r="R1332" s="5" t="n">
        <v>6</v>
      </c>
      <c r="S1332" s="5" t="n">
        <v>33.3</v>
      </c>
      <c r="T1332" s="2" t="n">
        <v>49</v>
      </c>
      <c r="U1332" s="2" t="inlineStr">
        <is>
          <t>low</t>
        </is>
      </c>
      <c r="V1332" s="5" t="n">
        <v>16.3</v>
      </c>
      <c r="W1332" s="2" t="inlineStr">
        <is>
          <t>medium</t>
        </is>
      </c>
      <c r="X1332" s="3" t="inlineStr"/>
      <c r="Y1332" s="3" t="inlineStr">
        <is>
          <t>97% of this dish's available carbohydrate comes from ingredients with a published, measured GI; the rest uses conventional placeholders (see Ingredients sheet)</t>
        </is>
      </c>
      <c r="Z1332" s="2" t="n">
        <v>97</v>
      </c>
      <c r="AA1332" s="3" t="inlineStr">
        <is>
          <t>vegetarian, meal-prep</t>
        </is>
      </c>
      <c r="AB1332" s="3" t="inlineStr">
        <is>
          <t>1. Mix the oats, milk, eggs, cinnamon, baking powder and vanilla.
2. Fold in the chopped apple and walnuts.
3. Bake at 350°F for 30 to 35 minutes.</t>
        </is>
      </c>
      <c r="AC1332" s="4" t="inlineStr">
        <is>
          <t>["Mix the oats, milk, eggs, cinnamon, baking powder and vanilla.", "Fold in the chopped apple and walnuts.", "Bake at 350°F for 30 to 35 minutes."]</t>
        </is>
      </c>
    </row>
    <row r="1333" ht="96" customHeight="1">
      <c r="A1333" s="2" t="inlineStr">
        <is>
          <t>DB-1332</t>
        </is>
      </c>
      <c r="B1333" s="3" t="inlineStr">
        <is>
          <t>Gingerbread Spiced Chia Pudding</t>
        </is>
      </c>
      <c r="C1333" s="4" t="inlineStr">
        <is>
          <t>Dessert</t>
        </is>
      </c>
      <c r="D1333" s="4" t="inlineStr">
        <is>
          <t>American</t>
        </is>
      </c>
      <c r="E1333" s="2" t="n">
        <v>3</v>
      </c>
      <c r="F1333" s="2" t="n">
        <v>5</v>
      </c>
      <c r="G1333" s="2" t="n">
        <v>0</v>
      </c>
      <c r="H1333" s="2" t="n">
        <v>5</v>
      </c>
      <c r="I1333" s="4" t="inlineStr">
        <is>
          <t>gingerbread-spiced-chia-pudding.jpg</t>
        </is>
      </c>
      <c r="J1333" s="3" t="inlineStr">
        <is>
          <t>Gingerbread Spiced Chia Pudding, healthy food photography, plated, natural light</t>
        </is>
      </c>
      <c r="K1333" s="4" t="inlineStr"/>
      <c r="L1333" s="3" t="inlineStr">
        <is>
          <t>Chia seeds — 40 g (1.4 oz)
Almond milk, unsweetened — 300 g (10.6 oz)
Fresh ginger — 3 g (0.1 oz)
Ground cinnamon — 2 g (0.1 oz)
Ground nutmeg — 1 g (0.0 oz)
Vanilla extract — 3 g (0.1 oz)
Monk fruit/erythritol sweetener — 6 g (0.2 oz)</t>
        </is>
      </c>
      <c r="M1333" s="4" t="inlineStr">
        <is>
          <t>[{"ingredient_id": "chia_seeds", "name": "Chia seeds", "grams": 40.0, "note": ""}, {"ingredient_id": "almond_milk", "name": "Almond milk, unsweetened", "grams": 300.0, "note": ""}, {"ingredient_id": "ginger", "name": "Fresh ginger", "grams": 3.0, "note": ""}, {"ingredient_id": "cinnamon", "name": "Ground cinnamon", "grams": 2.0, "note": ""}, {"ingredient_id": "nutmeg", "name": "Ground nutmeg", "grams": 1.0, "note": ""}, {"ingredient_id": "vanilla_extract", "name": "Vanilla extract", "grams": 3.0, "note": ""}, {"ingredient_id": "monk_fruit_sweetener", "name": "Monk fruit/erythritol sweetener", "grams": 6.0, "note": ""}]</t>
        </is>
      </c>
      <c r="N1333" s="2" t="n">
        <v>87</v>
      </c>
      <c r="O1333" s="5" t="n">
        <v>2.9</v>
      </c>
      <c r="P1333" s="5" t="n">
        <v>5.5</v>
      </c>
      <c r="Q1333" s="5" t="n">
        <v>7.2</v>
      </c>
      <c r="R1333" s="5" t="n">
        <v>5</v>
      </c>
      <c r="S1333" s="5" t="n">
        <v>2.2</v>
      </c>
      <c r="T1333" s="2" t="n">
        <v>16</v>
      </c>
      <c r="U1333" s="2" t="inlineStr">
        <is>
          <t>low</t>
        </is>
      </c>
      <c r="V1333" s="5" t="n">
        <v>0.4</v>
      </c>
      <c r="W1333" s="2" t="inlineStr">
        <is>
          <t>low</t>
        </is>
      </c>
      <c r="X1333" s="3" t="inlineStr">
        <is>
          <t>Negligible carbohydrate (&lt;5 g net/serving): GI has little practical meaning, glycemic load is what matters.</t>
        </is>
      </c>
      <c r="Y1333" s="3" t="inlineStr">
        <is>
          <t>0% of this dish's available carbohydrate comes from ingredients with a published, measured GI; the rest uses conventional placeholders (see Ingredients sheet)</t>
        </is>
      </c>
      <c r="Z1333" s="2" t="n">
        <v>0</v>
      </c>
      <c r="AA1333" s="3" t="inlineStr">
        <is>
          <t>vegan, gluten-free, dairy-free, low-carb, no-cook, meal-prep</t>
        </is>
      </c>
      <c r="AB1333" s="3" t="inlineStr">
        <is>
          <t>1. Whisk everything.
2. Chill at least 4 hours.</t>
        </is>
      </c>
      <c r="AC1333" s="4" t="inlineStr">
        <is>
          <t>["Whisk everything.", "Chill at least 4 hours."]</t>
        </is>
      </c>
    </row>
    <row r="1334" ht="96" customHeight="1">
      <c r="A1334" s="2" t="inlineStr">
        <is>
          <t>DB-1333</t>
        </is>
      </c>
      <c r="B1334" s="3" t="inlineStr">
        <is>
          <t>Turkey and Cheese Pinwheels</t>
        </is>
      </c>
      <c r="C1334" s="4" t="inlineStr">
        <is>
          <t>Snack &amp; Appetizer</t>
        </is>
      </c>
      <c r="D1334" s="4" t="inlineStr">
        <is>
          <t>American</t>
        </is>
      </c>
      <c r="E1334" s="2" t="n">
        <v>4</v>
      </c>
      <c r="F1334" s="2" t="n">
        <v>10</v>
      </c>
      <c r="G1334" s="2" t="n">
        <v>0</v>
      </c>
      <c r="H1334" s="2" t="n">
        <v>10</v>
      </c>
      <c r="I1334" s="4" t="inlineStr">
        <is>
          <t>turkey-and-cheese-pinwheels.jpg</t>
        </is>
      </c>
      <c r="J1334" s="3" t="inlineStr">
        <is>
          <t>Turkey and Cheese Pinwheels, healthy food photography, plated, natural light</t>
        </is>
      </c>
      <c r="K1334" s="4" t="inlineStr"/>
      <c r="L1334" s="3" t="inlineStr">
        <is>
          <t>Flour tortilla, 8-inch — 160 g (5.6 oz)
Deli turkey breast, low sodium — 120 g (4.2 oz)
Cream cheese — 60 g (2.1 oz)
Spinach — 40 g (1.4 oz)
Cheddar cheese — 40 g (1.4 oz)</t>
        </is>
      </c>
      <c r="M1334" s="4" t="inlineStr">
        <is>
          <t>[{"ingredient_id": "flour_tortilla", "name": "Flour tortilla, 8-inch", "grams": 160.0, "note": ""}, {"ingredient_id": "deli_turkey", "name": "Deli turkey breast, low sodium", "grams": 120.0, "note": ""}, {"ingredient_id": "cream_cheese", "name": "Cream cheese", "grams": 60.0, "note": ""}, {"ingredient_id": "spinach", "name": "Spinach", "grams": 40.0, "note": ""}, {"ingredient_id": "cheddar", "name": "Cheddar cheese", "grams": 40.0, "note": ""}]</t>
        </is>
      </c>
      <c r="N1334" s="2" t="n">
        <v>248</v>
      </c>
      <c r="O1334" s="5" t="n">
        <v>11.9</v>
      </c>
      <c r="P1334" s="5" t="n">
        <v>12.1</v>
      </c>
      <c r="Q1334" s="5" t="n">
        <v>22.1</v>
      </c>
      <c r="R1334" s="5" t="n">
        <v>1.6</v>
      </c>
      <c r="S1334" s="5" t="n">
        <v>20.4</v>
      </c>
      <c r="T1334" s="2" t="n">
        <v>31</v>
      </c>
      <c r="U1334" s="2" t="inlineStr">
        <is>
          <t>low</t>
        </is>
      </c>
      <c r="V1334" s="5" t="n">
        <v>6.3</v>
      </c>
      <c r="W1334" s="2" t="inlineStr">
        <is>
          <t>low</t>
        </is>
      </c>
      <c r="X1334" s="3" t="inlineStr"/>
      <c r="Y1334" s="3" t="inlineStr">
        <is>
          <t>90% of this dish's available carbohydrate comes from ingredients with a published, measured GI; the rest uses conventional placeholders (see Ingredients sheet)</t>
        </is>
      </c>
      <c r="Z1334" s="2" t="n">
        <v>90</v>
      </c>
      <c r="AA1334" s="3" t="inlineStr">
        <is>
          <t>nut-free, no-cook</t>
        </is>
      </c>
      <c r="AB1334" s="3" t="inlineStr">
        <is>
          <t>1. Spread the tortillas with cream cheese.
2. Layer turkey, spinach and cheddar.
3. Roll tight and slice into rounds.</t>
        </is>
      </c>
      <c r="AC1334" s="4" t="inlineStr">
        <is>
          <t>["Spread the tortillas with cream cheese.", "Layer turkey, spinach and cheddar.", "Roll tight and slice into rounds."]</t>
        </is>
      </c>
    </row>
    <row r="1335" ht="96" customHeight="1">
      <c r="A1335" s="2" t="inlineStr">
        <is>
          <t>DB-1334</t>
        </is>
      </c>
      <c r="B1335" s="3" t="inlineStr">
        <is>
          <t>Mini Meatloaf Muffins</t>
        </is>
      </c>
      <c r="C1335" s="4" t="inlineStr">
        <is>
          <t>Beef, Pork &amp; Lamb</t>
        </is>
      </c>
      <c r="D1335" s="4" t="inlineStr">
        <is>
          <t>American</t>
        </is>
      </c>
      <c r="E1335" s="2" t="n">
        <v>6</v>
      </c>
      <c r="F1335" s="2" t="n">
        <v>15</v>
      </c>
      <c r="G1335" s="2" t="n">
        <v>25</v>
      </c>
      <c r="H1335" s="2" t="n">
        <v>40</v>
      </c>
      <c r="I1335" s="4" t="inlineStr">
        <is>
          <t>mini-meatloaf-muffins.jpg</t>
        </is>
      </c>
      <c r="J1335" s="3" t="inlineStr">
        <is>
          <t>Mini Meatloaf Muffins, healthy food photography, plated, natural light</t>
        </is>
      </c>
      <c r="K1335" s="4" t="inlineStr"/>
      <c r="L1335" s="3" t="inlineStr">
        <is>
          <t>Ground turkey 93% lean — 500 g (17.6 oz)
Egg, large (50 g each) — 50 g (1.8 oz)
Oat bran, dry — 30 g (1.1 oz)
Tomato paste — 30 g (1.1 oz)
Yellow onion — 60 g (2.1 oz)
Carrot — 60 g (2.1 oz)
Salt — 3 g (0.1 oz)</t>
        </is>
      </c>
      <c r="M1335" s="4" t="inlineStr">
        <is>
          <t>[{"ingredient_id": "ground_turkey", "name": "Ground turkey 93% lean", "grams": 500.0, "note": ""}, {"ingredient_id": "egg", "name": "Egg, large (50 g each)", "grams": 50.0, "note": ""}, {"ingredient_id": "oat_bran", "name": "Oat bran, dry", "grams": 30.0, "note": ""}, {"ingredient_id": "tomato_paste", "name": "Tomato paste", "grams": 30.0, "note": ""}, {"ingredient_id": "onion", "name": "Yellow onion", "grams": 60.0, "note": ""}, {"ingredient_id": "carrot", "name": "Carrot", "grams": 60.0, "note": ""}, {"ingredient_id": "salt", "name": "Salt", "grams": 3.0, "note": ""}]</t>
        </is>
      </c>
      <c r="N1335" s="2" t="n">
        <v>161</v>
      </c>
      <c r="O1335" s="5" t="n">
        <v>17.9</v>
      </c>
      <c r="P1335" s="5" t="n">
        <v>7.9</v>
      </c>
      <c r="Q1335" s="5" t="n">
        <v>6.2</v>
      </c>
      <c r="R1335" s="5" t="n">
        <v>1.4</v>
      </c>
      <c r="S1335" s="5" t="n">
        <v>4.8</v>
      </c>
      <c r="T1335" s="2" t="n">
        <v>43</v>
      </c>
      <c r="U1335" s="2" t="inlineStr">
        <is>
          <t>low</t>
        </is>
      </c>
      <c r="V1335" s="5" t="n">
        <v>2.1</v>
      </c>
      <c r="W1335" s="2" t="inlineStr">
        <is>
          <t>low</t>
        </is>
      </c>
      <c r="X1335" s="3" t="inlineStr">
        <is>
          <t>Negligible carbohydrate (&lt;5 g net/serving): GI has little practical meaning, glycemic load is what matters.</t>
        </is>
      </c>
      <c r="Y1335" s="3" t="inlineStr">
        <is>
          <t>67% of this dish's available carbohydrate comes from ingredients with a published, measured GI; the rest uses conventional placeholders (see Ingredients sheet)</t>
        </is>
      </c>
      <c r="Z1335" s="2" t="n">
        <v>67</v>
      </c>
      <c r="AA1335" s="3" t="inlineStr">
        <is>
          <t>dairy-free, nut-free, low-carb, meal-prep</t>
        </is>
      </c>
      <c r="AB1335" s="3" t="inlineStr">
        <is>
          <t>1. Mix everything and press into a muffin tin.
2. Brush with a little paste.
3. Bake at 375°F for 22 to 25 minutes.</t>
        </is>
      </c>
      <c r="AC1335" s="4" t="inlineStr">
        <is>
          <t>["Mix everything and press into a muffin tin.", "Brush with a little paste.", "Bake at 375°F for 22 to 25 minutes."]</t>
        </is>
      </c>
    </row>
    <row r="1336" ht="96" customHeight="1">
      <c r="A1336" s="2" t="inlineStr">
        <is>
          <t>DB-1335</t>
        </is>
      </c>
      <c r="B1336" s="3" t="inlineStr">
        <is>
          <t>Chicken Nuggets, Baked with Almond Crumb</t>
        </is>
      </c>
      <c r="C1336" s="4" t="inlineStr">
        <is>
          <t>Poultry</t>
        </is>
      </c>
      <c r="D1336" s="4" t="inlineStr">
        <is>
          <t>American</t>
        </is>
      </c>
      <c r="E1336" s="2" t="n">
        <v>4</v>
      </c>
      <c r="F1336" s="2" t="n">
        <v>15</v>
      </c>
      <c r="G1336" s="2" t="n">
        <v>18</v>
      </c>
      <c r="H1336" s="2" t="n">
        <v>33</v>
      </c>
      <c r="I1336" s="4" t="inlineStr">
        <is>
          <t>chicken-nuggets-baked-with-almond-crumb.jpg</t>
        </is>
      </c>
      <c r="J1336" s="3" t="inlineStr">
        <is>
          <t>Chicken Nuggets, Baked with Almond Crumb, healthy food photography, plated, natural light</t>
        </is>
      </c>
      <c r="K1336" s="4" t="inlineStr"/>
      <c r="L1336" s="3" t="inlineStr">
        <is>
          <t>Chicken breast, skinless — 560 g (19.8 oz)
Almond flour — 60 g (2.1 oz)
Parmesan, grated — 25 g (0.9 oz)
Egg, large (50 g each) — 50 g (1.8 oz)
Paprika — 3 g (0.1 oz)
Garlic powder — 2 g (0.1 oz)
Extra-virgin olive oil — 15 g (0.5 oz)</t>
        </is>
      </c>
      <c r="M1336" s="4" t="inlineStr">
        <is>
          <t>[{"ingredient_id": "chicken_breast", "name": "Chicken breast, skinless", "grams": 560.0, "note": ""}, {"ingredient_id": "almond_flour", "name": "Almond flour", "grams": 60.0, "note": ""}, {"ingredient_id": "parmesan", "name": "Parmesan, grated", "grams": 25.0, "note": ""}, {"ingredient_id": "egg", "name": "Egg, large (50 g each)", "grams": 50.0, "note": ""}, {"ingredient_id": "paprika", "name": "Paprika", "grams": 3.0, "note": ""}, {"ingredient_id": "garlic_powder", "name": "Garlic powder", "grams": 2.0, "note": ""}, {"ingredient_id": "olive_oil", "name": "Extra-virgin olive oil", "grams": 15.0, "note": ""}]</t>
        </is>
      </c>
      <c r="N1336" s="2" t="n">
        <v>338</v>
      </c>
      <c r="O1336" s="5" t="n">
        <v>38.8</v>
      </c>
      <c r="P1336" s="5" t="n">
        <v>18</v>
      </c>
      <c r="Q1336" s="5" t="n">
        <v>4.3</v>
      </c>
      <c r="R1336" s="5" t="n">
        <v>2.1</v>
      </c>
      <c r="S1336" s="5" t="n">
        <v>2.1</v>
      </c>
      <c r="T1336" s="2" t="n">
        <v>13</v>
      </c>
      <c r="U1336" s="2" t="inlineStr">
        <is>
          <t>low</t>
        </is>
      </c>
      <c r="V1336" s="5" t="n">
        <v>0.3</v>
      </c>
      <c r="W1336" s="2" t="inlineStr">
        <is>
          <t>low</t>
        </is>
      </c>
      <c r="X1336" s="3" t="inlineStr">
        <is>
          <t>Negligible carbohydrate (&lt;5 g net/serving): GI has little practical meaning, glycemic load is what matters.</t>
        </is>
      </c>
      <c r="Y1336" s="3" t="inlineStr">
        <is>
          <t>0% of this dish's available carbohydrate comes from ingredients with a published, measured GI; the rest uses conventional placeholders (see Ingredients sheet)</t>
        </is>
      </c>
      <c r="Z1336" s="2" t="n">
        <v>0</v>
      </c>
      <c r="AA1336" s="3" t="inlineStr">
        <is>
          <t>gluten-free, low-carb, high-protein</t>
        </is>
      </c>
      <c r="AB1336" s="3" t="inlineStr">
        <is>
          <t>1. Cut the chicken into nuggets.
2. Dip in egg, then almond flour mixed with parmesan and spices.
3. Bake on an oiled tray at 425°F for 15 to 18 minutes.</t>
        </is>
      </c>
      <c r="AC1336" s="4" t="inlineStr">
        <is>
          <t>["Cut the chicken into nuggets.", "Dip in egg, then almond flour mixed with parmesan and spices.", "Bake on an oiled tray at 425°F for 15 to 18 minutes."]</t>
        </is>
      </c>
    </row>
    <row r="1337" ht="96" customHeight="1">
      <c r="A1337" s="2" t="inlineStr">
        <is>
          <t>DB-1336</t>
        </is>
      </c>
      <c r="B1337" s="3" t="inlineStr">
        <is>
          <t>Fish Sticks, Baked</t>
        </is>
      </c>
      <c r="C1337" s="4" t="inlineStr">
        <is>
          <t>Seafood</t>
        </is>
      </c>
      <c r="D1337" s="4" t="inlineStr">
        <is>
          <t>American</t>
        </is>
      </c>
      <c r="E1337" s="2" t="n">
        <v>4</v>
      </c>
      <c r="F1337" s="2" t="n">
        <v>15</v>
      </c>
      <c r="G1337" s="2" t="n">
        <v>15</v>
      </c>
      <c r="H1337" s="2" t="n">
        <v>30</v>
      </c>
      <c r="I1337" s="4" t="inlineStr">
        <is>
          <t>fish-sticks-baked.jpg</t>
        </is>
      </c>
      <c r="J1337" s="3" t="inlineStr">
        <is>
          <t>Fish Sticks, Baked, healthy food photography, plated, natural light</t>
        </is>
      </c>
      <c r="K1337" s="4" t="inlineStr"/>
      <c r="L1337" s="3" t="inlineStr">
        <is>
          <t>Cod fillet — 500 g (17.6 oz)
Almond flour — 60 g (2.1 oz)
Parmesan, grated — 20 g (0.7 oz)
Egg, large (50 g each) — 50 g (1.8 oz)
Old Bay seasoning — 2 g (0.1 oz)
Extra-virgin olive oil — 15 g (0.5 oz)
Greek yogurt, plain 2% — 80 g (2.8 oz)
Lemon juice — 10 g (0.4 oz)</t>
        </is>
      </c>
      <c r="M1337" s="4" t="inlineStr">
        <is>
          <t>[{"ingredient_id": "cod", "name": "Cod fillet", "grams": 500.0, "note": ""}, {"ingredient_id": "almond_flour", "name": "Almond flour", "grams": 60.0, "note": ""}, {"ingredient_id": "parmesan", "name": "Parmesan, grated", "grams": 20.0, "note": ""}, {"ingredient_id": "egg", "name": "Egg, large (50 g each)", "grams": 50.0, "note": ""}, {"ingredient_id": "old_bay", "name": "Old Bay seasoning", "grams": 2.0, "note": ""}, {"ingredient_id": "olive_oil", "name": "Extra-virgin olive oil", "grams": 15.0, "note": ""}, {"ingredient_id": "greek_yogurt", "name": "Greek yogurt, plain 2%", "grams": 80.0, "note": ""}, {"ingredient_id": "lemon_juice", "name": "Lemon juice", "grams": 10.0, "note": ""}]</t>
        </is>
      </c>
      <c r="N1337" s="2" t="n">
        <v>280</v>
      </c>
      <c r="O1337" s="5" t="n">
        <v>31.2</v>
      </c>
      <c r="P1337" s="5" t="n">
        <v>15.2</v>
      </c>
      <c r="Q1337" s="5" t="n">
        <v>4.7</v>
      </c>
      <c r="R1337" s="5" t="n">
        <v>1.9</v>
      </c>
      <c r="S1337" s="5" t="n">
        <v>2.8</v>
      </c>
      <c r="T1337" s="2" t="n">
        <v>13</v>
      </c>
      <c r="U1337" s="2" t="inlineStr">
        <is>
          <t>low</t>
        </is>
      </c>
      <c r="V1337" s="5" t="n">
        <v>0.4</v>
      </c>
      <c r="W1337" s="2" t="inlineStr">
        <is>
          <t>low</t>
        </is>
      </c>
      <c r="X1337" s="3" t="inlineStr">
        <is>
          <t>Negligible carbohydrate (&lt;5 g net/serving): GI has little practical meaning, glycemic load is what matters.</t>
        </is>
      </c>
      <c r="Y1337" s="3" t="inlineStr">
        <is>
          <t>29% of this dish's available carbohydrate comes from ingredients with a published, measured GI; the rest uses conventional placeholders (see Ingredients sheet)</t>
        </is>
      </c>
      <c r="Z1337" s="2" t="n">
        <v>29</v>
      </c>
      <c r="AA1337" s="3" t="inlineStr">
        <is>
          <t>pescatarian, gluten-free, low-carb, high-protein</t>
        </is>
      </c>
      <c r="AB1337" s="3" t="inlineStr">
        <is>
          <t>1. Cut the cod into sticks.
2. Dip in egg, then almond flour, parmesan and Old Bay.
3. Bake at 425°F for 12 to 15 minutes.
4. Serve with lemon yogurt dip.</t>
        </is>
      </c>
      <c r="AC1337" s="4" t="inlineStr">
        <is>
          <t>["Cut the cod into sticks.", "Dip in egg, then almond flour, parmesan and Old Bay.", "Bake at 425°F for 12 to 15 minutes.", "Serve with lemon yogurt dip."]</t>
        </is>
      </c>
    </row>
    <row r="1338" ht="96" customHeight="1">
      <c r="A1338" s="2" t="inlineStr">
        <is>
          <t>DB-1337</t>
        </is>
      </c>
      <c r="B1338" s="3" t="inlineStr">
        <is>
          <t>Cheese Quesadilla Triangles</t>
        </is>
      </c>
      <c r="C1338" s="4" t="inlineStr">
        <is>
          <t>Snack &amp; Appetizer</t>
        </is>
      </c>
      <c r="D1338" s="4" t="inlineStr">
        <is>
          <t>Tex-Mex</t>
        </is>
      </c>
      <c r="E1338" s="2" t="n">
        <v>4</v>
      </c>
      <c r="F1338" s="2" t="n">
        <v>5</v>
      </c>
      <c r="G1338" s="2" t="n">
        <v>8</v>
      </c>
      <c r="H1338" s="2" t="n">
        <v>13</v>
      </c>
      <c r="I1338" s="4" t="inlineStr">
        <is>
          <t>cheese-quesadilla-triangles.jpg</t>
        </is>
      </c>
      <c r="J1338" s="3" t="inlineStr">
        <is>
          <t>Cheese Quesadilla Triangles, healthy food photography, plated, natural light</t>
        </is>
      </c>
      <c r="K1338" s="4" t="inlineStr"/>
      <c r="L1338" s="3" t="inlineStr">
        <is>
          <t>Flour tortilla, 8-inch — 160 g (5.6 oz)
Cheddar cheese — 100 g (3.5 oz)
Black beans, cooked — 100 g (3.5 oz)
Extra-virgin olive oil — 5 g (0.2 oz)</t>
        </is>
      </c>
      <c r="M1338" s="4" t="inlineStr">
        <is>
          <t>[{"ingredient_id": "flour_tortilla", "name": "Flour tortilla, 8-inch", "grams": 160.0, "note": ""}, {"ingredient_id": "cheddar", "name": "Cheddar cheese", "grams": 100.0, "note": ""}, {"ingredient_id": "black_beans", "name": "Black beans, cooked", "grams": 100.0, "note": ""}, {"ingredient_id": "olive_oil", "name": "Extra-virgin olive oil", "grams": 5.0, "note": ""}]</t>
        </is>
      </c>
      <c r="N1338" s="2" t="n">
        <v>267</v>
      </c>
      <c r="O1338" s="5" t="n">
        <v>11.3</v>
      </c>
      <c r="P1338" s="5" t="n">
        <v>12.8</v>
      </c>
      <c r="Q1338" s="5" t="n">
        <v>26</v>
      </c>
      <c r="R1338" s="5" t="n">
        <v>3.6</v>
      </c>
      <c r="S1338" s="5" t="n">
        <v>22.4</v>
      </c>
      <c r="T1338" s="2" t="n">
        <v>33</v>
      </c>
      <c r="U1338" s="2" t="inlineStr">
        <is>
          <t>low</t>
        </is>
      </c>
      <c r="V1338" s="5" t="n">
        <v>7.4</v>
      </c>
      <c r="W1338" s="2" t="inlineStr">
        <is>
          <t>low</t>
        </is>
      </c>
      <c r="X1338" s="3" t="inlineStr"/>
      <c r="Y1338" s="3" t="inlineStr">
        <is>
          <t>99% of this dish's available carbohydrate comes from ingredients with a published, measured GI; the rest uses conventional placeholders (see Ingredients sheet)</t>
        </is>
      </c>
      <c r="Z1338" s="2" t="n">
        <v>99</v>
      </c>
      <c r="AA1338" s="3" t="inlineStr">
        <is>
          <t>vegetarian, nut-free</t>
        </is>
      </c>
      <c r="AB1338" s="3" t="inlineStr">
        <is>
          <t>1. Fill half of each tortilla with cheddar and beans and fold.
2. Crisp in a pan with oil.
3. Cut into triangles.</t>
        </is>
      </c>
      <c r="AC1338" s="4" t="inlineStr">
        <is>
          <t>["Fill half of each tortilla with cheddar and beans and fold.", "Crisp in a pan with oil.", "Cut into triangles."]</t>
        </is>
      </c>
    </row>
    <row r="1339" ht="96" customHeight="1">
      <c r="A1339" s="2" t="inlineStr">
        <is>
          <t>DB-1338</t>
        </is>
      </c>
      <c r="B1339" s="3" t="inlineStr">
        <is>
          <t>Ants on a Log</t>
        </is>
      </c>
      <c r="C1339" s="4" t="inlineStr">
        <is>
          <t>Snack &amp; Appetizer</t>
        </is>
      </c>
      <c r="D1339" s="4" t="inlineStr">
        <is>
          <t>American</t>
        </is>
      </c>
      <c r="E1339" s="2" t="n">
        <v>4</v>
      </c>
      <c r="F1339" s="2" t="n">
        <v>5</v>
      </c>
      <c r="G1339" s="2" t="n">
        <v>0</v>
      </c>
      <c r="H1339" s="2" t="n">
        <v>5</v>
      </c>
      <c r="I1339" s="4" t="inlineStr">
        <is>
          <t>ants-on-a-log.jpg</t>
        </is>
      </c>
      <c r="J1339" s="3" t="inlineStr">
        <is>
          <t>Ants on a Log, healthy food photography, plated, natural light</t>
        </is>
      </c>
      <c r="K1339" s="4" t="inlineStr"/>
      <c r="L1339" s="3" t="inlineStr">
        <is>
          <t>Celery — 240 g (8.5 oz)
Peanut butter, natural — 64 g (2.3 oz)
Pumpkin seeds (pepitas) — 20 g (0.7 oz)</t>
        </is>
      </c>
      <c r="M1339" s="4" t="inlineStr">
        <is>
          <t>[{"ingredient_id": "celery", "name": "Celery", "grams": 240.0, "note": ""}, {"ingredient_id": "peanut_butter", "name": "Peanut butter, natural", "grams": 64.0, "note": ""}, {"ingredient_id": "pumpkin_seeds", "name": "Pumpkin seeds (pepitas)", "grams": 20.0, "note": ""}]</t>
        </is>
      </c>
      <c r="N1339" s="2" t="n">
        <v>132</v>
      </c>
      <c r="O1339" s="5" t="n">
        <v>5.9</v>
      </c>
      <c r="P1339" s="5" t="n">
        <v>10.6</v>
      </c>
      <c r="Q1339" s="5" t="n">
        <v>5.5</v>
      </c>
      <c r="R1339" s="5" t="n">
        <v>2.2</v>
      </c>
      <c r="S1339" s="5" t="n">
        <v>3.3</v>
      </c>
      <c r="T1339" s="2" t="n">
        <v>14</v>
      </c>
      <c r="U1339" s="2" t="inlineStr">
        <is>
          <t>low</t>
        </is>
      </c>
      <c r="V1339" s="5" t="n">
        <v>0.5</v>
      </c>
      <c r="W1339" s="2" t="inlineStr">
        <is>
          <t>low</t>
        </is>
      </c>
      <c r="X1339" s="3" t="inlineStr">
        <is>
          <t>Negligible carbohydrate (&lt;5 g net/serving): GI has little practical meaning, glycemic load is what matters.</t>
        </is>
      </c>
      <c r="Y1339" s="3" t="inlineStr">
        <is>
          <t>0% of this dish's available carbohydrate comes from ingredients with a published, measured GI; the rest uses conventional placeholders (see Ingredients sheet)</t>
        </is>
      </c>
      <c r="Z1339" s="2" t="n">
        <v>0</v>
      </c>
      <c r="AA1339" s="3" t="inlineStr">
        <is>
          <t>vegan, gluten-free, dairy-free, low-carb, no-cook</t>
        </is>
      </c>
      <c r="AB1339" s="3" t="inlineStr">
        <is>
          <t>1. Fill the celery stalks with peanut butter.
2. Press seeds on top.</t>
        </is>
      </c>
      <c r="AC1339" s="4" t="inlineStr">
        <is>
          <t>["Fill the celery stalks with peanut butter.", "Press seeds on top."]</t>
        </is>
      </c>
    </row>
    <row r="1340" ht="96" customHeight="1">
      <c r="A1340" s="2" t="inlineStr">
        <is>
          <t>DB-1339</t>
        </is>
      </c>
      <c r="B1340" s="3" t="inlineStr">
        <is>
          <t>Banana Dog Roll-Up</t>
        </is>
      </c>
      <c r="C1340" s="4" t="inlineStr">
        <is>
          <t>Snack &amp; Appetizer</t>
        </is>
      </c>
      <c r="D1340" s="4" t="inlineStr">
        <is>
          <t>American</t>
        </is>
      </c>
      <c r="E1340" s="2" t="n">
        <v>2</v>
      </c>
      <c r="F1340" s="2" t="n">
        <v>3</v>
      </c>
      <c r="G1340" s="2" t="n">
        <v>0</v>
      </c>
      <c r="H1340" s="2" t="n">
        <v>3</v>
      </c>
      <c r="I1340" s="4" t="inlineStr">
        <is>
          <t>banana-dog-roll-up.jpg</t>
        </is>
      </c>
      <c r="J1340" s="3" t="inlineStr">
        <is>
          <t>Banana Dog Roll-Up, healthy food photography, plated, natural light</t>
        </is>
      </c>
      <c r="K1340" s="4" t="inlineStr"/>
      <c r="L1340" s="3" t="inlineStr">
        <is>
          <t>Flour tortilla, 8-inch — 80 g (2.8 oz)
Banana (small amount) — 120 g (4.2 oz)
Peanut butter, natural — 30 g (1.1 oz)</t>
        </is>
      </c>
      <c r="M1340" s="4" t="inlineStr">
        <is>
          <t>[{"ingredient_id": "flour_tortilla", "name": "Flour tortilla, 8-inch", "grams": 80.0, "note": ""}, {"ingredient_id": "banana", "name": "Banana (small amount)", "grams": 120.0, "note": ""}, {"ingredient_id": "peanut_butter", "name": "Peanut butter, natural", "grams": 30.0, "note": ""}]</t>
        </is>
      </c>
      <c r="N1340" s="2" t="n">
        <v>264</v>
      </c>
      <c r="O1340" s="5" t="n">
        <v>7.7</v>
      </c>
      <c r="P1340" s="5" t="n">
        <v>10.9</v>
      </c>
      <c r="Q1340" s="5" t="n">
        <v>36.6</v>
      </c>
      <c r="R1340" s="5" t="n">
        <v>3.9</v>
      </c>
      <c r="S1340" s="5" t="n">
        <v>32.7</v>
      </c>
      <c r="T1340" s="2" t="n">
        <v>39</v>
      </c>
      <c r="U1340" s="2" t="inlineStr">
        <is>
          <t>low</t>
        </is>
      </c>
      <c r="V1340" s="5" t="n">
        <v>12.8</v>
      </c>
      <c r="W1340" s="2" t="inlineStr">
        <is>
          <t>medium</t>
        </is>
      </c>
      <c r="X1340" s="3" t="inlineStr"/>
      <c r="Y1340" s="3" t="inlineStr">
        <is>
          <t>94% of this dish's available carbohydrate comes from ingredients with a published, measured GI; the rest uses conventional placeholders (see Ingredients sheet)</t>
        </is>
      </c>
      <c r="Z1340" s="2" t="n">
        <v>94</v>
      </c>
      <c r="AA1340" s="3" t="inlineStr">
        <is>
          <t>vegan, dairy-free, no-cook</t>
        </is>
      </c>
      <c r="AB1340" s="3" t="inlineStr">
        <is>
          <t>1. Spread the tortillas with peanut butter.
2. Place a banana on each and roll.</t>
        </is>
      </c>
      <c r="AC1340" s="4" t="inlineStr">
        <is>
          <t>["Spread the tortillas with peanut butter.", "Place a banana on each and roll."]</t>
        </is>
      </c>
    </row>
    <row r="1341" ht="96" customHeight="1">
      <c r="A1341" s="2" t="inlineStr">
        <is>
          <t>DB-1340</t>
        </is>
      </c>
      <c r="B1341" s="3" t="inlineStr">
        <is>
          <t>Pizza Pasta Bake</t>
        </is>
      </c>
      <c r="C1341" s="4" t="inlineStr">
        <is>
          <t>Beef, Pork &amp; Lamb</t>
        </is>
      </c>
      <c r="D1341" s="4" t="inlineStr">
        <is>
          <t>Italian</t>
        </is>
      </c>
      <c r="E1341" s="2" t="n">
        <v>6</v>
      </c>
      <c r="F1341" s="2" t="n">
        <v>15</v>
      </c>
      <c r="G1341" s="2" t="n">
        <v>30</v>
      </c>
      <c r="H1341" s="2" t="n">
        <v>45</v>
      </c>
      <c r="I1341" s="4" t="inlineStr">
        <is>
          <t>pizza-pasta-bake.jpg</t>
        </is>
      </c>
      <c r="J1341" s="3" t="inlineStr">
        <is>
          <t>Pizza Pasta Bake, healthy food photography, plated, natural light</t>
        </is>
      </c>
      <c r="K1341" s="4" t="inlineStr"/>
      <c r="L1341" s="3" t="inlineStr">
        <is>
          <t>White pasta, cooked al dente — 480 g (16.9 oz)
Marinara sauce, no sugar added — 350 g (12.3 oz)
Mozzarella, part-skim — 120 g (4.2 oz)
Turkey sausage — 150 g (5.3 oz)
Bell pepper — 100 g (3.5 oz)
Italian seasoning — 2 g (0.1 oz)</t>
        </is>
      </c>
      <c r="M1341" s="4" t="inlineStr">
        <is>
          <t>[{"ingredient_id": "white_pasta", "name": "White pasta, cooked al dente", "grams": 480.0, "note": ""}, {"ingredient_id": "marinara", "name": "Marinara sauce, no sugar added", "grams": 350.0, "note": ""}, {"ingredient_id": "mozzarella", "name": "Mozzarella, part-skim", "grams": 120.0, "note": ""}, {"ingredient_id": "turkey_sausage", "name": "Turkey sausage", "grams": 150.0, "note": ""}, {"ingredient_id": "bell_pepper", "name": "Bell pepper", "grams": 100.0, "note": ""}, {"ingredient_id": "italian_seasoning", "name": "Italian seasoning", "grams": 2.0, "note": ""}]</t>
        </is>
      </c>
      <c r="N1341" s="2" t="n">
        <v>247</v>
      </c>
      <c r="O1341" s="5" t="n">
        <v>14.2</v>
      </c>
      <c r="P1341" s="5" t="n">
        <v>8</v>
      </c>
      <c r="Q1341" s="5" t="n">
        <v>29.8</v>
      </c>
      <c r="R1341" s="5" t="n">
        <v>2.8</v>
      </c>
      <c r="S1341" s="5" t="n">
        <v>27</v>
      </c>
      <c r="T1341" s="2" t="n">
        <v>45</v>
      </c>
      <c r="U1341" s="2" t="inlineStr">
        <is>
          <t>low</t>
        </is>
      </c>
      <c r="V1341" s="5" t="n">
        <v>12.1</v>
      </c>
      <c r="W1341" s="2" t="inlineStr">
        <is>
          <t>medium</t>
        </is>
      </c>
      <c r="X1341" s="3" t="inlineStr"/>
      <c r="Y1341" s="3" t="inlineStr">
        <is>
          <t>93% of this dish's available carbohydrate comes from ingredients with a published, measured GI; the rest uses conventional placeholders (see Ingredients sheet)</t>
        </is>
      </c>
      <c r="Z1341" s="2" t="n">
        <v>93</v>
      </c>
      <c r="AA1341" s="3" t="inlineStr">
        <is>
          <t>nut-free</t>
        </is>
      </c>
      <c r="AB1341" s="3" t="inlineStr">
        <is>
          <t>1. Brown the sausage; mix with the cooked pasta, marinara, pepper and seasoning.
2. Top with mozzarella.
3. Bake at 375°F for 20 minutes.</t>
        </is>
      </c>
      <c r="AC1341" s="4" t="inlineStr">
        <is>
          <t>["Brown the sausage; mix with the cooked pasta, marinara, pepper and seasoning.", "Top with mozzarella.", "Bake at 375°F for 20 minutes."]</t>
        </is>
      </c>
    </row>
    <row r="1342" ht="96" customHeight="1">
      <c r="A1342" s="2" t="inlineStr">
        <is>
          <t>DB-1341</t>
        </is>
      </c>
      <c r="B1342" s="3" t="inlineStr">
        <is>
          <t>Cheeseburger Soup</t>
        </is>
      </c>
      <c r="C1342" s="4" t="inlineStr">
        <is>
          <t>Soup &amp; Stew</t>
        </is>
      </c>
      <c r="D1342" s="4" t="inlineStr">
        <is>
          <t>American</t>
        </is>
      </c>
      <c r="E1342" s="2" t="n">
        <v>6</v>
      </c>
      <c r="F1342" s="2" t="n">
        <v>10</v>
      </c>
      <c r="G1342" s="2" t="n">
        <v>30</v>
      </c>
      <c r="H1342" s="2" t="n">
        <v>40</v>
      </c>
      <c r="I1342" s="4" t="inlineStr">
        <is>
          <t>cheeseburger-soup.jpg</t>
        </is>
      </c>
      <c r="J1342" s="3" t="inlineStr">
        <is>
          <t>Cheeseburger Soup, healthy food photography, plated, natural light</t>
        </is>
      </c>
      <c r="K1342" s="4" t="inlineStr"/>
      <c r="L1342" s="3" t="inlineStr">
        <is>
          <t>Ground beef 90% lean — 400 g (14.1 oz)
Potato, boiled, peeled — 300 g (10.6 oz)
Cheddar cheese — 100 g (3.5 oz)
Beef broth, low sodium — 600 g (21.2 oz)
Milk, 2% — 250 g (8.8 oz)
Yellow onion — 100 g (3.5 oz)
Carrot — 80 g (2.8 oz)
Yellow mustard — 10 g (0.4 oz)
Tomato paste — 20 g (0.7 oz)</t>
        </is>
      </c>
      <c r="M1342" s="4" t="inlineStr">
        <is>
          <t>[{"ingredient_id": "ground_beef", "name": "Ground beef 90% lean", "grams": 400.0, "note": ""}, {"ingredient_id": "potato_boiled", "name": "Potato, boiled, peeled", "grams": 300.0, "note": ""}, {"ingredient_id": "cheddar", "name": "Cheddar cheese", "grams": 100.0, "note": ""}, {"ingredient_id": "beef_broth", "name": "Beef broth, low sodium", "grams": 600.0, "note": ""}, {"ingredient_id": "milk", "name": "Milk, 2%", "grams": 250.0, "note": ""}, {"ingredient_id": "onion", "name": "Yellow onion", "grams": 100.0, "note": ""}, {"ingredient_id": "carrot", "name": "Carrot", "grams": 80.0, "note": ""}, {"ingredient_id": "yellow_mustard", "name": "Yellow mustard", "grams": 10.0, "note": ""}, {"ingredient_id": "tomato_paste", "name": "Tomato paste", "grams": 20.0, "note": ""}]</t>
        </is>
      </c>
      <c r="N1342" s="2" t="n">
        <v>275</v>
      </c>
      <c r="O1342" s="5" t="n">
        <v>21.3</v>
      </c>
      <c r="P1342" s="5" t="n">
        <v>13.4</v>
      </c>
      <c r="Q1342" s="5" t="n">
        <v>16.9</v>
      </c>
      <c r="R1342" s="5" t="n">
        <v>1.6</v>
      </c>
      <c r="S1342" s="5" t="n">
        <v>15.3</v>
      </c>
      <c r="T1342" s="2" t="n">
        <v>51</v>
      </c>
      <c r="U1342" s="2" t="inlineStr">
        <is>
          <t>low</t>
        </is>
      </c>
      <c r="V1342" s="5" t="n">
        <v>7.8</v>
      </c>
      <c r="W1342" s="2" t="inlineStr">
        <is>
          <t>low</t>
        </is>
      </c>
      <c r="X1342" s="3" t="inlineStr"/>
      <c r="Y1342" s="3" t="inlineStr">
        <is>
          <t>84% of this dish's available carbohydrate comes from ingredients with a published, measured GI; the rest uses conventional placeholders (see Ingredients sheet)</t>
        </is>
      </c>
      <c r="Z1342" s="2" t="n">
        <v>84</v>
      </c>
      <c r="AA1342" s="3" t="inlineStr">
        <is>
          <t>gluten-free, nut-free</t>
        </is>
      </c>
      <c r="AB1342" s="3" t="inlineStr">
        <is>
          <t>1. Brown the beef with the onion and carrot.
2. Add the potatoes, broth, mustard and paste and simmer 15 minutes.
3. Stir in the milk and cheddar.</t>
        </is>
      </c>
      <c r="AC1342" s="4" t="inlineStr">
        <is>
          <t>["Brown the beef with the onion and carrot.", "Add the potatoes, broth, mustard and paste and simmer 15 minutes.", "Stir in the milk and cheddar."]</t>
        </is>
      </c>
    </row>
    <row r="1343" ht="96" customHeight="1">
      <c r="A1343" s="2" t="inlineStr">
        <is>
          <t>DB-1342</t>
        </is>
      </c>
      <c r="B1343" s="3" t="inlineStr">
        <is>
          <t>Peanut Butter Banana Quesadilla</t>
        </is>
      </c>
      <c r="C1343" s="4" t="inlineStr">
        <is>
          <t>Breakfast</t>
        </is>
      </c>
      <c r="D1343" s="4" t="inlineStr">
        <is>
          <t>American</t>
        </is>
      </c>
      <c r="E1343" s="2" t="n">
        <v>2</v>
      </c>
      <c r="F1343" s="2" t="n">
        <v>3</v>
      </c>
      <c r="G1343" s="2" t="n">
        <v>5</v>
      </c>
      <c r="H1343" s="2" t="n">
        <v>8</v>
      </c>
      <c r="I1343" s="4" t="inlineStr">
        <is>
          <t>peanut-butter-banana-quesadilla.jpg</t>
        </is>
      </c>
      <c r="J1343" s="3" t="inlineStr">
        <is>
          <t>Peanut Butter Banana Quesadilla, healthy food photography, plated, natural light</t>
        </is>
      </c>
      <c r="K1343" s="4" t="inlineStr"/>
      <c r="L1343" s="3" t="inlineStr">
        <is>
          <t>Flour tortilla, 8-inch — 80 g (2.8 oz)
Peanut butter, natural — 30 g (1.1 oz)
Banana (small amount) — 100 g (3.5 oz)
Ground cinnamon — 1 g (0.0 oz)</t>
        </is>
      </c>
      <c r="M1343" s="4" t="inlineStr">
        <is>
          <t>[{"ingredient_id": "flour_tortilla", "name": "Flour tortilla, 8-inch", "grams": 80.0, "note": ""}, {"ingredient_id": "peanut_butter", "name": "Peanut butter, natural", "grams": 30.0, "note": ""}, {"ingredient_id": "banana", "name": "Banana (small amount)", "grams": 100.0, "note": ""}, {"ingredient_id": "cinnamon", "name": "Ground cinnamon", "grams": 1.0, "note": ""}]</t>
        </is>
      </c>
      <c r="N1343" s="2" t="n">
        <v>256</v>
      </c>
      <c r="O1343" s="5" t="n">
        <v>7.6</v>
      </c>
      <c r="P1343" s="5" t="n">
        <v>10.9</v>
      </c>
      <c r="Q1343" s="5" t="n">
        <v>34.7</v>
      </c>
      <c r="R1343" s="5" t="n">
        <v>3.9</v>
      </c>
      <c r="S1343" s="5" t="n">
        <v>30.8</v>
      </c>
      <c r="T1343" s="2" t="n">
        <v>38</v>
      </c>
      <c r="U1343" s="2" t="inlineStr">
        <is>
          <t>low</t>
        </is>
      </c>
      <c r="V1343" s="5" t="n">
        <v>11.7</v>
      </c>
      <c r="W1343" s="2" t="inlineStr">
        <is>
          <t>medium</t>
        </is>
      </c>
      <c r="X1343" s="3" t="inlineStr"/>
      <c r="Y1343" s="3" t="inlineStr">
        <is>
          <t>93% of this dish's available carbohydrate comes from ingredients with a published, measured GI; the rest uses conventional placeholders (see Ingredients sheet)</t>
        </is>
      </c>
      <c r="Z1343" s="2" t="n">
        <v>93</v>
      </c>
      <c r="AA1343" s="3" t="inlineStr">
        <is>
          <t>vegan, dairy-free</t>
        </is>
      </c>
      <c r="AB1343" s="3" t="inlineStr">
        <is>
          <t>1. Spread peanut butter and banana on half of each tortilla.
2. Fold and toast in a pan 2 minutes a side.</t>
        </is>
      </c>
      <c r="AC1343" s="4" t="inlineStr">
        <is>
          <t>["Spread peanut butter and banana on half of each tortilla.", "Fold and toast in a pan 2 minutes a side."]</t>
        </is>
      </c>
    </row>
    <row r="1344" ht="96" customHeight="1">
      <c r="A1344" s="2" t="inlineStr">
        <is>
          <t>DB-1343</t>
        </is>
      </c>
      <c r="B1344" s="3" t="inlineStr">
        <is>
          <t>Scrambled Egg Muffin Cups with Ham</t>
        </is>
      </c>
      <c r="C1344" s="4" t="inlineStr">
        <is>
          <t>Breakfast</t>
        </is>
      </c>
      <c r="D1344" s="4" t="inlineStr">
        <is>
          <t>American</t>
        </is>
      </c>
      <c r="E1344" s="2" t="n">
        <v>6</v>
      </c>
      <c r="F1344" s="2" t="n">
        <v>10</v>
      </c>
      <c r="G1344" s="2" t="n">
        <v>20</v>
      </c>
      <c r="H1344" s="2" t="n">
        <v>30</v>
      </c>
      <c r="I1344" s="4" t="inlineStr">
        <is>
          <t>scrambled-egg-muffin-cups-with-ham.jpg</t>
        </is>
      </c>
      <c r="J1344" s="3" t="inlineStr">
        <is>
          <t>Scrambled Egg Muffin Cups with Ham, healthy food photography, plated, natural light</t>
        </is>
      </c>
      <c r="K1344" s="4" t="inlineStr"/>
      <c r="L1344" s="3" t="inlineStr">
        <is>
          <t>Egg, large (50 g each) — 300 g (10.6 oz)
Ham, lean — 100 g (3.5 oz)
Cheddar cheese — 50 g (1.8 oz)
Bell pepper — 60 g (2.1 oz)
Spinach — 40 g (1.4 oz)</t>
        </is>
      </c>
      <c r="M1344" s="4" t="inlineStr">
        <is>
          <t>[{"ingredient_id": "egg", "name": "Egg, large (50 g each)", "grams": 300.0, "note": ""}, {"ingredient_id": "ham", "name": "Ham, lean", "grams": 100.0, "note": ""}, {"ingredient_id": "cheddar", "name": "Cheddar cheese", "grams": 50.0, "note": ""}, {"ingredient_id": "bell_pepper", "name": "Bell pepper", "grams": 60.0, "note": ""}, {"ingredient_id": "spinach", "name": "Spinach", "grams": 40.0, "note": ""}]</t>
        </is>
      </c>
      <c r="N1344" s="2" t="n">
        <v>134</v>
      </c>
      <c r="O1344" s="5" t="n">
        <v>12</v>
      </c>
      <c r="P1344" s="5" t="n">
        <v>8.6</v>
      </c>
      <c r="Q1344" s="5" t="n">
        <v>1.5</v>
      </c>
      <c r="R1344" s="5" t="n">
        <v>0.4</v>
      </c>
      <c r="S1344" s="5" t="n">
        <v>1.2</v>
      </c>
      <c r="T1344" s="2" t="n">
        <v>6</v>
      </c>
      <c r="U1344" s="2" t="inlineStr">
        <is>
          <t>low</t>
        </is>
      </c>
      <c r="V1344" s="5" t="n">
        <v>0.1</v>
      </c>
      <c r="W1344" s="2" t="inlineStr">
        <is>
          <t>low</t>
        </is>
      </c>
      <c r="X1344" s="3" t="inlineStr">
        <is>
          <t>Negligible carbohydrate (&lt;5 g net/serving): GI has little practical meaning, glycemic load is what matters.</t>
        </is>
      </c>
      <c r="Y1344" s="3" t="inlineStr">
        <is>
          <t>0% of this dish's available carbohydrate comes from ingredients with a published, measured GI; the rest uses conventional placeholders (see Ingredients sheet)</t>
        </is>
      </c>
      <c r="Z1344" s="2" t="n">
        <v>0</v>
      </c>
      <c r="AA1344" s="3" t="inlineStr">
        <is>
          <t>gluten-free, nut-free, low-carb, meal-prep</t>
        </is>
      </c>
      <c r="AB1344" s="3" t="inlineStr">
        <is>
          <t>1. Divide the chopped ham, pepper and spinach among six muffin cups.
2. Pour in the beaten eggs and top with cheddar.
3. Bake at 350°F for 18 to 20 minutes.</t>
        </is>
      </c>
      <c r="AC1344" s="4" t="inlineStr">
        <is>
          <t>["Divide the chopped ham, pepper and spinach among six muffin cups.", "Pour in the beaten eggs and top with cheddar.", "Bake at 350°F for 18 to 20 minutes."]</t>
        </is>
      </c>
    </row>
    <row r="1345" ht="96" customHeight="1">
      <c r="A1345" s="2" t="inlineStr">
        <is>
          <t>DB-1344</t>
        </is>
      </c>
      <c r="B1345" s="3" t="inlineStr">
        <is>
          <t>Yogurt-Dipped Frozen Berries</t>
        </is>
      </c>
      <c r="C1345" s="4" t="inlineStr">
        <is>
          <t>Snack &amp; Appetizer</t>
        </is>
      </c>
      <c r="D1345" s="4" t="inlineStr">
        <is>
          <t>American</t>
        </is>
      </c>
      <c r="E1345" s="2" t="n">
        <v>4</v>
      </c>
      <c r="F1345" s="2" t="n">
        <v>10</v>
      </c>
      <c r="G1345" s="2" t="n">
        <v>0</v>
      </c>
      <c r="H1345" s="2" t="n">
        <v>10</v>
      </c>
      <c r="I1345" s="4" t="inlineStr">
        <is>
          <t>yogurt-dipped-frozen-berries.jpg</t>
        </is>
      </c>
      <c r="J1345" s="3" t="inlineStr">
        <is>
          <t>Yogurt-Dipped Frozen Berries, healthy food photography, plated, natural light</t>
        </is>
      </c>
      <c r="K1345" s="4" t="inlineStr"/>
      <c r="L1345" s="3" t="inlineStr">
        <is>
          <t>Greek yogurt, plain 2% — 200 g (7.1 oz)
Blueberries — 150 g (5.3 oz)
Strawberries — 150 g (5.3 oz)
Vanilla extract — 2 g (0.1 oz)</t>
        </is>
      </c>
      <c r="M1345" s="4" t="inlineStr">
        <is>
          <t>[{"ingredient_id": "greek_yogurt", "name": "Greek yogurt, plain 2%", "grams": 200.0, "note": ""}, {"ingredient_id": "blueberries", "name": "Blueberries", "grams": 150.0, "note": ""}, {"ingredient_id": "strawberries", "name": "Strawberries", "grams": 150.0, "note": ""}, {"ingredient_id": "vanilla_extract", "name": "Vanilla extract", "grams": 2.0, "note": ""}]</t>
        </is>
      </c>
      <c r="N1345" s="2" t="n">
        <v>71</v>
      </c>
      <c r="O1345" s="5" t="n">
        <v>5.5</v>
      </c>
      <c r="P1345" s="5" t="n">
        <v>1.2</v>
      </c>
      <c r="Q1345" s="5" t="n">
        <v>10.4</v>
      </c>
      <c r="R1345" s="5" t="n">
        <v>1.6</v>
      </c>
      <c r="S1345" s="5" t="n">
        <v>8.699999999999999</v>
      </c>
      <c r="T1345" s="2" t="n">
        <v>40</v>
      </c>
      <c r="U1345" s="2" t="inlineStr">
        <is>
          <t>low</t>
        </is>
      </c>
      <c r="V1345" s="5" t="n">
        <v>3.5</v>
      </c>
      <c r="W1345" s="2" t="inlineStr">
        <is>
          <t>low</t>
        </is>
      </c>
      <c r="X1345" s="3" t="inlineStr"/>
      <c r="Y1345" s="3" t="inlineStr">
        <is>
          <t>99% of this dish's available carbohydrate comes from ingredients with a published, measured GI; the rest uses conventional placeholders (see Ingredients sheet)</t>
        </is>
      </c>
      <c r="Z1345" s="2" t="n">
        <v>99</v>
      </c>
      <c r="AA1345" s="3" t="inlineStr">
        <is>
          <t>vegetarian, gluten-free, nut-free, low-carb, no-cook</t>
        </is>
      </c>
      <c r="AB1345" s="3" t="inlineStr">
        <is>
          <t>1. Stir the vanilla into the yogurt.
2. Dip the berries and freeze on a tray 2 hours.</t>
        </is>
      </c>
      <c r="AC1345" s="4" t="inlineStr">
        <is>
          <t>["Stir the vanilla into the yogurt.", "Dip the berries and freeze on a tray 2 hours."]</t>
        </is>
      </c>
    </row>
    <row r="1346" ht="96" customHeight="1">
      <c r="A1346" s="2" t="inlineStr">
        <is>
          <t>DB-1345</t>
        </is>
      </c>
      <c r="B1346" s="3" t="inlineStr">
        <is>
          <t>Lunchbox Turkey Bento with Cheddar Roll-Ups and Blueberries</t>
        </is>
      </c>
      <c r="C1346" s="4" t="inlineStr">
        <is>
          <t>Snack &amp; Appetizer</t>
        </is>
      </c>
      <c r="D1346" s="4" t="inlineStr">
        <is>
          <t>American</t>
        </is>
      </c>
      <c r="E1346" s="2" t="n">
        <v>2</v>
      </c>
      <c r="F1346" s="2" t="n">
        <v>10</v>
      </c>
      <c r="G1346" s="2" t="n">
        <v>0</v>
      </c>
      <c r="H1346" s="2" t="n">
        <v>10</v>
      </c>
      <c r="I1346" s="4" t="inlineStr">
        <is>
          <t>lunchbox-turkey-bento-with-cheddar-roll-ups-and-blueberries.jpg</t>
        </is>
      </c>
      <c r="J1346" s="3" t="inlineStr">
        <is>
          <t>Lunchbox Turkey Bento with Cheddar Roll-Ups and Blueberries, healthy food photography, plated, natural light</t>
        </is>
      </c>
      <c r="K1346" s="4" t="inlineStr"/>
      <c r="L1346" s="3" t="inlineStr">
        <is>
          <t>Deli turkey breast, low sodium — 100 g (3.5 oz)
Cheddar cheese — 40 g (1.4 oz)
Cucumber — 100 g (3.5 oz)
Blueberries — 100 g (3.5 oz)
Almonds — 20 g (0.7 oz)
Whole grain seed crackers — 30 g (1.1 oz)</t>
        </is>
      </c>
      <c r="M1346" s="4" t="inlineStr">
        <is>
          <t>[{"ingredient_id": "deli_turkey", "name": "Deli turkey breast, low sodium", "grams": 100.0, "note": ""}, {"ingredient_id": "cheddar", "name": "Cheddar cheese", "grams": 40.0, "note": ""}, {"ingredient_id": "cucumber", "name": "Cucumber", "grams": 100.0, "note": ""}, {"ingredient_id": "blueberries", "name": "Blueberries", "grams": 100.0, "note": ""}, {"ingredient_id": "almonds", "name": "Almonds", "grams": 20.0, "note": ""}, {"ingredient_id": "whole_grain_crackers", "name": "Whole grain seed crackers", "grams": 30.0, "note": ""}]</t>
        </is>
      </c>
      <c r="N1346" s="2" t="n">
        <v>290</v>
      </c>
      <c r="O1346" s="5" t="n">
        <v>17.4</v>
      </c>
      <c r="P1346" s="5" t="n">
        <v>14.7</v>
      </c>
      <c r="Q1346" s="5" t="n">
        <v>23.4</v>
      </c>
      <c r="R1346" s="5" t="n">
        <v>4.2</v>
      </c>
      <c r="S1346" s="5" t="n">
        <v>19.2</v>
      </c>
      <c r="T1346" s="2" t="n">
        <v>43</v>
      </c>
      <c r="U1346" s="2" t="inlineStr">
        <is>
          <t>low</t>
        </is>
      </c>
      <c r="V1346" s="5" t="n">
        <v>8.300000000000001</v>
      </c>
      <c r="W1346" s="2" t="inlineStr">
        <is>
          <t>low</t>
        </is>
      </c>
      <c r="X1346" s="3" t="inlineStr"/>
      <c r="Y1346" s="3" t="inlineStr">
        <is>
          <t>75% of this dish's available carbohydrate comes from ingredients with a published, measured GI; the rest uses conventional placeholders (see Ingredients sheet)</t>
        </is>
      </c>
      <c r="Z1346" s="2" t="n">
        <v>75</v>
      </c>
      <c r="AA1346" s="3" t="inlineStr">
        <is>
          <t>no-cook</t>
        </is>
      </c>
      <c r="AB1346" s="3" t="inlineStr">
        <is>
          <t>1. Roll the turkey around cheddar sticks.
2. Pack with cucumber, blueberries, almonds and crackers.</t>
        </is>
      </c>
      <c r="AC1346" s="4" t="inlineStr">
        <is>
          <t>["Roll the turkey around cheddar sticks.", "Pack with cucumber, blueberries, almonds and crackers."]</t>
        </is>
      </c>
    </row>
    <row r="1347" ht="96" customHeight="1">
      <c r="A1347" s="2" t="inlineStr">
        <is>
          <t>DB-1346</t>
        </is>
      </c>
      <c r="B1347" s="3" t="inlineStr">
        <is>
          <t>Sloppy Joes on Hamburger Buns</t>
        </is>
      </c>
      <c r="C1347" s="4" t="inlineStr">
        <is>
          <t>Sandwiches &amp; Wraps</t>
        </is>
      </c>
      <c r="D1347" s="4" t="inlineStr">
        <is>
          <t>American</t>
        </is>
      </c>
      <c r="E1347" s="2" t="n">
        <v>6</v>
      </c>
      <c r="F1347" s="2" t="n">
        <v>10</v>
      </c>
      <c r="G1347" s="2" t="n">
        <v>25</v>
      </c>
      <c r="H1347" s="2" t="n">
        <v>35</v>
      </c>
      <c r="I1347" s="4" t="inlineStr">
        <is>
          <t>sloppy-joes-on-hamburger-buns.jpg</t>
        </is>
      </c>
      <c r="J1347" s="3" t="inlineStr">
        <is>
          <t>Sloppy Joes on Hamburger Buns, healthy food photography, plated, natural light</t>
        </is>
      </c>
      <c r="K1347" s="4" t="inlineStr"/>
      <c r="L1347" s="3" t="inlineStr">
        <is>
          <t>Ground beef 90% lean — 450 g (15.9 oz)
Tomato sauce, canned, no sugar added — 250 g (8.8 oz)
Yellow onion — 100 g (3.5 oz)
Bell pepper — 80 g (2.8 oz)
Yellow mustard — 10 g (0.4 oz)
Apple cider vinegar — 15 g (0.5 oz)
Hamburger bun, white — 360 g (12.7 oz)
Chili powder — 2 g (0.1 oz)</t>
        </is>
      </c>
      <c r="M1347" s="4" t="inlineStr">
        <is>
          <t>[{"ingredient_id": "ground_beef", "name": "Ground beef 90% lean", "grams": 450.0, "note": ""}, {"ingredient_id": "tomato_sauce", "name": "Tomato sauce, canned, no sugar added", "grams": 250.0, "note": ""}, {"ingredient_id": "onion", "name": "Yellow onion", "grams": 100.0, "note": ""}, {"ingredient_id": "bell_pepper", "name": "Bell pepper", "grams": 80.0, "note": ""}, {"ingredient_id": "yellow_mustard", "name": "Yellow mustard", "grams": 10.0, "note": ""}, {"ingredient_id": "apple_cider_vinegar", "name": "Apple cider vinegar", "grams": 15.0, "note": ""}, {"ingredient_id": "hamburger_bun", "name": "Hamburger bun, white", "grams": 360.0, "note": ""}, {"ingredient_id": "chili_powder", "name": "Chili powder", "grams": 2.0, "note": ""}]</t>
        </is>
      </c>
      <c r="N1347" s="2" t="n">
        <v>315</v>
      </c>
      <c r="O1347" s="5" t="n">
        <v>21.6</v>
      </c>
      <c r="P1347" s="5" t="n">
        <v>9.9</v>
      </c>
      <c r="Q1347" s="5" t="n">
        <v>34.4</v>
      </c>
      <c r="R1347" s="5" t="n">
        <v>2.7</v>
      </c>
      <c r="S1347" s="5" t="n">
        <v>31.6</v>
      </c>
      <c r="T1347" s="2" t="n">
        <v>58</v>
      </c>
      <c r="U1347" s="2" t="inlineStr">
        <is>
          <t>medium</t>
        </is>
      </c>
      <c r="V1347" s="5" t="n">
        <v>18.3</v>
      </c>
      <c r="W1347" s="2" t="inlineStr">
        <is>
          <t>medium</t>
        </is>
      </c>
      <c r="X1347" s="3" t="inlineStr">
        <is>
          <t>Medium-GI dish: keep to the stated portion and pair with the protein/fat in the recipe; GL per serving is the better guide.</t>
        </is>
      </c>
      <c r="Y1347" s="3" t="inlineStr">
        <is>
          <t>89% of this dish's available carbohydrate comes from ingredients with a published, measured GI; the rest uses conventional placeholders (see Ingredients sheet)</t>
        </is>
      </c>
      <c r="Z1347" s="2" t="n">
        <v>89</v>
      </c>
      <c r="AA1347" s="3" t="inlineStr">
        <is>
          <t>dairy-free, nut-free</t>
        </is>
      </c>
      <c r="AB1347" s="3" t="inlineStr">
        <is>
          <t>1. Brown the beef with the onion and pepper.
2. Add the sauce, mustard, vinegar and chili powder and simmer 12 minutes.
3. Spoon onto toasted buns.</t>
        </is>
      </c>
      <c r="AC1347" s="4" t="inlineStr">
        <is>
          <t>["Brown the beef with the onion and pepper.", "Add the sauce, mustard, vinegar and chili powder and simmer 12 minutes.", "Spoon onto toasted buns."]</t>
        </is>
      </c>
    </row>
    <row r="1348" ht="96" customHeight="1">
      <c r="A1348" s="2" t="inlineStr">
        <is>
          <t>DB-1347</t>
        </is>
      </c>
      <c r="B1348" s="3" t="inlineStr">
        <is>
          <t>Mac and Cheese Cups with Hidden Cauliflower</t>
        </is>
      </c>
      <c r="C1348" s="4" t="inlineStr">
        <is>
          <t>Vegetarian &amp; Vegan</t>
        </is>
      </c>
      <c r="D1348" s="4" t="inlineStr">
        <is>
          <t>American</t>
        </is>
      </c>
      <c r="E1348" s="2" t="n">
        <v>6</v>
      </c>
      <c r="F1348" s="2" t="n">
        <v>15</v>
      </c>
      <c r="G1348" s="2" t="n">
        <v>20</v>
      </c>
      <c r="H1348" s="2" t="n">
        <v>35</v>
      </c>
      <c r="I1348" s="4" t="inlineStr">
        <is>
          <t>mac-and-cheese-cups-with-hidden-cauliflower.jpg</t>
        </is>
      </c>
      <c r="J1348" s="3" t="inlineStr">
        <is>
          <t>Mac and Cheese Cups with Hidden Cauliflower, healthy food photography, plated, natural light</t>
        </is>
      </c>
      <c r="K1348" s="4" t="inlineStr"/>
      <c r="L1348" s="3" t="inlineStr">
        <is>
          <t>White pasta, cooked al dente — 360 g (12.7 oz)
Cauliflower — 300 g (10.6 oz)
Cheddar cheese — 150 g (5.3 oz)
Milk, 2% — 150 g (5.3 oz)
Egg, large (50 g each) — 50 g (1.8 oz)
Smoked paprika — 1 g (0.0 oz)</t>
        </is>
      </c>
      <c r="M1348" s="4" t="inlineStr">
        <is>
          <t>[{"ingredient_id": "white_pasta", "name": "White pasta, cooked al dente", "grams": 360.0, "note": ""}, {"ingredient_id": "cauliflower", "name": "Cauliflower", "grams": 300.0, "note": ""}, {"ingredient_id": "cheddar", "name": "Cheddar cheese", "grams": 150.0, "note": ""}, {"ingredient_id": "milk", "name": "Milk, 2%", "grams": 150.0, "note": ""}, {"ingredient_id": "egg", "name": "Egg, large (50 g each)", "grams": 50.0, "note": ""}, {"ingredient_id": "smoked_paprika", "name": "Smoked paprika", "grams": 1.0, "note": ""}]</t>
        </is>
      </c>
      <c r="N1348" s="2" t="n">
        <v>232</v>
      </c>
      <c r="O1348" s="5" t="n">
        <v>12.1</v>
      </c>
      <c r="P1348" s="5" t="n">
        <v>10.3</v>
      </c>
      <c r="Q1348" s="5" t="n">
        <v>22.6</v>
      </c>
      <c r="R1348" s="5" t="n">
        <v>2.1</v>
      </c>
      <c r="S1348" s="5" t="n">
        <v>20.5</v>
      </c>
      <c r="T1348" s="2" t="n">
        <v>44</v>
      </c>
      <c r="U1348" s="2" t="inlineStr">
        <is>
          <t>low</t>
        </is>
      </c>
      <c r="V1348" s="5" t="n">
        <v>9</v>
      </c>
      <c r="W1348" s="2" t="inlineStr">
        <is>
          <t>low</t>
        </is>
      </c>
      <c r="X1348" s="3" t="inlineStr"/>
      <c r="Y1348" s="3" t="inlineStr">
        <is>
          <t>91% of this dish's available carbohydrate comes from ingredients with a published, measured GI; the rest uses conventional placeholders (see Ingredients sheet)</t>
        </is>
      </c>
      <c r="Z1348" s="2" t="n">
        <v>91</v>
      </c>
      <c r="AA1348" s="3" t="inlineStr">
        <is>
          <t>vegetarian, nut-free, meal-prep</t>
        </is>
      </c>
      <c r="AB1348" s="3" t="inlineStr">
        <is>
          <t>1. Boil the pasta and cauliflower together; mash the cauliflower.
2. Stir with the cheddar, milk and egg.
3. Spoon into muffin cups and bake at 375°F for 15 minutes.</t>
        </is>
      </c>
      <c r="AC1348" s="4" t="inlineStr">
        <is>
          <t>["Boil the pasta and cauliflower together; mash the cauliflower.", "Stir with the cheddar, milk and egg.", "Spoon into muffin cups and bake at 375°F for 15 minutes."]</t>
        </is>
      </c>
    </row>
    <row r="1349" ht="96" customHeight="1">
      <c r="A1349" s="2" t="inlineStr">
        <is>
          <t>DB-1348</t>
        </is>
      </c>
      <c r="B1349" s="3" t="inlineStr">
        <is>
          <t>Taco Pizza on a Tortilla</t>
        </is>
      </c>
      <c r="C1349" s="4" t="inlineStr">
        <is>
          <t>Sandwiches &amp; Wraps</t>
        </is>
      </c>
      <c r="D1349" s="4" t="inlineStr">
        <is>
          <t>Tex-Mex</t>
        </is>
      </c>
      <c r="E1349" s="2" t="n">
        <v>3</v>
      </c>
      <c r="F1349" s="2" t="n">
        <v>10</v>
      </c>
      <c r="G1349" s="2" t="n">
        <v>12</v>
      </c>
      <c r="H1349" s="2" t="n">
        <v>22</v>
      </c>
      <c r="I1349" s="4" t="inlineStr">
        <is>
          <t>taco-pizza-on-a-tortilla.jpg</t>
        </is>
      </c>
      <c r="J1349" s="3" t="inlineStr">
        <is>
          <t>Taco Pizza on a Tortilla, healthy food photography, plated, natural light</t>
        </is>
      </c>
      <c r="K1349" s="4" t="inlineStr"/>
      <c r="L1349" s="3" t="inlineStr">
        <is>
          <t>Flour tortilla, 8-inch — 120 g (4.2 oz)
Ground turkey 93% lean — 200 g (7.1 oz)
Taco seasoning, low sodium — 8 g (0.3 oz)
Cheddar cheese — 70 g (2.5 oz)
Tomato — 100 g (3.5 oz)
Romaine lettuce — 50 g (1.8 oz)
Salsa, no sugar added — 60 g (2.1 oz)</t>
        </is>
      </c>
      <c r="M1349" s="4" t="inlineStr">
        <is>
          <t>[{"ingredient_id": "flour_tortilla", "name": "Flour tortilla, 8-inch", "grams": 120.0, "note": ""}, {"ingredient_id": "ground_turkey", "name": "Ground turkey 93% lean", "grams": 200.0, "note": ""}, {"ingredient_id": "taco_seasoning", "name": "Taco seasoning, low sodium", "grams": 8.0, "note": ""}, {"ingredient_id": "cheddar", "name": "Cheddar cheese", "grams": 70.0, "note": ""}, {"ingredient_id": "tomato", "name": "Tomato", "grams": 100.0, "note": ""}, {"ingredient_id": "romaine", "name": "Romaine lettuce", "grams": 50.0, "note": ""}, {"ingredient_id": "salsa", "name": "Salsa, no sugar added", "grams": 60.0, "note": ""}]</t>
        </is>
      </c>
      <c r="N1349" s="2" t="n">
        <v>340</v>
      </c>
      <c r="O1349" s="5" t="n">
        <v>22.2</v>
      </c>
      <c r="P1349" s="5" t="n">
        <v>16.6</v>
      </c>
      <c r="Q1349" s="5" t="n">
        <v>24.8</v>
      </c>
      <c r="R1349" s="5" t="n">
        <v>3.1</v>
      </c>
      <c r="S1349" s="5" t="n">
        <v>21.7</v>
      </c>
      <c r="T1349" s="2" t="n">
        <v>32</v>
      </c>
      <c r="U1349" s="2" t="inlineStr">
        <is>
          <t>low</t>
        </is>
      </c>
      <c r="V1349" s="5" t="n">
        <v>6.9</v>
      </c>
      <c r="W1349" s="2" t="inlineStr">
        <is>
          <t>low</t>
        </is>
      </c>
      <c r="X1349" s="3" t="inlineStr"/>
      <c r="Y1349" s="3" t="inlineStr">
        <is>
          <t>85% of this dish's available carbohydrate comes from ingredients with a published, measured GI; the rest uses conventional placeholders (see Ingredients sheet)</t>
        </is>
      </c>
      <c r="Z1349" s="2" t="n">
        <v>85</v>
      </c>
      <c r="AA1349" s="3" t="inlineStr">
        <is>
          <t>nut-free</t>
        </is>
      </c>
      <c r="AB1349" s="3" t="inlineStr">
        <is>
          <t>1. Brown the turkey with taco seasoning.
2. Crisp the tortillas, top with turkey and cheddar and bake 6 minutes.
3. Add tomato, lettuce and salsa.</t>
        </is>
      </c>
      <c r="AC1349" s="4" t="inlineStr">
        <is>
          <t>["Brown the turkey with taco seasoning.", "Crisp the tortillas, top with turkey and cheddar and bake 6 minutes.", "Add tomato, lettuce and salsa."]</t>
        </is>
      </c>
    </row>
    <row r="1350" ht="96" customHeight="1">
      <c r="A1350" s="2" t="inlineStr">
        <is>
          <t>DB-1349</t>
        </is>
      </c>
      <c r="B1350" s="3" t="inlineStr">
        <is>
          <t>Pigs in a Blanket with Turkey Franks</t>
        </is>
      </c>
      <c r="C1350" s="4" t="inlineStr">
        <is>
          <t>Snack &amp; Appetizer</t>
        </is>
      </c>
      <c r="D1350" s="4" t="inlineStr">
        <is>
          <t>American</t>
        </is>
      </c>
      <c r="E1350" s="2" t="n">
        <v>6</v>
      </c>
      <c r="F1350" s="2" t="n">
        <v>10</v>
      </c>
      <c r="G1350" s="2" t="n">
        <v>18</v>
      </c>
      <c r="H1350" s="2" t="n">
        <v>28</v>
      </c>
      <c r="I1350" s="4" t="inlineStr">
        <is>
          <t>pigs-in-a-blanket-with-turkey-franks.jpg</t>
        </is>
      </c>
      <c r="J1350" s="3" t="inlineStr">
        <is>
          <t>Pigs in a Blanket with Turkey Franks, healthy food photography, plated, natural light</t>
        </is>
      </c>
      <c r="K1350" s="4" t="inlineStr"/>
      <c r="L1350" s="3" t="inlineStr">
        <is>
          <t>Turkey sausage — 300 g (10.6 oz)
Flour tortilla, 8-inch — 150 g (5.3 oz)
Cheddar cheese — 40 g (1.4 oz)
Yellow mustard — 15 g (0.5 oz)</t>
        </is>
      </c>
      <c r="M1350" s="4" t="inlineStr">
        <is>
          <t>[{"ingredient_id": "turkey_sausage", "name": "Turkey sausage", "grams": 300.0, "note": ""}, {"ingredient_id": "flour_tortilla", "name": "Flour tortilla, 8-inch", "grams": 150.0, "note": ""}, {"ingredient_id": "cheddar", "name": "Cheddar cheese", "grams": 40.0, "note": ""}, {"ingredient_id": "yellow_mustard", "name": "Yellow mustard", "grams": 15.0, "note": ""}]</t>
        </is>
      </c>
      <c r="N1350" s="2" t="n">
        <v>182</v>
      </c>
      <c r="O1350" s="5" t="n">
        <v>11.2</v>
      </c>
      <c r="P1350" s="5" t="n">
        <v>9.300000000000001</v>
      </c>
      <c r="Q1350" s="5" t="n">
        <v>13.6</v>
      </c>
      <c r="R1350" s="5" t="n">
        <v>1</v>
      </c>
      <c r="S1350" s="5" t="n">
        <v>12.6</v>
      </c>
      <c r="T1350" s="2" t="n">
        <v>31</v>
      </c>
      <c r="U1350" s="2" t="inlineStr">
        <is>
          <t>low</t>
        </is>
      </c>
      <c r="V1350" s="5" t="n">
        <v>3.9</v>
      </c>
      <c r="W1350" s="2" t="inlineStr">
        <is>
          <t>low</t>
        </is>
      </c>
      <c r="X1350" s="3" t="inlineStr"/>
      <c r="Y1350" s="3" t="inlineStr">
        <is>
          <t>91% of this dish's available carbohydrate comes from ingredients with a published, measured GI; the rest uses conventional placeholders (see Ingredients sheet)</t>
        </is>
      </c>
      <c r="Z1350" s="2" t="n">
        <v>91</v>
      </c>
      <c r="AA1350" s="3" t="inlineStr">
        <is>
          <t>nut-free, low-carb</t>
        </is>
      </c>
      <c r="AB1350" s="3" t="inlineStr">
        <is>
          <t>1. Cut the tortillas into strips.
2. Wrap around cheese-topped sausage pieces.
3. Bake at 400°F for 15 minutes and serve with mustard.</t>
        </is>
      </c>
      <c r="AC1350" s="4" t="inlineStr">
        <is>
          <t>["Cut the tortillas into strips.", "Wrap around cheese-topped sausage pieces.", "Bake at 400°F for 15 minutes and serve with mustard."]</t>
        </is>
      </c>
    </row>
    <row r="1351" ht="96" customHeight="1">
      <c r="A1351" s="2" t="inlineStr">
        <is>
          <t>DB-1350</t>
        </is>
      </c>
      <c r="B1351" s="3" t="inlineStr">
        <is>
          <t>Apple Nachos with Peanut Butter and Pecans</t>
        </is>
      </c>
      <c r="C1351" s="4" t="inlineStr">
        <is>
          <t>Dessert</t>
        </is>
      </c>
      <c r="D1351" s="4" t="inlineStr">
        <is>
          <t>American</t>
        </is>
      </c>
      <c r="E1351" s="2" t="n">
        <v>4</v>
      </c>
      <c r="F1351" s="2" t="n">
        <v>10</v>
      </c>
      <c r="G1351" s="2" t="n">
        <v>0</v>
      </c>
      <c r="H1351" s="2" t="n">
        <v>10</v>
      </c>
      <c r="I1351" s="4" t="inlineStr">
        <is>
          <t>apple-nachos-with-peanut-butter-and-pecans.jpg</t>
        </is>
      </c>
      <c r="J1351" s="3" t="inlineStr">
        <is>
          <t>Apple Nachos with Peanut Butter and Pecans, healthy food photography, plated, natural light</t>
        </is>
      </c>
      <c r="K1351" s="4" t="inlineStr"/>
      <c r="L1351" s="3" t="inlineStr">
        <is>
          <t>Apple — 450 g (15.9 oz)
Peanut butter, natural — 48 g (1.7 oz)
Pecans — 24 g (0.8 oz)
Stevia-sweetened dark chocolate chips — 20 g (0.7 oz)
Ground cinnamon — 2 g (0.1 oz)</t>
        </is>
      </c>
      <c r="M1351" s="4" t="inlineStr">
        <is>
          <t>[{"ingredient_id": "apple", "name": "Apple", "grams": 450.0, "note": ""}, {"ingredient_id": "peanut_butter", "name": "Peanut butter, natural", "grams": 48.0, "note": ""}, {"ingredient_id": "pecans", "name": "Pecans", "grams": 24.0, "note": ""}, {"ingredient_id": "sugar_free_chocolate_chips", "name": "Stevia-sweetened dark chocolate chips", "grams": 20.0, "note": ""}, {"ingredient_id": "cinnamon", "name": "Ground cinnamon", "grams": 2.0, "note": ""}]</t>
        </is>
      </c>
      <c r="N1351" s="2" t="n">
        <v>195</v>
      </c>
      <c r="O1351" s="5" t="n">
        <v>4.2</v>
      </c>
      <c r="P1351" s="5" t="n">
        <v>12.7</v>
      </c>
      <c r="Q1351" s="5" t="n">
        <v>20.4</v>
      </c>
      <c r="R1351" s="5" t="n">
        <v>4.9</v>
      </c>
      <c r="S1351" s="5" t="n">
        <v>15.5</v>
      </c>
      <c r="T1351" s="2" t="n">
        <v>33</v>
      </c>
      <c r="U1351" s="2" t="inlineStr">
        <is>
          <t>low</t>
        </is>
      </c>
      <c r="V1351" s="5" t="n">
        <v>5.1</v>
      </c>
      <c r="W1351" s="2" t="inlineStr">
        <is>
          <t>low</t>
        </is>
      </c>
      <c r="X1351" s="3" t="inlineStr"/>
      <c r="Y1351" s="3" t="inlineStr">
        <is>
          <t>87% of this dish's available carbohydrate comes from ingredients with a published, measured GI; the rest uses conventional placeholders (see Ingredients sheet)</t>
        </is>
      </c>
      <c r="Z1351" s="2" t="n">
        <v>87</v>
      </c>
      <c r="AA1351" s="3" t="inlineStr">
        <is>
          <t>vegan, gluten-free, dairy-free, no-cook</t>
        </is>
      </c>
      <c r="AB1351" s="3" t="inlineStr">
        <is>
          <t>1. Slice the apples thin on a plate.
2. Drizzle with warmed peanut butter.
3. Scatter with pecans, chocolate and cinnamon.</t>
        </is>
      </c>
      <c r="AC1351" s="4" t="inlineStr">
        <is>
          <t>["Slice the apples thin on a plate.", "Drizzle with warmed peanut butter.", "Scatter with pecans, chocolate and cinnamon."]</t>
        </is>
      </c>
    </row>
    <row r="1352" ht="96" customHeight="1">
      <c r="A1352" s="2" t="inlineStr">
        <is>
          <t>DB-1351</t>
        </is>
      </c>
      <c r="B1352" s="3" t="inlineStr">
        <is>
          <t>Peanut Butter Oat Energy Bites</t>
        </is>
      </c>
      <c r="C1352" s="4" t="inlineStr">
        <is>
          <t>Snack &amp; Appetizer</t>
        </is>
      </c>
      <c r="D1352" s="4" t="inlineStr">
        <is>
          <t>American</t>
        </is>
      </c>
      <c r="E1352" s="2" t="n">
        <v>12</v>
      </c>
      <c r="F1352" s="2" t="n">
        <v>15</v>
      </c>
      <c r="G1352" s="2" t="n">
        <v>0</v>
      </c>
      <c r="H1352" s="2" t="n">
        <v>15</v>
      </c>
      <c r="I1352" s="4" t="inlineStr">
        <is>
          <t>peanut-butter-oat-energy-bites.jpg</t>
        </is>
      </c>
      <c r="J1352" s="3" t="inlineStr">
        <is>
          <t>Peanut Butter Oat Energy Bites, healthy food photography, plated, natural light</t>
        </is>
      </c>
      <c r="K1352" s="4" t="inlineStr"/>
      <c r="L1352" s="3" t="inlineStr">
        <is>
          <t>Rolled oats, dry — 120 g (4.2 oz)
Peanut butter, natural — 120 g (4.2 oz)
Chia seeds — 20 g (0.7 oz)
Stevia-sweetened dark chocolate chips — 30 g (1.1 oz)
Vanilla extract — 4 g (0.1 oz)
Ground cinnamon — 2 g (0.1 oz)</t>
        </is>
      </c>
      <c r="M1352" s="4" t="inlineStr">
        <is>
          <t>[{"ingredient_id": "rolled_oats", "name": "Rolled oats, dry", "grams": 120.0, "note": ""}, {"ingredient_id": "peanut_butter", "name": "Peanut butter, natural", "grams": 120.0, "note": ""}, {"ingredient_id": "chia_seeds", "name": "Chia seeds", "grams": 20.0, "note": ""}, {"ingredient_id": "sugar_free_chocolate_chips", "name": "Stevia-sweetened dark chocolate chips", "grams": 30.0, "note": ""}, {"ingredient_id": "vanilla_extract", "name": "Vanilla extract", "grams": 4.0, "note": ""}, {"ingredient_id": "cinnamon", "name": "Ground cinnamon", "grams": 2.0, "note": ""}]</t>
        </is>
      </c>
      <c r="N1352" s="2" t="n">
        <v>118</v>
      </c>
      <c r="O1352" s="5" t="n">
        <v>4.2</v>
      </c>
      <c r="P1352" s="5" t="n">
        <v>7.2</v>
      </c>
      <c r="Q1352" s="5" t="n">
        <v>10.2</v>
      </c>
      <c r="R1352" s="5" t="n">
        <v>2.6</v>
      </c>
      <c r="S1352" s="5" t="n">
        <v>7.6</v>
      </c>
      <c r="T1352" s="2" t="n">
        <v>47</v>
      </c>
      <c r="U1352" s="2" t="inlineStr">
        <is>
          <t>low</t>
        </is>
      </c>
      <c r="V1352" s="5" t="n">
        <v>3.6</v>
      </c>
      <c r="W1352" s="2" t="inlineStr">
        <is>
          <t>low</t>
        </is>
      </c>
      <c r="X1352" s="3" t="inlineStr"/>
      <c r="Y1352" s="3" t="inlineStr">
        <is>
          <t>79% of this dish's available carbohydrate comes from ingredients with a published, measured GI; the rest uses conventional placeholders (see Ingredients sheet)</t>
        </is>
      </c>
      <c r="Z1352" s="2" t="n">
        <v>79</v>
      </c>
      <c r="AA1352" s="3" t="inlineStr">
        <is>
          <t>vegan, dairy-free, low-carb, no-cook, meal-prep</t>
        </is>
      </c>
      <c r="AB1352" s="3" t="inlineStr">
        <is>
          <t>1. Mix everything.
2. Chill 20 minutes.
3. Roll into twelve balls.</t>
        </is>
      </c>
      <c r="AC1352" s="4" t="inlineStr">
        <is>
          <t>["Mix everything.", "Chill 20 minutes.", "Roll into twelve balls."]</t>
        </is>
      </c>
    </row>
    <row r="1353" ht="96" customHeight="1">
      <c r="A1353" s="2" t="inlineStr">
        <is>
          <t>DB-1352</t>
        </is>
      </c>
      <c r="B1353" s="3" t="inlineStr">
        <is>
          <t>Hummus and Veggie Snack Cups</t>
        </is>
      </c>
      <c r="C1353" s="4" t="inlineStr">
        <is>
          <t>Snack &amp; Appetizer</t>
        </is>
      </c>
      <c r="D1353" s="4" t="inlineStr">
        <is>
          <t>American</t>
        </is>
      </c>
      <c r="E1353" s="2" t="n">
        <v>4</v>
      </c>
      <c r="F1353" s="2" t="n">
        <v>10</v>
      </c>
      <c r="G1353" s="2" t="n">
        <v>0</v>
      </c>
      <c r="H1353" s="2" t="n">
        <v>10</v>
      </c>
      <c r="I1353" s="4" t="inlineStr">
        <is>
          <t>hummus-and-veggie-snack-cups.jpg</t>
        </is>
      </c>
      <c r="J1353" s="3" t="inlineStr">
        <is>
          <t>Hummus and Veggie Snack Cups, healthy food photography, plated, natural light</t>
        </is>
      </c>
      <c r="K1353" s="4" t="inlineStr"/>
      <c r="L1353" s="3" t="inlineStr">
        <is>
          <t>Hummus — 160 g (5.6 oz)
Carrot — 150 g (5.3 oz)
Cucumber — 150 g (5.3 oz)
Bell pepper — 150 g (5.3 oz)
Cherry tomatoes — 100 g (3.5 oz)</t>
        </is>
      </c>
      <c r="M1353" s="4" t="inlineStr">
        <is>
          <t>[{"ingredient_id": "hummus", "name": "Hummus", "grams": 160.0, "note": ""}, {"ingredient_id": "carrot", "name": "Carrot", "grams": 150.0, "note": ""}, {"ingredient_id": "cucumber", "name": "Cucumber", "grams": 150.0, "note": ""}, {"ingredient_id": "bell_pepper", "name": "Bell pepper", "grams": 150.0, "note": ""}, {"ingredient_id": "cherry_tomato", "name": "Cherry tomatoes", "grams": 100.0, "note": ""}]</t>
        </is>
      </c>
      <c r="N1353" s="2" t="n">
        <v>104</v>
      </c>
      <c r="O1353" s="5" t="n">
        <v>4.4</v>
      </c>
      <c r="P1353" s="5" t="n">
        <v>4.1</v>
      </c>
      <c r="Q1353" s="5" t="n">
        <v>13.8</v>
      </c>
      <c r="R1353" s="5" t="n">
        <v>4.7</v>
      </c>
      <c r="S1353" s="5" t="n">
        <v>9</v>
      </c>
      <c r="T1353" s="2" t="n">
        <v>22</v>
      </c>
      <c r="U1353" s="2" t="inlineStr">
        <is>
          <t>low</t>
        </is>
      </c>
      <c r="V1353" s="5" t="n">
        <v>2</v>
      </c>
      <c r="W1353" s="2" t="inlineStr">
        <is>
          <t>low</t>
        </is>
      </c>
      <c r="X1353" s="3" t="inlineStr"/>
      <c r="Y1353" s="3" t="inlineStr">
        <is>
          <t>64% of this dish's available carbohydrate comes from ingredients with a published, measured GI; the rest uses conventional placeholders (see Ingredients sheet)</t>
        </is>
      </c>
      <c r="Z1353" s="2" t="n">
        <v>64</v>
      </c>
      <c r="AA1353" s="3" t="inlineStr">
        <is>
          <t>vegan, gluten-free, dairy-free, nut-free, low-carb, no-cook</t>
        </is>
      </c>
      <c r="AB1353" s="3" t="inlineStr">
        <is>
          <t>1. Spoon hummus into four cups.
2. Stand the cut vegetables in each.</t>
        </is>
      </c>
      <c r="AC1353" s="4" t="inlineStr">
        <is>
          <t>["Spoon hummus into four cups.", "Stand the cut vegetables in each."]</t>
        </is>
      </c>
    </row>
    <row r="1354" ht="96" customHeight="1">
      <c r="A1354" s="2" t="inlineStr">
        <is>
          <t>DB-1353</t>
        </is>
      </c>
      <c r="B1354" s="3" t="inlineStr">
        <is>
          <t>Homemade Chicken Noodle Cups</t>
        </is>
      </c>
      <c r="C1354" s="4" t="inlineStr">
        <is>
          <t>Soup &amp; Stew</t>
        </is>
      </c>
      <c r="D1354" s="4" t="inlineStr">
        <is>
          <t>American</t>
        </is>
      </c>
      <c r="E1354" s="2" t="n">
        <v>4</v>
      </c>
      <c r="F1354" s="2" t="n">
        <v>10</v>
      </c>
      <c r="G1354" s="2" t="n">
        <v>15</v>
      </c>
      <c r="H1354" s="2" t="n">
        <v>25</v>
      </c>
      <c r="I1354" s="4" t="inlineStr">
        <is>
          <t>homemade-chicken-noodle-cups.jpg</t>
        </is>
      </c>
      <c r="J1354" s="3" t="inlineStr">
        <is>
          <t>Homemade Chicken Noodle Cups, healthy food photography, plated, natural light</t>
        </is>
      </c>
      <c r="K1354" s="4" t="inlineStr"/>
      <c r="L1354" s="3" t="inlineStr">
        <is>
          <t>Chicken breast, skinless — 250 g (8.8 oz)
Egg noodles, cooked — 200 g (7.1 oz)
Chicken broth, low sodium — 800 g (28.2 oz)
Carrot — 80 g (2.8 oz)
Celery — 40 g (1.4 oz)
Fresh parsley — 3 g (0.1 oz)</t>
        </is>
      </c>
      <c r="M1354" s="4" t="inlineStr">
        <is>
          <t>[{"ingredient_id": "chicken_breast", "name": "Chicken breast, skinless", "grams": 250.0, "note": ""}, {"ingredient_id": "egg_noodles", "name": "Egg noodles, cooked", "grams": 200.0, "note": ""}, {"ingredient_id": "chicken_broth", "name": "Chicken broth, low sodium", "grams": 800.0, "note": ""}, {"ingredient_id": "carrot", "name": "Carrot", "grams": 80.0, "note": ""}, {"ingredient_id": "celery", "name": "Celery", "grams": 40.0, "note": ""}, {"ingredient_id": "parsley", "name": "Fresh parsley", "grams": 3.0, "note": ""}]</t>
        </is>
      </c>
      <c r="N1354" s="2" t="n">
        <v>168</v>
      </c>
      <c r="O1354" s="5" t="n">
        <v>18.6</v>
      </c>
      <c r="P1354" s="5" t="n">
        <v>3.1</v>
      </c>
      <c r="Q1354" s="5" t="n">
        <v>15.8</v>
      </c>
      <c r="R1354" s="5" t="n">
        <v>1.3</v>
      </c>
      <c r="S1354" s="5" t="n">
        <v>14.4</v>
      </c>
      <c r="T1354" s="2" t="n">
        <v>53</v>
      </c>
      <c r="U1354" s="2" t="inlineStr">
        <is>
          <t>low</t>
        </is>
      </c>
      <c r="V1354" s="5" t="n">
        <v>7.6</v>
      </c>
      <c r="W1354" s="2" t="inlineStr">
        <is>
          <t>low</t>
        </is>
      </c>
      <c r="X1354" s="3" t="inlineStr"/>
      <c r="Y1354" s="3" t="inlineStr">
        <is>
          <t>92% of this dish's available carbohydrate comes from ingredients with a published, measured GI; the rest uses conventional placeholders (see Ingredients sheet)</t>
        </is>
      </c>
      <c r="Z1354" s="2" t="n">
        <v>92</v>
      </c>
      <c r="AA1354" s="3" t="inlineStr">
        <is>
          <t>dairy-free, nut-free, low-carb</t>
        </is>
      </c>
      <c r="AB1354" s="3" t="inlineStr">
        <is>
          <t>1. Simmer the chicken, carrot and celery in the broth for 12 minutes.
2. Shred the chicken, add the noodles and cook until tender.</t>
        </is>
      </c>
      <c r="AC1354" s="4" t="inlineStr">
        <is>
          <t>["Simmer the chicken, carrot and celery in the broth for 12 minutes.", "Shred the chicken, add the noodles and cook until tender."]</t>
        </is>
      </c>
    </row>
    <row r="1355" ht="96" customHeight="1">
      <c r="A1355" s="2" t="inlineStr">
        <is>
          <t>DB-1354</t>
        </is>
      </c>
      <c r="B1355" s="3" t="inlineStr">
        <is>
          <t>Corn Dog Muffins with Turkey Franks</t>
        </is>
      </c>
      <c r="C1355" s="4" t="inlineStr">
        <is>
          <t>Snack &amp; Appetizer</t>
        </is>
      </c>
      <c r="D1355" s="4" t="inlineStr">
        <is>
          <t>American</t>
        </is>
      </c>
      <c r="E1355" s="2" t="n">
        <v>6</v>
      </c>
      <c r="F1355" s="2" t="n">
        <v>15</v>
      </c>
      <c r="G1355" s="2" t="n">
        <v>20</v>
      </c>
      <c r="H1355" s="2" t="n">
        <v>35</v>
      </c>
      <c r="I1355" s="4" t="inlineStr">
        <is>
          <t>corn-dog-muffins-with-turkey-franks.jpg</t>
        </is>
      </c>
      <c r="J1355" s="3" t="inlineStr">
        <is>
          <t>Corn Dog Muffins with Turkey Franks, healthy food photography, plated, natural light</t>
        </is>
      </c>
      <c r="K1355" s="4" t="inlineStr"/>
      <c r="L1355" s="3" t="inlineStr">
        <is>
          <t>Turkey sausage — 300 g (10.6 oz)
Grits, cooked with water — 300 g (10.6 oz)
Egg, large (50 g each) — 100 g (3.5 oz)
Cheddar cheese — 40 g (1.4 oz)
Baking powder — 3 g (0.1 oz)
Milk, 2% — 100 g (3.5 oz)</t>
        </is>
      </c>
      <c r="M1355" s="4" t="inlineStr">
        <is>
          <t>[{"ingredient_id": "turkey_sausage", "name": "Turkey sausage", "grams": 300.0, "note": ""}, {"ingredient_id": "grits", "name": "Grits, cooked with water", "grams": 300.0, "note": ""}, {"ingredient_id": "egg", "name": "Egg, large (50 g each)", "grams": 100.0, "note": ""}, {"ingredient_id": "cheddar", "name": "Cheddar cheese", "grams": 40.0, "note": ""}, {"ingredient_id": "baking_powder", "name": "Baking powder", "grams": 3.0, "note": ""}, {"ingredient_id": "milk", "name": "Milk, 2%", "grams": 100.0, "note": ""}]</t>
        </is>
      </c>
      <c r="N1355" s="2" t="n">
        <v>166</v>
      </c>
      <c r="O1355" s="5" t="n">
        <v>12.3</v>
      </c>
      <c r="P1355" s="5" t="n">
        <v>9.300000000000001</v>
      </c>
      <c r="Q1355" s="5" t="n">
        <v>8.300000000000001</v>
      </c>
      <c r="R1355" s="5" t="n">
        <v>0.3</v>
      </c>
      <c r="S1355" s="5" t="n">
        <v>8</v>
      </c>
      <c r="T1355" s="2" t="n">
        <v>52</v>
      </c>
      <c r="U1355" s="2" t="inlineStr">
        <is>
          <t>low</t>
        </is>
      </c>
      <c r="V1355" s="5" t="n">
        <v>4.2</v>
      </c>
      <c r="W1355" s="2" t="inlineStr">
        <is>
          <t>low</t>
        </is>
      </c>
      <c r="X1355" s="3" t="inlineStr"/>
      <c r="Y1355" s="3" t="inlineStr">
        <is>
          <t>83% of this dish's available carbohydrate comes from ingredients with a published, measured GI; the rest uses conventional placeholders (see Ingredients sheet)</t>
        </is>
      </c>
      <c r="Z1355" s="2" t="n">
        <v>83</v>
      </c>
      <c r="AA1355" s="3" t="inlineStr">
        <is>
          <t>gluten-free, nut-free, low-carb</t>
        </is>
      </c>
      <c r="AB1355" s="3" t="inlineStr">
        <is>
          <t>1. Mix the cooked grits with egg, milk, cheddar and baking powder.
2. Press into muffin cups around sausage pieces.
3. Bake at 375°F for 18 to 20 minutes.</t>
        </is>
      </c>
      <c r="AC1355" s="4" t="inlineStr">
        <is>
          <t>["Mix the cooked grits with egg, milk, cheddar and baking powder.", "Press into muffin cups around sausage pieces.", "Bake at 375°F for 18 to 20 minutes."]</t>
        </is>
      </c>
    </row>
    <row r="1356" ht="96" customHeight="1">
      <c r="A1356" s="2" t="inlineStr">
        <is>
          <t>DB-1355</t>
        </is>
      </c>
      <c r="B1356" s="3" t="inlineStr">
        <is>
          <t>Cinnamon Apple Quesadilla</t>
        </is>
      </c>
      <c r="C1356" s="4" t="inlineStr">
        <is>
          <t>Dessert</t>
        </is>
      </c>
      <c r="D1356" s="4" t="inlineStr">
        <is>
          <t>American</t>
        </is>
      </c>
      <c r="E1356" s="2" t="n">
        <v>3</v>
      </c>
      <c r="F1356" s="2" t="n">
        <v>5</v>
      </c>
      <c r="G1356" s="2" t="n">
        <v>6</v>
      </c>
      <c r="H1356" s="2" t="n">
        <v>11</v>
      </c>
      <c r="I1356" s="4" t="inlineStr">
        <is>
          <t>cinnamon-apple-quesadilla.jpg</t>
        </is>
      </c>
      <c r="J1356" s="3" t="inlineStr">
        <is>
          <t>Cinnamon Apple Quesadilla, healthy food photography, plated, natural light</t>
        </is>
      </c>
      <c r="K1356" s="4" t="inlineStr"/>
      <c r="L1356" s="3" t="inlineStr">
        <is>
          <t>Flour tortilla, 8-inch — 120 g (4.2 oz)
Apple — 200 g (7.1 oz)
Cheddar cheese — 40 g (1.4 oz)
Ground cinnamon — 2 g (0.1 oz)
Butter — 10 g (0.4 oz)</t>
        </is>
      </c>
      <c r="M1356" s="4" t="inlineStr">
        <is>
          <t>[{"ingredient_id": "flour_tortilla", "name": "Flour tortilla, 8-inch", "grams": 120.0, "note": ""}, {"ingredient_id": "apple", "name": "Apple", "grams": 200.0, "note": ""}, {"ingredient_id": "cheddar", "name": "Cheddar cheese", "grams": 40.0, "note": ""}, {"ingredient_id": "cinnamon", "name": "Ground cinnamon", "grams": 2.0, "note": ""}, {"ingredient_id": "butter", "name": "Butter", "grams": 10.0, "note": ""}]</t>
        </is>
      </c>
      <c r="N1356" s="2" t="n">
        <v>236</v>
      </c>
      <c r="O1356" s="5" t="n">
        <v>6.6</v>
      </c>
      <c r="P1356" s="5" t="n">
        <v>10.4</v>
      </c>
      <c r="Q1356" s="5" t="n">
        <v>29.8</v>
      </c>
      <c r="R1356" s="5" t="n">
        <v>3.4</v>
      </c>
      <c r="S1356" s="5" t="n">
        <v>26.5</v>
      </c>
      <c r="T1356" s="2" t="n">
        <v>34</v>
      </c>
      <c r="U1356" s="2" t="inlineStr">
        <is>
          <t>low</t>
        </is>
      </c>
      <c r="V1356" s="5" t="n">
        <v>9</v>
      </c>
      <c r="W1356" s="2" t="inlineStr">
        <is>
          <t>low</t>
        </is>
      </c>
      <c r="X1356" s="3" t="inlineStr"/>
      <c r="Y1356" s="3" t="inlineStr">
        <is>
          <t>99% of this dish's available carbohydrate comes from ingredients with a published, measured GI; the rest uses conventional placeholders (see Ingredients sheet)</t>
        </is>
      </c>
      <c r="Z1356" s="2" t="n">
        <v>99</v>
      </c>
      <c r="AA1356" s="3" t="inlineStr">
        <is>
          <t>vegetarian, nut-free</t>
        </is>
      </c>
      <c r="AB1356" s="3" t="inlineStr">
        <is>
          <t>1. Cook the thin apple slices with cinnamon and butter 3 minutes.
2. Fill half of each tortilla with apple and cheddar and fold.
3. Toast 2 minutes a side.</t>
        </is>
      </c>
      <c r="AC1356" s="4" t="inlineStr">
        <is>
          <t>["Cook the thin apple slices with cinnamon and butter 3 minutes.", "Fill half of each tortilla with apple and cheddar and fold.", "Toast 2 minutes a side."]</t>
        </is>
      </c>
    </row>
    <row r="1357" ht="96" customHeight="1">
      <c r="A1357" s="2" t="inlineStr">
        <is>
          <t>DB-1356</t>
        </is>
      </c>
      <c r="B1357" s="3" t="inlineStr">
        <is>
          <t>Chocolate Banana Frozen Yogurt Pops</t>
        </is>
      </c>
      <c r="C1357" s="4" t="inlineStr">
        <is>
          <t>Dessert</t>
        </is>
      </c>
      <c r="D1357" s="4" t="inlineStr">
        <is>
          <t>American</t>
        </is>
      </c>
      <c r="E1357" s="2" t="n">
        <v>6</v>
      </c>
      <c r="F1357" s="2" t="n">
        <v>10</v>
      </c>
      <c r="G1357" s="2" t="n">
        <v>0</v>
      </c>
      <c r="H1357" s="2" t="n">
        <v>10</v>
      </c>
      <c r="I1357" s="4" t="inlineStr">
        <is>
          <t>chocolate-banana-frozen-yogurt-pops.jpg</t>
        </is>
      </c>
      <c r="J1357" s="3" t="inlineStr">
        <is>
          <t>Chocolate Banana Frozen Yogurt Pops, healthy food photography, plated, natural light</t>
        </is>
      </c>
      <c r="K1357" s="4" t="inlineStr"/>
      <c r="L1357" s="3" t="inlineStr">
        <is>
          <t>Greek yogurt, plain 2% — 360 g (12.7 oz)
Banana (small amount) — 150 g (5.3 oz)
Cocoa powder, unsweetened — 15 g (0.5 oz)
Vanilla extract — 3 g (0.1 oz)</t>
        </is>
      </c>
      <c r="M1357" s="4" t="inlineStr">
        <is>
          <t>[{"ingredient_id": "greek_yogurt", "name": "Greek yogurt, plain 2%", "grams": 360.0, "note": ""}, {"ingredient_id": "banana", "name": "Banana (small amount)", "grams": 150.0, "note": ""}, {"ingredient_id": "cocoa_powder", "name": "Cocoa powder, unsweetened", "grams": 15.0, "note": ""}, {"ingredient_id": "vanilla_extract", "name": "Vanilla extract", "grams": 3.0, "note": ""}]</t>
        </is>
      </c>
      <c r="N1357" s="2" t="n">
        <v>73</v>
      </c>
      <c r="O1357" s="5" t="n">
        <v>6.8</v>
      </c>
      <c r="P1357" s="5" t="n">
        <v>1.6</v>
      </c>
      <c r="Q1357" s="5" t="n">
        <v>9.699999999999999</v>
      </c>
      <c r="R1357" s="5" t="n">
        <v>1.5</v>
      </c>
      <c r="S1357" s="5" t="n">
        <v>8.199999999999999</v>
      </c>
      <c r="T1357" s="2" t="n">
        <v>37</v>
      </c>
      <c r="U1357" s="2" t="inlineStr">
        <is>
          <t>low</t>
        </is>
      </c>
      <c r="V1357" s="5" t="n">
        <v>3</v>
      </c>
      <c r="W1357" s="2" t="inlineStr">
        <is>
          <t>low</t>
        </is>
      </c>
      <c r="X1357" s="3" t="inlineStr"/>
      <c r="Y1357" s="3" t="inlineStr">
        <is>
          <t>92% of this dish's available carbohydrate comes from ingredients with a published, measured GI; the rest uses conventional placeholders (see Ingredients sheet)</t>
        </is>
      </c>
      <c r="Z1357" s="2" t="n">
        <v>92</v>
      </c>
      <c r="AA1357" s="3" t="inlineStr">
        <is>
          <t>vegetarian, gluten-free, nut-free, low-carb, no-cook</t>
        </is>
      </c>
      <c r="AB1357" s="3" t="inlineStr">
        <is>
          <t>1. Blend everything.
2. Pour into pop moulds and freeze 4 hours.</t>
        </is>
      </c>
      <c r="AC1357" s="4" t="inlineStr">
        <is>
          <t>["Blend everything.", "Pour into pop moulds and freeze 4 hours."]</t>
        </is>
      </c>
    </row>
    <row r="1358" ht="96" customHeight="1">
      <c r="A1358" s="2" t="inlineStr">
        <is>
          <t>DB-1357</t>
        </is>
      </c>
      <c r="B1358" s="3" t="inlineStr">
        <is>
          <t>Cheesy Broccoli Rice Cups</t>
        </is>
      </c>
      <c r="C1358" s="4" t="inlineStr">
        <is>
          <t>Side Dish</t>
        </is>
      </c>
      <c r="D1358" s="4" t="inlineStr">
        <is>
          <t>American</t>
        </is>
      </c>
      <c r="E1358" s="2" t="n">
        <v>6</v>
      </c>
      <c r="F1358" s="2" t="n">
        <v>10</v>
      </c>
      <c r="G1358" s="2" t="n">
        <v>20</v>
      </c>
      <c r="H1358" s="2" t="n">
        <v>30</v>
      </c>
      <c r="I1358" s="4" t="inlineStr">
        <is>
          <t>cheesy-broccoli-rice-cups.jpg</t>
        </is>
      </c>
      <c r="J1358" s="3" t="inlineStr">
        <is>
          <t>Cheesy Broccoli Rice Cups, healthy food photography, plated, natural light</t>
        </is>
      </c>
      <c r="K1358" s="4" t="inlineStr"/>
      <c r="L1358" s="3" t="inlineStr">
        <is>
          <t>White rice, long-grain, cooked — 360 g (12.7 oz)
Broccoli — 250 g (8.8 oz)
Cheddar cheese — 90 g (3.2 oz)
Egg, large (50 g each) — 50 g (1.8 oz)
Milk, 2% — 80 g (2.8 oz)</t>
        </is>
      </c>
      <c r="M1358" s="4" t="inlineStr">
        <is>
          <t>[{"ingredient_id": "white_rice", "name": "White rice, long-grain, cooked", "grams": 360.0, "note": ""}, {"ingredient_id": "broccoli", "name": "Broccoli", "grams": 250.0, "note": ""}, {"ingredient_id": "cheddar", "name": "Cheddar cheese", "grams": 90.0, "note": ""}, {"ingredient_id": "egg", "name": "Egg, large (50 g each)", "grams": 50.0, "note": ""}, {"ingredient_id": "milk", "name": "Milk, 2%", "grams": 80.0, "note": ""}]</t>
        </is>
      </c>
      <c r="N1358" s="2" t="n">
        <v>171</v>
      </c>
      <c r="O1358" s="5" t="n">
        <v>7.7</v>
      </c>
      <c r="P1358" s="5" t="n">
        <v>6.3</v>
      </c>
      <c r="Q1358" s="5" t="n">
        <v>20.4</v>
      </c>
      <c r="R1358" s="5" t="n">
        <v>1.3</v>
      </c>
      <c r="S1358" s="5" t="n">
        <v>19.1</v>
      </c>
      <c r="T1358" s="2" t="n">
        <v>69</v>
      </c>
      <c r="U1358" s="2" t="inlineStr">
        <is>
          <t>medium</t>
        </is>
      </c>
      <c r="V1358" s="5" t="n">
        <v>13.2</v>
      </c>
      <c r="W1358" s="2" t="inlineStr">
        <is>
          <t>medium</t>
        </is>
      </c>
      <c r="X1358" s="3" t="inlineStr">
        <is>
          <t>Medium-GI dish: keep to the stated portion and pair with the protein/fat in the recipe; GL per serving is the better guide.</t>
        </is>
      </c>
      <c r="Y1358" s="3" t="inlineStr">
        <is>
          <t>90% of this dish's available carbohydrate comes from ingredients with a published, measured GI; the rest uses conventional placeholders (see Ingredients sheet)</t>
        </is>
      </c>
      <c r="Z1358" s="2" t="n">
        <v>90</v>
      </c>
      <c r="AA1358" s="3" t="inlineStr">
        <is>
          <t>vegetarian, gluten-free, nut-free, meal-prep</t>
        </is>
      </c>
      <c r="AB1358" s="3" t="inlineStr">
        <is>
          <t>1. Mix the cooked rice, chopped broccoli, cheddar, egg and milk.
2. Press into muffin cups.
3. Bake at 375°F for 20 minutes.</t>
        </is>
      </c>
      <c r="AC1358" s="4" t="inlineStr">
        <is>
          <t>["Mix the cooked rice, chopped broccoli, cheddar, egg and milk.", "Press into muffin cups.", "Bake at 375°F for 20 minutes."]</t>
        </is>
      </c>
    </row>
    <row r="1359" ht="96" customHeight="1">
      <c r="A1359" s="2" t="inlineStr">
        <is>
          <t>DB-1358</t>
        </is>
      </c>
      <c r="B1359" s="3" t="inlineStr">
        <is>
          <t>Egg Salad Lettuce Cups for Lunch</t>
        </is>
      </c>
      <c r="C1359" s="4" t="inlineStr">
        <is>
          <t>Salad</t>
        </is>
      </c>
      <c r="D1359" s="4" t="inlineStr">
        <is>
          <t>American</t>
        </is>
      </c>
      <c r="E1359" s="2" t="n">
        <v>3</v>
      </c>
      <c r="F1359" s="2" t="n">
        <v>10</v>
      </c>
      <c r="G1359" s="2" t="n">
        <v>10</v>
      </c>
      <c r="H1359" s="2" t="n">
        <v>20</v>
      </c>
      <c r="I1359" s="4" t="inlineStr">
        <is>
          <t>egg-salad-lettuce-cups-for-lunch.jpg</t>
        </is>
      </c>
      <c r="J1359" s="3" t="inlineStr">
        <is>
          <t>Egg Salad Lettuce Cups for Lunch, healthy food photography, plated, natural light</t>
        </is>
      </c>
      <c r="K1359" s="4" t="inlineStr"/>
      <c r="L1359" s="3" t="inlineStr">
        <is>
          <t>Egg, large (50 g each) — 300 g (10.6 oz)
Greek yogurt, plain 2% — 60 g (2.1 oz)
Dijon mustard — 8 g (0.3 oz)
Celery — 40 g (1.4 oz)
Fresh chives — 4 g (0.1 oz)
Butter lettuce — 120 g (4.2 oz)
Paprika — 1 g (0.0 oz)</t>
        </is>
      </c>
      <c r="M1359" s="4" t="inlineStr">
        <is>
          <t>[{"ingredient_id": "egg", "name": "Egg, large (50 g each)", "grams": 300.0, "note": ""}, {"ingredient_id": "greek_yogurt", "name": "Greek yogurt, plain 2%", "grams": 60.0, "note": ""}, {"ingredient_id": "dijon", "name": "Dijon mustard", "grams": 8.0, "note": ""}, {"ingredient_id": "celery", "name": "Celery", "grams": 40.0, "note": ""}, {"ingredient_id": "chives", "name": "Fresh chives", "grams": 4.0, "note": ""}, {"ingredient_id": "butter_lettuce", "name": "Butter lettuce", "grams": 120.0, "note": ""}, {"ingredient_id": "paprika", "name": "Paprika", "grams": 1.0, "note": ""}]</t>
        </is>
      </c>
      <c r="N1359" s="2" t="n">
        <v>168</v>
      </c>
      <c r="O1359" s="5" t="n">
        <v>15.5</v>
      </c>
      <c r="P1359" s="5" t="n">
        <v>10.1</v>
      </c>
      <c r="Q1359" s="5" t="n">
        <v>3.2</v>
      </c>
      <c r="R1359" s="5" t="n">
        <v>0.9</v>
      </c>
      <c r="S1359" s="5" t="n">
        <v>2.3</v>
      </c>
      <c r="T1359" s="2" t="n">
        <v>9</v>
      </c>
      <c r="U1359" s="2" t="inlineStr">
        <is>
          <t>low</t>
        </is>
      </c>
      <c r="V1359" s="5" t="n">
        <v>0.2</v>
      </c>
      <c r="W1359" s="2" t="inlineStr">
        <is>
          <t>low</t>
        </is>
      </c>
      <c r="X1359" s="3" t="inlineStr">
        <is>
          <t>Negligible carbohydrate (&lt;5 g net/serving): GI has little practical meaning, glycemic load is what matters.</t>
        </is>
      </c>
      <c r="Y1359" s="3" t="inlineStr">
        <is>
          <t>35% of this dish's available carbohydrate comes from ingredients with a published, measured GI; the rest uses conventional placeholders (see Ingredients sheet)</t>
        </is>
      </c>
      <c r="Z1359" s="2" t="n">
        <v>35</v>
      </c>
      <c r="AA1359" s="3" t="inlineStr">
        <is>
          <t>vegetarian, gluten-free, nut-free, low-carb</t>
        </is>
      </c>
      <c r="AB1359" s="3" t="inlineStr">
        <is>
          <t>1. Hard-boil and chop the eggs.
2. Mix with yogurt, mustard, celery and chives.
3. Spoon into lettuce cups and dust with paprika.</t>
        </is>
      </c>
      <c r="AC1359" s="4" t="inlineStr">
        <is>
          <t>["Hard-boil and chop the eggs.", "Mix with yogurt, mustard, celery and chives.", "Spoon into lettuce cups and dust with paprika."]</t>
        </is>
      </c>
    </row>
  </sheetData>
  <autoFilter ref="A1:AC1359"/>
  <conditionalFormatting sqref="T2:T1359">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359">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white_rice</t>
        </is>
      </c>
      <c r="B225" s="6" t="inlineStr">
        <is>
          <t>White rice, long-grain, cooked</t>
        </is>
      </c>
      <c r="C225" s="6" t="inlineStr">
        <is>
          <t>grain</t>
        </is>
      </c>
      <c r="D225" s="6" t="n">
        <v>129</v>
      </c>
      <c r="E225" s="6" t="n">
        <v>2.67</v>
      </c>
      <c r="F225" s="6" t="n">
        <v>0.28</v>
      </c>
      <c r="G225" s="6" t="n">
        <v>28</v>
      </c>
      <c r="H225" s="6" t="n">
        <v>0.4</v>
      </c>
      <c r="I225" s="6" t="n">
        <v>27.6</v>
      </c>
      <c r="J225" s="6" t="n">
        <v>77</v>
      </c>
      <c r="K225" s="6" t="inlineStr">
        <is>
          <t>high</t>
        </is>
      </c>
      <c r="L225" s="7" t="inlineStr">
        <is>
          <t>2021 International Tables, Suppl. Table 1 (ISO 26642:2010-compliant studies)</t>
        </is>
      </c>
      <c r="M225" s="7" t="inlineStr">
        <is>
          <t>median of 11 tested foods, range 56-96</t>
        </is>
      </c>
      <c r="N225" s="6" t="n">
        <v>77</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potato_boiled</t>
        </is>
      </c>
      <c r="B226" s="6" t="inlineStr">
        <is>
          <t>Potato, boiled, peeled</t>
        </is>
      </c>
      <c r="C226" s="6" t="inlineStr">
        <is>
          <t>veg</t>
        </is>
      </c>
      <c r="D226" s="6" t="n">
        <v>93</v>
      </c>
      <c r="E226" s="6" t="n">
        <v>1.95</v>
      </c>
      <c r="F226" s="6" t="n">
        <v>0.1</v>
      </c>
      <c r="G226" s="6" t="n">
        <v>21.5</v>
      </c>
      <c r="H226" s="6" t="n">
        <v>1.5</v>
      </c>
      <c r="I226" s="6" t="n">
        <v>20</v>
      </c>
      <c r="J226" s="6" t="n">
        <v>66</v>
      </c>
      <c r="K226" s="6" t="inlineStr">
        <is>
          <t>medium</t>
        </is>
      </c>
      <c r="L226" s="7" t="inlineStr">
        <is>
          <t>2021 International Tables, Suppl. Tables 1+2 (incl. studies with method deviations)</t>
        </is>
      </c>
      <c r="M226" s="7" t="inlineStr">
        <is>
          <t>median of 5 tested foods, range 55-87</t>
        </is>
      </c>
      <c r="N226" s="6" t="n">
        <v>66</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potato_baked</t>
        </is>
      </c>
      <c r="B227" s="6" t="inlineStr">
        <is>
          <t>Potato, baked, flesh (russet)</t>
        </is>
      </c>
      <c r="C227" s="6" t="inlineStr">
        <is>
          <t>veg</t>
        </is>
      </c>
      <c r="D227" s="6" t="n">
        <v>93</v>
      </c>
      <c r="E227" s="6" t="n">
        <v>1.95</v>
      </c>
      <c r="F227" s="6" t="n">
        <v>0.1</v>
      </c>
      <c r="G227" s="6" t="n">
        <v>21.5</v>
      </c>
      <c r="H227" s="6" t="n">
        <v>1.5</v>
      </c>
      <c r="I227" s="6" t="n">
        <v>20</v>
      </c>
      <c r="J227" s="6" t="n">
        <v>85</v>
      </c>
      <c r="K227" s="6" t="inlineStr">
        <is>
          <t>medium</t>
        </is>
      </c>
      <c r="L227" s="7" t="inlineStr">
        <is>
          <t>2021 International Tables, Suppl. Tables 1+2 (incl. studies with method deviations)</t>
        </is>
      </c>
      <c r="M227" s="7" t="inlineStr">
        <is>
          <t>median of 5 tested foods, range 57-111</t>
        </is>
      </c>
      <c r="N227" s="6" t="n">
        <v>85</v>
      </c>
      <c r="O227" s="7" t="inlineStr">
        <is>
          <t>Atkinson FS, Brand-Miller JC, Foster-Powell K, Buyken AE, Goletzke J. International tables of glycemic index and glycemic load values 2021. Am J Clin Nutr 2021;114(5):1625-32. doi:10.1093/ajcn/nqab233</t>
        </is>
      </c>
      <c r="P227" s="7" t="inlineStr">
        <is>
          <t>USDA FoodData Central (SR Legacy / Foundation Foods), fdc.nal.usda.gov</t>
        </is>
      </c>
      <c r="Q227" s="6" t="inlineStr">
        <is>
          <t>2026-09-26</t>
        </is>
      </c>
    </row>
    <row r="228">
      <c r="A228" s="6" t="inlineStr">
        <is>
          <t>french_fries_baked</t>
        </is>
      </c>
      <c r="B228" s="6" t="inlineStr">
        <is>
          <t>Oven fries, frozen shoestring, baked</t>
        </is>
      </c>
      <c r="C228" s="6" t="inlineStr">
        <is>
          <t>veg</t>
        </is>
      </c>
      <c r="D228" s="6" t="n">
        <v>158</v>
      </c>
      <c r="E228" s="6" t="n">
        <v>2.75</v>
      </c>
      <c r="F228" s="6" t="n">
        <v>5.48</v>
      </c>
      <c r="G228" s="6" t="n">
        <v>25.6</v>
      </c>
      <c r="H228" s="6" t="n">
        <v>2</v>
      </c>
      <c r="I228" s="6" t="n">
        <v>23.6</v>
      </c>
      <c r="J228" s="6" t="n">
        <v>64</v>
      </c>
      <c r="K228" s="6" t="inlineStr">
        <is>
          <t>high</t>
        </is>
      </c>
      <c r="L228" s="7" t="inlineStr">
        <is>
          <t>2021 International Tables, Suppl. Table 1 (ISO 26642:2010-compliant studies)</t>
        </is>
      </c>
      <c r="M228" s="7" t="inlineStr">
        <is>
          <t>median of 2 tested foods, range 64-65</t>
        </is>
      </c>
      <c r="N228" s="6" t="n">
        <v>64</v>
      </c>
      <c r="O228" s="7" t="inlineStr">
        <is>
          <t>Atkinson FS, Brand-Miller JC, Foster-Powell K, Buyken AE, Goletzke J. International tables of glycemic index and glycemic load values 2021. Am J Clin Nutr 2021;114(5):1625-32. doi:10.1093/ajcn/nqab233</t>
        </is>
      </c>
      <c r="P228" s="7" t="inlineStr">
        <is>
          <t>USDA FoodData Central (SR Legacy / Foundation Foods), fdc.nal.usda.gov</t>
        </is>
      </c>
      <c r="Q228" s="6" t="inlineStr">
        <is>
          <t>2026-09-26</t>
        </is>
      </c>
    </row>
    <row r="229">
      <c r="A229" s="6" t="inlineStr">
        <is>
          <t>white_bread</t>
        </is>
      </c>
      <c r="B229" s="6" t="inlineStr">
        <is>
          <t>White bread</t>
        </is>
      </c>
      <c r="C229" s="6" t="inlineStr">
        <is>
          <t>grain</t>
        </is>
      </c>
      <c r="D229" s="6" t="n">
        <v>267</v>
      </c>
      <c r="E229" s="6" t="n">
        <v>9.43</v>
      </c>
      <c r="F229" s="6" t="n">
        <v>3.59</v>
      </c>
      <c r="G229" s="6" t="n">
        <v>49.2</v>
      </c>
      <c r="H229" s="6" t="n">
        <v>2.3</v>
      </c>
      <c r="I229" s="6" t="n">
        <v>46.9</v>
      </c>
      <c r="J229" s="6" t="n">
        <v>72</v>
      </c>
      <c r="K229" s="6" t="inlineStr">
        <is>
          <t>high</t>
        </is>
      </c>
      <c r="L229" s="7" t="inlineStr">
        <is>
          <t>2021 International Tables, Suppl. Table 1 (ISO 26642:2010-compliant studies)</t>
        </is>
      </c>
      <c r="M229" s="7" t="inlineStr">
        <is>
          <t>median of 26 tested foods, range 50-100</t>
        </is>
      </c>
      <c r="N229" s="6" t="n">
        <v>72</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hamburger_bun</t>
        </is>
      </c>
      <c r="B230" s="6" t="inlineStr">
        <is>
          <t>Hamburger bun, white</t>
        </is>
      </c>
      <c r="C230" s="6" t="inlineStr">
        <is>
          <t>grain</t>
        </is>
      </c>
      <c r="D230" s="6" t="n">
        <v>267</v>
      </c>
      <c r="E230" s="6" t="n">
        <v>9.43</v>
      </c>
      <c r="F230" s="6" t="n">
        <v>3.59</v>
      </c>
      <c r="G230" s="6" t="n">
        <v>49.2</v>
      </c>
      <c r="H230" s="6" t="n">
        <v>2.3</v>
      </c>
      <c r="I230" s="6" t="n">
        <v>46.9</v>
      </c>
      <c r="J230" s="6" t="n">
        <v>62</v>
      </c>
      <c r="K230" s="6" t="inlineStr">
        <is>
          <t>medium</t>
        </is>
      </c>
      <c r="L230" s="7" t="inlineStr">
        <is>
          <t>2021 International Tables, Suppl. Tables 1+2 (incl. studies with method deviations)</t>
        </is>
      </c>
      <c r="M230" s="7" t="inlineStr">
        <is>
          <t>median of 1 tested foods, range 62-62</t>
        </is>
      </c>
      <c r="N230" s="6" t="n">
        <v>62</v>
      </c>
      <c r="O230" s="7" t="inlineStr">
        <is>
          <t>Atkinson FS, Brand-Miller JC, Foster-Powell K, Buyken AE, Goletzke J. International tables of glycemic index and glycemic load values 2021. Am J Clin Nutr 2021;114(5):1625-32. doi:10.1093/ajcn/nqab233</t>
        </is>
      </c>
      <c r="P230" s="7" t="inlineStr">
        <is>
          <t>USDA FoodData Central (SR Legacy / Foundation Foods), fdc.nal.usda.gov</t>
        </is>
      </c>
      <c r="Q230" s="6" t="inlineStr">
        <is>
          <t>2026-09-26</t>
        </is>
      </c>
    </row>
    <row r="231">
      <c r="A231" s="6" t="inlineStr">
        <is>
          <t>flour_tortilla</t>
        </is>
      </c>
      <c r="B231" s="6" t="inlineStr">
        <is>
          <t>Flour tortilla, 8-inch</t>
        </is>
      </c>
      <c r="C231" s="6" t="inlineStr">
        <is>
          <t>grain</t>
        </is>
      </c>
      <c r="D231" s="6" t="n">
        <v>306</v>
      </c>
      <c r="E231" s="6" t="n">
        <v>8.199999999999999</v>
      </c>
      <c r="F231" s="6" t="n">
        <v>7.99</v>
      </c>
      <c r="G231" s="6" t="n">
        <v>49.4</v>
      </c>
      <c r="H231" s="6" t="n">
        <v>3.5</v>
      </c>
      <c r="I231" s="6" t="n">
        <v>45.9</v>
      </c>
      <c r="J231" s="6" t="n">
        <v>34</v>
      </c>
      <c r="K231" s="6" t="inlineStr">
        <is>
          <t>medium</t>
        </is>
      </c>
      <c r="L231" s="7" t="inlineStr">
        <is>
          <t>2021 International Tables, Suppl. Tables 1+2 (incl. studies with method deviations)</t>
        </is>
      </c>
      <c r="M231" s="7" t="inlineStr">
        <is>
          <t>median of 2 tested foods, range 30-38</t>
        </is>
      </c>
      <c r="N231" s="6" t="n">
        <v>34</v>
      </c>
      <c r="O231" s="7" t="inlineStr">
        <is>
          <t>Atkinson FS, Brand-Miller JC, Foster-Powell K, Buyken AE, Goletzke J. International tables of glycemic index and glycemic load values 2021. Am J Clin Nutr 2021;114(5):1625-32. doi:10.1093/ajcn/nqab233</t>
        </is>
      </c>
      <c r="P231" s="7" t="inlineStr">
        <is>
          <t>USDA FoodData Central (SR Legacy / Foundation Foods), fdc.nal.usda.gov</t>
        </is>
      </c>
      <c r="Q231" s="6" t="inlineStr">
        <is>
          <t>2026-09-26</t>
        </is>
      </c>
    </row>
    <row r="232">
      <c r="A232" s="6" t="inlineStr">
        <is>
          <t>white_pasta</t>
        </is>
      </c>
      <c r="B232" s="6" t="inlineStr">
        <is>
          <t>White pasta, cooked al dente</t>
        </is>
      </c>
      <c r="C232" s="6" t="inlineStr">
        <is>
          <t>grain</t>
        </is>
      </c>
      <c r="D232" s="6" t="n">
        <v>157</v>
      </c>
      <c r="E232" s="6" t="n">
        <v>5.76</v>
      </c>
      <c r="F232" s="6" t="n">
        <v>0.92</v>
      </c>
      <c r="G232" s="6" t="n">
        <v>30.7</v>
      </c>
      <c r="H232" s="6" t="n">
        <v>1.8</v>
      </c>
      <c r="I232" s="6" t="n">
        <v>28.9</v>
      </c>
      <c r="J232" s="6" t="n">
        <v>49</v>
      </c>
      <c r="K232" s="6" t="inlineStr">
        <is>
          <t>high</t>
        </is>
      </c>
      <c r="L232" s="7" t="inlineStr">
        <is>
          <t>2021 International Tables, Suppl. Table 1 (ISO 26642:2010-compliant studies)</t>
        </is>
      </c>
      <c r="M232" s="7" t="inlineStr">
        <is>
          <t>median of 5 tested foods, range 44-56</t>
        </is>
      </c>
      <c r="N232" s="6" t="n">
        <v>49</v>
      </c>
      <c r="O232" s="7" t="inlineStr">
        <is>
          <t>Atkinson FS, Brand-Miller JC, Foster-Powell K, Buyken AE, Goletzke J. International tables of glycemic index and glycemic load values 2021. Am J Clin Nutr 2021;114(5):1625-32. doi:10.1093/ajcn/nqab233</t>
        </is>
      </c>
      <c r="P232" s="7" t="inlineStr">
        <is>
          <t>USDA FoodData Central (SR Legacy / Foundation Foods), fdc.nal.usda.gov</t>
        </is>
      </c>
      <c r="Q232" s="6" t="inlineStr">
        <is>
          <t>2026-09-26</t>
        </is>
      </c>
    </row>
    <row r="233">
      <c r="A233" s="6" t="inlineStr">
        <is>
          <t>egg_noodles</t>
        </is>
      </c>
      <c r="B233" s="6" t="inlineStr">
        <is>
          <t>Egg noodles, cooked</t>
        </is>
      </c>
      <c r="C233" s="6" t="inlineStr">
        <is>
          <t>grain</t>
        </is>
      </c>
      <c r="D233" s="6" t="n">
        <v>137</v>
      </c>
      <c r="E233" s="6" t="n">
        <v>4.51</v>
      </c>
      <c r="F233" s="6" t="n">
        <v>2.06</v>
      </c>
      <c r="G233" s="6" t="n">
        <v>25</v>
      </c>
      <c r="H233" s="6" t="n">
        <v>1.2</v>
      </c>
      <c r="I233" s="6" t="n">
        <v>23.8</v>
      </c>
      <c r="J233" s="6" t="n">
        <v>60</v>
      </c>
      <c r="K233" s="6" t="inlineStr">
        <is>
          <t>medium</t>
        </is>
      </c>
      <c r="L233" s="7" t="inlineStr">
        <is>
          <t>2021 International Tables, Suppl. Tables 1+2 (incl. studies with method deviations)</t>
        </is>
      </c>
      <c r="M233" s="7" t="inlineStr">
        <is>
          <t>median of 1 tested foods, range 60-60</t>
        </is>
      </c>
      <c r="N233" s="6" t="n">
        <v>60</v>
      </c>
      <c r="O233" s="7" t="inlineStr">
        <is>
          <t>Atkinson FS, Brand-Miller JC, Foster-Powell K, Buyken AE, Goletzke J. International tables of glycemic index and glycemic load values 2021. Am J Clin Nutr 2021;114(5):1625-32. doi:10.1093/ajcn/nqab233</t>
        </is>
      </c>
      <c r="P233" s="7" t="inlineStr">
        <is>
          <t>USDA FoodData Central (SR Legacy / Foundation Foods), fdc.nal.usda.gov</t>
        </is>
      </c>
      <c r="Q233" s="6" t="inlineStr">
        <is>
          <t>2026-09-26</t>
        </is>
      </c>
    </row>
    <row r="234">
      <c r="A234" s="6" t="inlineStr">
        <is>
          <t>grits</t>
        </is>
      </c>
      <c r="B234" s="6" t="inlineStr">
        <is>
          <t>Grits, cooked with water</t>
        </is>
      </c>
      <c r="C234" s="6" t="inlineStr">
        <is>
          <t>grain</t>
        </is>
      </c>
      <c r="D234" s="6" t="n">
        <v>58</v>
      </c>
      <c r="E234" s="6" t="n">
        <v>1.2</v>
      </c>
      <c r="F234" s="6" t="n">
        <v>0.28</v>
      </c>
      <c r="G234" s="6" t="n">
        <v>12.4</v>
      </c>
      <c r="H234" s="6" t="n">
        <v>0.7</v>
      </c>
      <c r="I234" s="6" t="n">
        <v>11.7</v>
      </c>
      <c r="J234" s="6" t="n">
        <v>68</v>
      </c>
      <c r="K234" s="6" t="inlineStr">
        <is>
          <t>medium</t>
        </is>
      </c>
      <c r="L234" s="7" t="inlineStr">
        <is>
          <t>2021 International Tables, Suppl. Tables 1+2 (incl. studies with method deviations)</t>
        </is>
      </c>
      <c r="M234" s="7" t="inlineStr">
        <is>
          <t>median of 1 tested foods, range 68-68</t>
        </is>
      </c>
      <c r="N234" s="6" t="n">
        <v>68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bagel</t>
        </is>
      </c>
      <c r="B235" s="6" t="inlineStr">
        <is>
          <t>Bagel, plain</t>
        </is>
      </c>
      <c r="C235" s="6" t="inlineStr">
        <is>
          <t>grain</t>
        </is>
      </c>
      <c r="D235" s="6" t="n">
        <v>264</v>
      </c>
      <c r="E235" s="6" t="n">
        <v>10.56</v>
      </c>
      <c r="F235" s="6" t="n">
        <v>1.32</v>
      </c>
      <c r="G235" s="6" t="n">
        <v>52.4</v>
      </c>
      <c r="H235" s="6" t="n">
        <v>1.6</v>
      </c>
      <c r="I235" s="6" t="n">
        <v>50.8</v>
      </c>
      <c r="J235" s="6" t="n">
        <v>75</v>
      </c>
      <c r="K235" s="6" t="inlineStr">
        <is>
          <t>medium</t>
        </is>
      </c>
      <c r="L235" s="7" t="inlineStr">
        <is>
          <t>2021 International Tables, Suppl. Tables 1+2 (incl. studies with method deviations)</t>
        </is>
      </c>
      <c r="M235" s="7" t="inlineStr">
        <is>
          <t>median of 2 tested foods, range 73-77</t>
        </is>
      </c>
      <c r="N235" s="6" t="n">
        <v>75</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tortilla_chips</t>
        </is>
      </c>
      <c r="B236" s="6" t="inlineStr">
        <is>
          <t>Tortilla chips, plain</t>
        </is>
      </c>
      <c r="C236" s="6" t="inlineStr">
        <is>
          <t>grain</t>
        </is>
      </c>
      <c r="D236" s="6" t="n">
        <v>472</v>
      </c>
      <c r="E236" s="6" t="n">
        <v>7.1</v>
      </c>
      <c r="F236" s="6" t="n">
        <v>20.7</v>
      </c>
      <c r="G236" s="6" t="n">
        <v>67.8</v>
      </c>
      <c r="H236" s="6" t="n">
        <v>5.4</v>
      </c>
      <c r="I236" s="6" t="n">
        <v>62.4</v>
      </c>
      <c r="J236" s="6" t="n">
        <v>58</v>
      </c>
      <c r="K236" s="6" t="inlineStr">
        <is>
          <t>medium</t>
        </is>
      </c>
      <c r="L236" s="7" t="inlineStr">
        <is>
          <t>2021 International Tables, Suppl. Tables 1+2 (incl. studies with method deviations)</t>
        </is>
      </c>
      <c r="M236" s="7" t="inlineStr">
        <is>
          <t>median of 2 tested foods, range 42-75</t>
        </is>
      </c>
      <c r="N236" s="6" t="n">
        <v>58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sugar_white</t>
        </is>
      </c>
      <c r="B237" s="6" t="inlineStr">
        <is>
          <t>White sugar</t>
        </is>
      </c>
      <c r="C237" s="6" t="inlineStr">
        <is>
          <t>pantry</t>
        </is>
      </c>
      <c r="D237" s="6" t="n">
        <v>401</v>
      </c>
      <c r="E237" s="6" t="n">
        <v>0</v>
      </c>
      <c r="F237" s="6" t="n">
        <v>0.32</v>
      </c>
      <c r="G237" s="6" t="n">
        <v>99.59999999999999</v>
      </c>
      <c r="H237" s="6" t="n">
        <v>0</v>
      </c>
      <c r="I237" s="6" t="n">
        <v>99.59999999999999</v>
      </c>
      <c r="J237" s="6" t="n">
        <v>63</v>
      </c>
      <c r="K237" s="6" t="inlineStr">
        <is>
          <t>high</t>
        </is>
      </c>
      <c r="L237" s="7" t="inlineStr">
        <is>
          <t>2021 International Tables, Suppl. Table 1 (ISO 26642:2010-compliant studies)</t>
        </is>
      </c>
      <c r="M237" s="7" t="inlineStr">
        <is>
          <t>median of 10 tested foods, range 59-91</t>
        </is>
      </c>
      <c r="N237" s="6" t="n">
        <v>63</v>
      </c>
      <c r="O237" s="7" t="inlineStr">
        <is>
          <t>Atkinson FS, Brand-Miller JC, Foster-Powell K, Buyken AE, Goletzke J. International tables of glycemic index and glycemic load values 2021. Am J Clin Nutr 2021;114(5):1625-32. doi:10.1093/ajcn/nqab233</t>
        </is>
      </c>
      <c r="P237" s="7" t="inlineStr">
        <is>
          <t>USDA FoodData Central (SR Legacy / Foundation Foods), fdc.nal.usda.gov</t>
        </is>
      </c>
      <c r="Q237" s="6" t="inlineStr">
        <is>
          <t>2026-09-26</t>
        </is>
      </c>
    </row>
    <row r="238">
      <c r="A238" s="6" t="inlineStr">
        <is>
          <t>whole_grain_crackers</t>
        </is>
      </c>
      <c r="B238" s="6" t="inlineStr">
        <is>
          <t>Whole grain seed crackers</t>
        </is>
      </c>
      <c r="C238" s="6" t="inlineStr">
        <is>
          <t>grain</t>
        </is>
      </c>
      <c r="D238" s="6" t="n">
        <v>420</v>
      </c>
      <c r="E238" s="6" t="n">
        <v>10</v>
      </c>
      <c r="F238" s="6" t="n">
        <v>14</v>
      </c>
      <c r="G238" s="6" t="n">
        <v>66</v>
      </c>
      <c r="H238" s="6" t="n">
        <v>10</v>
      </c>
      <c r="I238" s="6" t="n">
        <v>56</v>
      </c>
      <c r="J238" s="6" t="n">
        <v>55</v>
      </c>
      <c r="K238" s="6" t="inlineStr">
        <is>
          <t>high</t>
        </is>
      </c>
      <c r="L238" s="7" t="inlineStr">
        <is>
          <t>2021 International Tables, Suppl. Table 1 (ISO 26642:2010-compliant studies)</t>
        </is>
      </c>
      <c r="M238" s="7" t="inlineStr">
        <is>
          <t>median of 2 tested foods, range 53-53</t>
        </is>
      </c>
      <c r="N238" s="6" t="n">
        <v>53</v>
      </c>
      <c r="O238" s="7" t="inlineStr">
        <is>
          <t>Atkinson FS, Brand-Miller JC, Foster-Powell K, Buyken AE, Goletzke J. International tables of glycemic index and glycemic load values 2021. Am J Clin Nutr 2021;114(5):1625-32. doi:10.1093/ajcn/nqab233</t>
        </is>
      </c>
      <c r="P238" s="7" t="inlineStr">
        <is>
          <t>USDA FoodData Central (SR Legacy / Foundation Foods), fdc.nal.usda.gov</t>
        </is>
      </c>
      <c r="Q238" s="6" t="inlineStr">
        <is>
          <t>2026-09-26</t>
        </is>
      </c>
    </row>
    <row r="239">
      <c r="A239" s="6" t="inlineStr">
        <is>
          <t>popcorn</t>
        </is>
      </c>
      <c r="B239" s="6" t="inlineStr">
        <is>
          <t>Popcorn, air-popped</t>
        </is>
      </c>
      <c r="C239" s="6" t="inlineStr">
        <is>
          <t>grain</t>
        </is>
      </c>
      <c r="D239" s="6" t="n">
        <v>387</v>
      </c>
      <c r="E239" s="6" t="n">
        <v>13</v>
      </c>
      <c r="F239" s="6" t="n">
        <v>4.5</v>
      </c>
      <c r="G239" s="6" t="n">
        <v>78</v>
      </c>
      <c r="H239" s="6" t="n">
        <v>14.5</v>
      </c>
      <c r="I239" s="6" t="n">
        <v>63.5</v>
      </c>
      <c r="J239" s="6" t="n">
        <v>70</v>
      </c>
      <c r="K239" s="6" t="inlineStr">
        <is>
          <t>medium</t>
        </is>
      </c>
      <c r="L239" s="7" t="inlineStr">
        <is>
          <t>2021 International Tables, Suppl. Tables 1+2 (incl. studies with method deviations)</t>
        </is>
      </c>
      <c r="M239" s="7" t="inlineStr">
        <is>
          <t>median of 3 tested foods, range 55-89</t>
        </is>
      </c>
      <c r="N239" s="6" t="n">
        <v>70</v>
      </c>
      <c r="O239" s="7" t="inlineStr">
        <is>
          <t>Atkinson FS, Brand-Miller JC, Foster-Powell K, Buyken AE, Goletzke J. International tables of glycemic index and glycemic load values 2021. Am J Clin Nutr 2021;114(5):1625-32. doi:10.1093/ajcn/nqab233</t>
        </is>
      </c>
      <c r="P239" s="7" t="inlineStr">
        <is>
          <t>USDA FoodData Central (SR Legacy / Foundation Foods), fdc.nal.usda.gov</t>
        </is>
      </c>
      <c r="Q239" s="6" t="inlineStr">
        <is>
          <t>2026-09-26</t>
        </is>
      </c>
    </row>
    <row r="240">
      <c r="A240" s="6" t="inlineStr">
        <is>
          <t>almond_flour</t>
        </is>
      </c>
      <c r="B240" s="6" t="inlineStr">
        <is>
          <t>Almond flour</t>
        </is>
      </c>
      <c r="C240" s="6" t="inlineStr">
        <is>
          <t>nut</t>
        </is>
      </c>
      <c r="D240" s="6" t="n">
        <v>590</v>
      </c>
      <c r="E240" s="6" t="n">
        <v>21</v>
      </c>
      <c r="F240" s="6" t="n">
        <v>50</v>
      </c>
      <c r="G240" s="6" t="n">
        <v>21</v>
      </c>
      <c r="H240" s="6" t="n">
        <v>12</v>
      </c>
      <c r="I240" s="6" t="n">
        <v>9</v>
      </c>
      <c r="J240" s="6" t="n">
        <v>15</v>
      </c>
      <c r="K240" s="6" t="inlineStr">
        <is>
          <t>none (placeholder)</t>
        </is>
      </c>
      <c r="L240" s="7" t="inlineStr">
        <is>
          <t>Conventional placeholder for foods with too little carbohydrate to test (non-starchy vegetables, nuts, seeds, herbs); no published measurement exists</t>
        </is>
      </c>
      <c r="M240" s="7" t="inlineStr">
        <is>
          <t>not measurable</t>
        </is>
      </c>
      <c r="N240" s="6" t="n">
        <v>15</v>
      </c>
      <c r="O240" s="7" t="inlineStr">
        <is>
          <t>clinical convention</t>
        </is>
      </c>
      <c r="P240" s="7" t="inlineStr">
        <is>
          <t>USDA FoodData Central (SR Legacy / Foundation Foods), fdc.nal.usda.gov</t>
        </is>
      </c>
      <c r="Q240" s="6" t="inlineStr">
        <is>
          <t>2026-09-26</t>
        </is>
      </c>
    </row>
    <row r="241">
      <c r="A241" s="6" t="inlineStr">
        <is>
          <t>coconut_flour</t>
        </is>
      </c>
      <c r="B241" s="6" t="inlineStr">
        <is>
          <t>Coconut flour</t>
        </is>
      </c>
      <c r="C241" s="6" t="inlineStr">
        <is>
          <t>nut</t>
        </is>
      </c>
      <c r="D241" s="6" t="n">
        <v>400</v>
      </c>
      <c r="E241" s="6" t="n">
        <v>18</v>
      </c>
      <c r="F241" s="6" t="n">
        <v>13</v>
      </c>
      <c r="G241" s="6" t="n">
        <v>60</v>
      </c>
      <c r="H241" s="6" t="n">
        <v>38</v>
      </c>
      <c r="I241" s="6" t="n">
        <v>22</v>
      </c>
      <c r="J241" s="6" t="n">
        <v>45</v>
      </c>
      <c r="K241" s="6" t="inlineStr">
        <is>
          <t>low</t>
        </is>
      </c>
      <c r="L241" s="7" t="inlineStr">
        <is>
          <t>Estimated from the closest tested food; no direct measurement found in the pooled sources</t>
        </is>
      </c>
      <c r="M241" s="7" t="inlineStr">
        <is>
          <t>no direct match</t>
        </is>
      </c>
      <c r="N241" s="6" t="n">
        <v>45</v>
      </c>
      <c r="O24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1" s="7" t="inlineStr">
        <is>
          <t>USDA FoodData Central (SR Legacy / Foundation Foods), fdc.nal.usda.gov</t>
        </is>
      </c>
      <c r="Q241" s="6" t="inlineStr">
        <is>
          <t>2026-09-26</t>
        </is>
      </c>
    </row>
    <row r="242">
      <c r="A242" s="6" t="inlineStr">
        <is>
          <t>arrowroot</t>
        </is>
      </c>
      <c r="B242" s="6" t="inlineStr">
        <is>
          <t>Arrowroot starch</t>
        </is>
      </c>
      <c r="C242" s="6" t="inlineStr">
        <is>
          <t>grain</t>
        </is>
      </c>
      <c r="D242" s="6" t="n">
        <v>357</v>
      </c>
      <c r="E242" s="6" t="n">
        <v>0.3</v>
      </c>
      <c r="F242" s="6" t="n">
        <v>0.1</v>
      </c>
      <c r="G242" s="6" t="n">
        <v>88</v>
      </c>
      <c r="H242" s="6" t="n">
        <v>3.4</v>
      </c>
      <c r="I242" s="6" t="n">
        <v>84.59999999999999</v>
      </c>
      <c r="J242" s="6" t="n">
        <v>65</v>
      </c>
      <c r="K242" s="6" t="inlineStr">
        <is>
          <t>medium</t>
        </is>
      </c>
      <c r="L242" s="7" t="inlineStr">
        <is>
          <t>2021 International Tables, Suppl. Tables 1+2 (incl. studies with method deviations)</t>
        </is>
      </c>
      <c r="M242" s="7" t="inlineStr">
        <is>
          <t>median of 2 tested foods, range 62-64</t>
        </is>
      </c>
      <c r="N242" s="6" t="n">
        <v>63</v>
      </c>
      <c r="O242" s="7" t="inlineStr">
        <is>
          <t>Atkinson FS, Brand-Miller JC, Foster-Powell K, Buyken AE, Goletzke J. International tables of glycemic index and glycemic load values 2021. Am J Clin Nutr 2021;114(5):1625-32. doi:10.1093/ajcn/nqab233</t>
        </is>
      </c>
      <c r="P242" s="7" t="inlineStr">
        <is>
          <t>USDA FoodData Central (SR Legacy / Foundation Foods), fdc.nal.usda.gov</t>
        </is>
      </c>
      <c r="Q242" s="6" t="inlineStr">
        <is>
          <t>2026-09-26</t>
        </is>
      </c>
    </row>
    <row r="243">
      <c r="A243" s="6" t="inlineStr">
        <is>
          <t>psyllium</t>
        </is>
      </c>
      <c r="B243" s="6" t="inlineStr">
        <is>
          <t>Psyllium husk</t>
        </is>
      </c>
      <c r="C243" s="6" t="inlineStr">
        <is>
          <t>grain</t>
        </is>
      </c>
      <c r="D243" s="6" t="n">
        <v>42</v>
      </c>
      <c r="E243" s="6" t="n">
        <v>1.5</v>
      </c>
      <c r="F243" s="6" t="n">
        <v>0</v>
      </c>
      <c r="G243" s="6" t="n">
        <v>90</v>
      </c>
      <c r="H243" s="6" t="n">
        <v>88</v>
      </c>
      <c r="I243" s="6" t="n">
        <v>2</v>
      </c>
      <c r="J243" s="6" t="n">
        <v>0</v>
      </c>
      <c r="K243" s="6" t="inlineStr">
        <is>
          <t>low</t>
        </is>
      </c>
      <c r="L243" s="7" t="inlineStr">
        <is>
          <t>Estimated from the closest tested food; no direct measurement found in the pooled sources</t>
        </is>
      </c>
      <c r="M243" s="7" t="inlineStr">
        <is>
          <t>no direct match</t>
        </is>
      </c>
      <c r="N243" s="6" t="inlineStr"/>
      <c r="O24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3" s="7" t="inlineStr">
        <is>
          <t>USDA FoodData Central (SR Legacy / Foundation Foods), fdc.nal.usda.gov</t>
        </is>
      </c>
      <c r="Q243" s="6" t="inlineStr">
        <is>
          <t>2026-09-26</t>
        </is>
      </c>
    </row>
    <row r="244">
      <c r="A244" s="6" t="inlineStr">
        <is>
          <t>almonds</t>
        </is>
      </c>
      <c r="B244" s="6" t="inlineStr">
        <is>
          <t>Almonds</t>
        </is>
      </c>
      <c r="C244" s="6" t="inlineStr">
        <is>
          <t>nut</t>
        </is>
      </c>
      <c r="D244" s="6" t="n">
        <v>579</v>
      </c>
      <c r="E244" s="6" t="n">
        <v>21</v>
      </c>
      <c r="F244" s="6" t="n">
        <v>50</v>
      </c>
      <c r="G244" s="6" t="n">
        <v>22</v>
      </c>
      <c r="H244" s="6" t="n">
        <v>12.5</v>
      </c>
      <c r="I244" s="6" t="n">
        <v>9.5</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walnuts</t>
        </is>
      </c>
      <c r="B245" s="6" t="inlineStr">
        <is>
          <t>Walnuts</t>
        </is>
      </c>
      <c r="C245" s="6" t="inlineStr">
        <is>
          <t>nut</t>
        </is>
      </c>
      <c r="D245" s="6" t="n">
        <v>654</v>
      </c>
      <c r="E245" s="6" t="n">
        <v>15</v>
      </c>
      <c r="F245" s="6" t="n">
        <v>65</v>
      </c>
      <c r="G245" s="6" t="n">
        <v>14</v>
      </c>
      <c r="H245" s="6" t="n">
        <v>6.7</v>
      </c>
      <c r="I245" s="6" t="n">
        <v>7.3</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n">
        <v>15</v>
      </c>
      <c r="O245" s="7" t="inlineStr">
        <is>
          <t>clinical convention</t>
        </is>
      </c>
      <c r="P245" s="7" t="inlineStr">
        <is>
          <t>USDA FoodData Central (SR Legacy / Foundation Foods), fdc.nal.usda.gov</t>
        </is>
      </c>
      <c r="Q245" s="6" t="inlineStr">
        <is>
          <t>2026-09-26</t>
        </is>
      </c>
    </row>
    <row r="246">
      <c r="A246" s="6" t="inlineStr">
        <is>
          <t>pecans</t>
        </is>
      </c>
      <c r="B246" s="6" t="inlineStr">
        <is>
          <t>Pecans</t>
        </is>
      </c>
      <c r="C246" s="6" t="inlineStr">
        <is>
          <t>nut</t>
        </is>
      </c>
      <c r="D246" s="6" t="n">
        <v>691</v>
      </c>
      <c r="E246" s="6" t="n">
        <v>9</v>
      </c>
      <c r="F246" s="6" t="n">
        <v>72</v>
      </c>
      <c r="G246" s="6" t="n">
        <v>14</v>
      </c>
      <c r="H246" s="6" t="n">
        <v>9.6</v>
      </c>
      <c r="I246" s="6" t="n">
        <v>4.4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inlineStr"/>
      <c r="O246" s="7" t="inlineStr">
        <is>
          <t>clinical convention</t>
        </is>
      </c>
      <c r="P246" s="7" t="inlineStr">
        <is>
          <t>USDA FoodData Central (SR Legacy / Foundation Foods), fdc.nal.usda.gov</t>
        </is>
      </c>
      <c r="Q246" s="6" t="inlineStr">
        <is>
          <t>2026-09-26</t>
        </is>
      </c>
    </row>
    <row r="247">
      <c r="A247" s="6" t="inlineStr">
        <is>
          <t>pistachios</t>
        </is>
      </c>
      <c r="B247" s="6" t="inlineStr">
        <is>
          <t>Pistachios, shelled</t>
        </is>
      </c>
      <c r="C247" s="6" t="inlineStr">
        <is>
          <t>nut</t>
        </is>
      </c>
      <c r="D247" s="6" t="n">
        <v>560</v>
      </c>
      <c r="E247" s="6" t="n">
        <v>20</v>
      </c>
      <c r="F247" s="6" t="n">
        <v>45</v>
      </c>
      <c r="G247" s="6" t="n">
        <v>28</v>
      </c>
      <c r="H247" s="6" t="n">
        <v>10.6</v>
      </c>
      <c r="I247" s="6" t="n">
        <v>17.4</v>
      </c>
      <c r="J247" s="6" t="n">
        <v>28</v>
      </c>
      <c r="K247" s="6" t="inlineStr">
        <is>
          <t>medium</t>
        </is>
      </c>
      <c r="L247" s="7" t="inlineStr">
        <is>
          <t>2021 International Tables, Suppl. Tables 1+2 (incl. studies with method deviations)</t>
        </is>
      </c>
      <c r="M247" s="7" t="inlineStr">
        <is>
          <t>median of 1 tested foods, range 28-28</t>
        </is>
      </c>
      <c r="N247" s="6" t="n">
        <v>28</v>
      </c>
      <c r="O247" s="7" t="inlineStr">
        <is>
          <t>Atkinson FS, Brand-Miller JC, Foster-Powell K, Buyken AE, Goletzke J. International tables of glycemic index and glycemic load values 2021. Am J Clin Nutr 2021;114(5):1625-32. doi:10.1093/ajcn/nqab233</t>
        </is>
      </c>
      <c r="P247" s="7" t="inlineStr">
        <is>
          <t>USDA FoodData Central (SR Legacy / Foundation Foods), fdc.nal.usda.gov</t>
        </is>
      </c>
      <c r="Q247" s="6" t="inlineStr">
        <is>
          <t>2026-09-26</t>
        </is>
      </c>
    </row>
    <row r="248">
      <c r="A248" s="6" t="inlineStr">
        <is>
          <t>cashews</t>
        </is>
      </c>
      <c r="B248" s="6" t="inlineStr">
        <is>
          <t>Cashews</t>
        </is>
      </c>
      <c r="C248" s="6" t="inlineStr">
        <is>
          <t>nut</t>
        </is>
      </c>
      <c r="D248" s="6" t="n">
        <v>553</v>
      </c>
      <c r="E248" s="6" t="n">
        <v>18</v>
      </c>
      <c r="F248" s="6" t="n">
        <v>44</v>
      </c>
      <c r="G248" s="6" t="n">
        <v>30</v>
      </c>
      <c r="H248" s="6" t="n">
        <v>3.3</v>
      </c>
      <c r="I248" s="6" t="n">
        <v>26.7</v>
      </c>
      <c r="J248" s="6" t="n">
        <v>27</v>
      </c>
      <c r="K248" s="6" t="inlineStr">
        <is>
          <t>medium</t>
        </is>
      </c>
      <c r="L248" s="7" t="inlineStr">
        <is>
          <t>2021 International Tables, Suppl. Tables 1+2 (incl. studies with method deviations)</t>
        </is>
      </c>
      <c r="M248" s="7" t="inlineStr">
        <is>
          <t>median of 1 tested foods, range 27-27</t>
        </is>
      </c>
      <c r="N248" s="6" t="n">
        <v>27</v>
      </c>
      <c r="O248" s="7" t="inlineStr">
        <is>
          <t>Atkinson FS, Brand-Miller JC, Foster-Powell K, Buyken AE, Goletzke J. International tables of glycemic index and glycemic load values 2021. Am J Clin Nutr 2021;114(5):1625-32. doi:10.1093/ajcn/nqab233</t>
        </is>
      </c>
      <c r="P248" s="7" t="inlineStr">
        <is>
          <t>USDA FoodData Central (SR Legacy / Foundation Foods), fdc.nal.usda.gov</t>
        </is>
      </c>
      <c r="Q248" s="6" t="inlineStr">
        <is>
          <t>2026-09-26</t>
        </is>
      </c>
    </row>
    <row r="249">
      <c r="A249" s="6" t="inlineStr">
        <is>
          <t>peanuts</t>
        </is>
      </c>
      <c r="B249" s="6" t="inlineStr">
        <is>
          <t>Peanuts, dry roasted</t>
        </is>
      </c>
      <c r="C249" s="6" t="inlineStr">
        <is>
          <t>nut</t>
        </is>
      </c>
      <c r="D249" s="6" t="n">
        <v>567</v>
      </c>
      <c r="E249" s="6" t="n">
        <v>26</v>
      </c>
      <c r="F249" s="6" t="n">
        <v>49</v>
      </c>
      <c r="G249" s="6" t="n">
        <v>16</v>
      </c>
      <c r="H249" s="6" t="n">
        <v>8.5</v>
      </c>
      <c r="I249" s="6" t="n">
        <v>7.5</v>
      </c>
      <c r="J249" s="6" t="n">
        <v>14</v>
      </c>
      <c r="K249" s="6" t="inlineStr">
        <is>
          <t>medium</t>
        </is>
      </c>
      <c r="L249" s="7" t="inlineStr">
        <is>
          <t>2021 International Tables, Suppl. Tables 1+2 (incl. studies with method deviations)</t>
        </is>
      </c>
      <c r="M249" s="7" t="inlineStr">
        <is>
          <t>median of 6 tested foods, range 5-30</t>
        </is>
      </c>
      <c r="N249" s="6" t="n">
        <v>18</v>
      </c>
      <c r="O249" s="7" t="inlineStr">
        <is>
          <t>Atkinson FS, Brand-Miller JC, Foster-Powell K, Buyken AE, Goletzke J. International tables of glycemic index and glycemic load values 2021. Am J Clin Nutr 2021;114(5):1625-32. doi:10.1093/ajcn/nqab233</t>
        </is>
      </c>
      <c r="P249" s="7" t="inlineStr">
        <is>
          <t>USDA FoodData Central (SR Legacy / Foundation Foods), fdc.nal.usda.gov</t>
        </is>
      </c>
      <c r="Q249" s="6" t="inlineStr">
        <is>
          <t>2026-09-26</t>
        </is>
      </c>
    </row>
    <row r="250">
      <c r="A250" s="6" t="inlineStr">
        <is>
          <t>macadamia</t>
        </is>
      </c>
      <c r="B250" s="6" t="inlineStr">
        <is>
          <t>Macadamia nuts</t>
        </is>
      </c>
      <c r="C250" s="6" t="inlineStr">
        <is>
          <t>nut</t>
        </is>
      </c>
      <c r="D250" s="6" t="n">
        <v>718</v>
      </c>
      <c r="E250" s="6" t="n">
        <v>8</v>
      </c>
      <c r="F250" s="6" t="n">
        <v>76</v>
      </c>
      <c r="G250" s="6" t="n">
        <v>14</v>
      </c>
      <c r="H250" s="6" t="n">
        <v>8.6</v>
      </c>
      <c r="I250" s="6" t="n">
        <v>5.4</v>
      </c>
      <c r="J250" s="6" t="n">
        <v>15</v>
      </c>
      <c r="K250" s="6" t="inlineStr">
        <is>
          <t>none (placeholder)</t>
        </is>
      </c>
      <c r="L250" s="7" t="inlineStr">
        <is>
          <t>Conventional placeholder for foods with too little carbohydrate to test (non-starchy vegetables, nuts, seeds, herbs); no published measurement exists</t>
        </is>
      </c>
      <c r="M250" s="7" t="inlineStr">
        <is>
          <t>not measurable</t>
        </is>
      </c>
      <c r="N250" s="6" t="inlineStr"/>
      <c r="O250" s="7" t="inlineStr">
        <is>
          <t>clinical convention</t>
        </is>
      </c>
      <c r="P250" s="7" t="inlineStr">
        <is>
          <t>USDA FoodData Central (SR Legacy / Foundation Foods), fdc.nal.usda.gov</t>
        </is>
      </c>
      <c r="Q250" s="6" t="inlineStr">
        <is>
          <t>2026-09-26</t>
        </is>
      </c>
    </row>
    <row r="251">
      <c r="A251" s="6" t="inlineStr">
        <is>
          <t>hazelnuts</t>
        </is>
      </c>
      <c r="B251" s="6" t="inlineStr">
        <is>
          <t>Hazelnuts</t>
        </is>
      </c>
      <c r="C251" s="6" t="inlineStr">
        <is>
          <t>nut</t>
        </is>
      </c>
      <c r="D251" s="6" t="n">
        <v>628</v>
      </c>
      <c r="E251" s="6" t="n">
        <v>15</v>
      </c>
      <c r="F251" s="6" t="n">
        <v>61</v>
      </c>
      <c r="G251" s="6" t="n">
        <v>17</v>
      </c>
      <c r="H251" s="6" t="n">
        <v>9.699999999999999</v>
      </c>
      <c r="I251" s="6" t="n">
        <v>7.3</v>
      </c>
      <c r="J251" s="6" t="n">
        <v>15</v>
      </c>
      <c r="K251" s="6" t="inlineStr">
        <is>
          <t>none (placeholder)</t>
        </is>
      </c>
      <c r="L251" s="7" t="inlineStr">
        <is>
          <t>Conventional placeholder for foods with too little carbohydrate to test (non-starchy vegetables, nuts, seeds, herbs); no published measurement exists</t>
        </is>
      </c>
      <c r="M251" s="7" t="inlineStr">
        <is>
          <t>not measurable</t>
        </is>
      </c>
      <c r="N251" s="6" t="inlineStr"/>
      <c r="O251" s="7" t="inlineStr">
        <is>
          <t>clinical convention</t>
        </is>
      </c>
      <c r="P251" s="7" t="inlineStr">
        <is>
          <t>USDA FoodData Central (SR Legacy / Foundation Foods), fdc.nal.usda.gov</t>
        </is>
      </c>
      <c r="Q251" s="6" t="inlineStr">
        <is>
          <t>2026-09-26</t>
        </is>
      </c>
    </row>
    <row r="252">
      <c r="A252" s="6" t="inlineStr">
        <is>
          <t>pine_nuts</t>
        </is>
      </c>
      <c r="B252" s="6" t="inlineStr">
        <is>
          <t>Pine nuts</t>
        </is>
      </c>
      <c r="C252" s="6" t="inlineStr">
        <is>
          <t>nut</t>
        </is>
      </c>
      <c r="D252" s="6" t="n">
        <v>673</v>
      </c>
      <c r="E252" s="6" t="n">
        <v>14</v>
      </c>
      <c r="F252" s="6" t="n">
        <v>68</v>
      </c>
      <c r="G252" s="6" t="n">
        <v>13</v>
      </c>
      <c r="H252" s="6" t="n">
        <v>3.7</v>
      </c>
      <c r="I252" s="6" t="n">
        <v>9.300000000000001</v>
      </c>
      <c r="J252" s="6" t="n">
        <v>15</v>
      </c>
      <c r="K252" s="6" t="inlineStr">
        <is>
          <t>none (placeholder)</t>
        </is>
      </c>
      <c r="L252" s="7" t="inlineStr">
        <is>
          <t>Conventional placeholder for foods with too little carbohydrate to test (non-starchy vegetables, nuts, seeds, herbs); no published measurement exists</t>
        </is>
      </c>
      <c r="M252" s="7" t="inlineStr">
        <is>
          <t>not measurable</t>
        </is>
      </c>
      <c r="N252" s="6" t="inlineStr"/>
      <c r="O252" s="7" t="inlineStr">
        <is>
          <t>clinical convention</t>
        </is>
      </c>
      <c r="P252" s="7" t="inlineStr">
        <is>
          <t>USDA FoodData Central (SR Legacy / Foundation Foods), fdc.nal.usda.gov</t>
        </is>
      </c>
      <c r="Q252" s="6" t="inlineStr">
        <is>
          <t>2026-09-26</t>
        </is>
      </c>
    </row>
    <row r="253">
      <c r="A253" s="6" t="inlineStr">
        <is>
          <t>peanut_butter</t>
        </is>
      </c>
      <c r="B253" s="6" t="inlineStr">
        <is>
          <t>Peanut butter, natural</t>
        </is>
      </c>
      <c r="C253" s="6" t="inlineStr">
        <is>
          <t>nut</t>
        </is>
      </c>
      <c r="D253" s="6" t="n">
        <v>588</v>
      </c>
      <c r="E253" s="6" t="n">
        <v>25</v>
      </c>
      <c r="F253" s="6" t="n">
        <v>50</v>
      </c>
      <c r="G253" s="6" t="n">
        <v>20</v>
      </c>
      <c r="H253" s="6" t="n">
        <v>6</v>
      </c>
      <c r="I253" s="6" t="n">
        <v>14</v>
      </c>
      <c r="J253" s="6" t="n">
        <v>14</v>
      </c>
      <c r="K253" s="6" t="inlineStr">
        <is>
          <t>low</t>
        </is>
      </c>
      <c r="L253" s="7" t="inlineStr">
        <is>
          <t>Estimated from the closest tested food; no direct measurement found in the pooled sources</t>
        </is>
      </c>
      <c r="M253" s="7" t="inlineStr">
        <is>
          <t>no direct match</t>
        </is>
      </c>
      <c r="N253" s="6" t="n">
        <v>14</v>
      </c>
      <c r="O2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3" s="7" t="inlineStr">
        <is>
          <t>USDA FoodData Central (SR Legacy / Foundation Foods), fdc.nal.usda.gov</t>
        </is>
      </c>
      <c r="Q253" s="6" t="inlineStr">
        <is>
          <t>2026-09-26</t>
        </is>
      </c>
    </row>
    <row r="254">
      <c r="A254" s="6" t="inlineStr">
        <is>
          <t>almond_butter</t>
        </is>
      </c>
      <c r="B254" s="6" t="inlineStr">
        <is>
          <t>Almond butter</t>
        </is>
      </c>
      <c r="C254" s="6" t="inlineStr">
        <is>
          <t>nut</t>
        </is>
      </c>
      <c r="D254" s="6" t="n">
        <v>614</v>
      </c>
      <c r="E254" s="6" t="n">
        <v>21</v>
      </c>
      <c r="F254" s="6" t="n">
        <v>56</v>
      </c>
      <c r="G254" s="6" t="n">
        <v>19</v>
      </c>
      <c r="H254" s="6" t="n">
        <v>10</v>
      </c>
      <c r="I254" s="6" t="n">
        <v>9</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tahini</t>
        </is>
      </c>
      <c r="B255" s="6" t="inlineStr">
        <is>
          <t>Tahini</t>
        </is>
      </c>
      <c r="C255" s="6" t="inlineStr">
        <is>
          <t>nut</t>
        </is>
      </c>
      <c r="D255" s="6" t="n">
        <v>595</v>
      </c>
      <c r="E255" s="6" t="n">
        <v>17</v>
      </c>
      <c r="F255" s="6" t="n">
        <v>54</v>
      </c>
      <c r="G255" s="6" t="n">
        <v>21</v>
      </c>
      <c r="H255" s="6" t="n">
        <v>9</v>
      </c>
      <c r="I255" s="6" t="n">
        <v>12</v>
      </c>
      <c r="J255" s="6" t="n">
        <v>40</v>
      </c>
      <c r="K255" s="6" t="inlineStr">
        <is>
          <t>low</t>
        </is>
      </c>
      <c r="L255" s="7" t="inlineStr">
        <is>
          <t>Estimated from the closest tested food; no direct measurement found in the pooled sources</t>
        </is>
      </c>
      <c r="M255" s="7" t="inlineStr">
        <is>
          <t>no direct match</t>
        </is>
      </c>
      <c r="N255" s="6" t="n">
        <v>40</v>
      </c>
      <c r="O2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5" s="7" t="inlineStr">
        <is>
          <t>USDA FoodData Central (SR Legacy / Foundation Foods), fdc.nal.usda.gov</t>
        </is>
      </c>
      <c r="Q255" s="6" t="inlineStr">
        <is>
          <t>2026-09-26</t>
        </is>
      </c>
    </row>
    <row r="256">
      <c r="A256" s="6" t="inlineStr">
        <is>
          <t>chia_seeds</t>
        </is>
      </c>
      <c r="B256" s="6" t="inlineStr">
        <is>
          <t>Chia seeds</t>
        </is>
      </c>
      <c r="C256" s="6" t="inlineStr">
        <is>
          <t>seed</t>
        </is>
      </c>
      <c r="D256" s="6" t="n">
        <v>486</v>
      </c>
      <c r="E256" s="6" t="n">
        <v>17</v>
      </c>
      <c r="F256" s="6" t="n">
        <v>31</v>
      </c>
      <c r="G256" s="6" t="n">
        <v>42</v>
      </c>
      <c r="H256" s="6" t="n">
        <v>34</v>
      </c>
      <c r="I256" s="6" t="n">
        <v>8</v>
      </c>
      <c r="J256" s="6" t="n">
        <v>15</v>
      </c>
      <c r="K256" s="6" t="inlineStr">
        <is>
          <t>none (placeholder)</t>
        </is>
      </c>
      <c r="L256" s="7" t="inlineStr">
        <is>
          <t>Conventional placeholder for foods with too little carbohydrate to test (non-starchy vegetables, nuts, seeds, herbs); no published measurement exists</t>
        </is>
      </c>
      <c r="M256" s="7" t="inlineStr">
        <is>
          <t>not measurable</t>
        </is>
      </c>
      <c r="N256" s="6" t="n">
        <v>15</v>
      </c>
      <c r="O256" s="7" t="inlineStr">
        <is>
          <t>clinical convention</t>
        </is>
      </c>
      <c r="P256" s="7" t="inlineStr">
        <is>
          <t>USDA FoodData Central (SR Legacy / Foundation Foods), fdc.nal.usda.gov</t>
        </is>
      </c>
      <c r="Q256" s="6" t="inlineStr">
        <is>
          <t>2026-09-26</t>
        </is>
      </c>
    </row>
    <row r="257">
      <c r="A257" s="6" t="inlineStr">
        <is>
          <t>flaxseed</t>
        </is>
      </c>
      <c r="B257" s="6" t="inlineStr">
        <is>
          <t>Ground flaxseed</t>
        </is>
      </c>
      <c r="C257" s="6" t="inlineStr">
        <is>
          <t>seed</t>
        </is>
      </c>
      <c r="D257" s="6" t="n">
        <v>534</v>
      </c>
      <c r="E257" s="6" t="n">
        <v>18</v>
      </c>
      <c r="F257" s="6" t="n">
        <v>42</v>
      </c>
      <c r="G257" s="6" t="n">
        <v>29</v>
      </c>
      <c r="H257" s="6" t="n">
        <v>27</v>
      </c>
      <c r="I257" s="6" t="n">
        <v>2</v>
      </c>
      <c r="J257" s="6" t="n">
        <v>15</v>
      </c>
      <c r="K257" s="6" t="inlineStr">
        <is>
          <t>none (placeholder)</t>
        </is>
      </c>
      <c r="L257" s="7" t="inlineStr">
        <is>
          <t>Conventional placeholder for foods with too little carbohydrate to test (non-starchy vegetables, nuts, seeds, herbs); no published measurement exists</t>
        </is>
      </c>
      <c r="M257" s="7" t="inlineStr">
        <is>
          <t>not measurable</t>
        </is>
      </c>
      <c r="N257" s="6" t="n">
        <v>15</v>
      </c>
      <c r="O257" s="7" t="inlineStr">
        <is>
          <t>clinical convention</t>
        </is>
      </c>
      <c r="P257" s="7" t="inlineStr">
        <is>
          <t>USDA FoodData Central (SR Legacy / Foundation Foods), fdc.nal.usda.gov</t>
        </is>
      </c>
      <c r="Q257" s="6" t="inlineStr">
        <is>
          <t>2026-09-26</t>
        </is>
      </c>
    </row>
    <row r="258">
      <c r="A258" s="6" t="inlineStr">
        <is>
          <t>hemp_seeds</t>
        </is>
      </c>
      <c r="B258" s="6" t="inlineStr">
        <is>
          <t>Hemp seeds</t>
        </is>
      </c>
      <c r="C258" s="6" t="inlineStr">
        <is>
          <t>seed</t>
        </is>
      </c>
      <c r="D258" s="6" t="n">
        <v>553</v>
      </c>
      <c r="E258" s="6" t="n">
        <v>32</v>
      </c>
      <c r="F258" s="6" t="n">
        <v>49</v>
      </c>
      <c r="G258" s="6" t="n">
        <v>8.699999999999999</v>
      </c>
      <c r="H258" s="6" t="n">
        <v>4</v>
      </c>
      <c r="I258" s="6" t="n">
        <v>4.7</v>
      </c>
      <c r="J258" s="6" t="n">
        <v>15</v>
      </c>
      <c r="K258" s="6" t="inlineStr">
        <is>
          <t>none (placeholder)</t>
        </is>
      </c>
      <c r="L258" s="7" t="inlineStr">
        <is>
          <t>Conventional placeholder for foods with too little carbohydrate to test (non-starchy vegetables, nuts, seeds, herbs); no published measurement exists</t>
        </is>
      </c>
      <c r="M258" s="7" t="inlineStr">
        <is>
          <t>not measurable</t>
        </is>
      </c>
      <c r="N258" s="6" t="inlineStr"/>
      <c r="O258" s="7" t="inlineStr">
        <is>
          <t>clinical convention</t>
        </is>
      </c>
      <c r="P258" s="7" t="inlineStr">
        <is>
          <t>USDA FoodData Central (SR Legacy / Foundation Foods), fdc.nal.usda.gov</t>
        </is>
      </c>
      <c r="Q258" s="6" t="inlineStr">
        <is>
          <t>2026-09-26</t>
        </is>
      </c>
    </row>
    <row r="259">
      <c r="A259" s="6" t="inlineStr">
        <is>
          <t>sunflower_seeds</t>
        </is>
      </c>
      <c r="B259" s="6" t="inlineStr">
        <is>
          <t>Sunflower seeds</t>
        </is>
      </c>
      <c r="C259" s="6" t="inlineStr">
        <is>
          <t>seed</t>
        </is>
      </c>
      <c r="D259" s="6" t="n">
        <v>584</v>
      </c>
      <c r="E259" s="6" t="n">
        <v>21</v>
      </c>
      <c r="F259" s="6" t="n">
        <v>51</v>
      </c>
      <c r="G259" s="6" t="n">
        <v>20</v>
      </c>
      <c r="H259" s="6" t="n">
        <v>8.6</v>
      </c>
      <c r="I259" s="6" t="n">
        <v>11.4</v>
      </c>
      <c r="J259" s="6" t="n">
        <v>15</v>
      </c>
      <c r="K259" s="6" t="inlineStr">
        <is>
          <t>none (placeholder)</t>
        </is>
      </c>
      <c r="L259" s="7" t="inlineStr">
        <is>
          <t>Conventional placeholder for foods with too little carbohydrate to test (non-starchy vegetables, nuts, seeds, herbs); no published measurement exists</t>
        </is>
      </c>
      <c r="M259" s="7" t="inlineStr">
        <is>
          <t>not measurable</t>
        </is>
      </c>
      <c r="N259" s="6" t="n">
        <v>15</v>
      </c>
      <c r="O259" s="7" t="inlineStr">
        <is>
          <t>clinical convention</t>
        </is>
      </c>
      <c r="P259" s="7" t="inlineStr">
        <is>
          <t>USDA FoodData Central (SR Legacy / Foundation Foods), fdc.nal.usda.gov</t>
        </is>
      </c>
      <c r="Q259" s="6" t="inlineStr">
        <is>
          <t>2026-09-26</t>
        </is>
      </c>
    </row>
    <row r="260">
      <c r="A260" s="6" t="inlineStr">
        <is>
          <t>pumpkin_seeds</t>
        </is>
      </c>
      <c r="B260" s="6" t="inlineStr">
        <is>
          <t>Pumpkin seeds (pepitas)</t>
        </is>
      </c>
      <c r="C260" s="6" t="inlineStr">
        <is>
          <t>seed</t>
        </is>
      </c>
      <c r="D260" s="6" t="n">
        <v>559</v>
      </c>
      <c r="E260" s="6" t="n">
        <v>30</v>
      </c>
      <c r="F260" s="6" t="n">
        <v>49</v>
      </c>
      <c r="G260" s="6" t="n">
        <v>11</v>
      </c>
      <c r="H260" s="6" t="n">
        <v>6</v>
      </c>
      <c r="I260" s="6" t="n">
        <v>5</v>
      </c>
      <c r="J260" s="6" t="n">
        <v>15</v>
      </c>
      <c r="K260" s="6" t="inlineStr">
        <is>
          <t>none (placeholder)</t>
        </is>
      </c>
      <c r="L260" s="7" t="inlineStr">
        <is>
          <t>Conventional placeholder for foods with too little carbohydrate to test (non-starchy vegetables, nuts, seeds, herbs); no published measurement exists</t>
        </is>
      </c>
      <c r="M260" s="7" t="inlineStr">
        <is>
          <t>not measurable</t>
        </is>
      </c>
      <c r="N260" s="6" t="n">
        <v>15</v>
      </c>
      <c r="O260" s="7" t="inlineStr">
        <is>
          <t>clinical convention</t>
        </is>
      </c>
      <c r="P260" s="7" t="inlineStr">
        <is>
          <t>USDA FoodData Central (SR Legacy / Foundation Foods), fdc.nal.usda.gov</t>
        </is>
      </c>
      <c r="Q260" s="6" t="inlineStr">
        <is>
          <t>2026-09-26</t>
        </is>
      </c>
    </row>
    <row r="261">
      <c r="A261" s="6" t="inlineStr">
        <is>
          <t>sesame_seeds</t>
        </is>
      </c>
      <c r="B261" s="6" t="inlineStr">
        <is>
          <t>Sesame seeds</t>
        </is>
      </c>
      <c r="C261" s="6" t="inlineStr">
        <is>
          <t>seed</t>
        </is>
      </c>
      <c r="D261" s="6" t="n">
        <v>573</v>
      </c>
      <c r="E261" s="6" t="n">
        <v>18</v>
      </c>
      <c r="F261" s="6" t="n">
        <v>50</v>
      </c>
      <c r="G261" s="6" t="n">
        <v>23</v>
      </c>
      <c r="H261" s="6" t="n">
        <v>12</v>
      </c>
      <c r="I261" s="6" t="n">
        <v>11</v>
      </c>
      <c r="J261" s="6" t="n">
        <v>35</v>
      </c>
      <c r="K261" s="6" t="inlineStr">
        <is>
          <t>low</t>
        </is>
      </c>
      <c r="L261" s="7" t="inlineStr">
        <is>
          <t>Estimated from the closest tested food; no direct measurement found in the pooled sources</t>
        </is>
      </c>
      <c r="M261" s="7" t="inlineStr">
        <is>
          <t>no direct match</t>
        </is>
      </c>
      <c r="N261" s="6" t="n">
        <v>35</v>
      </c>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olive_oil</t>
        </is>
      </c>
      <c r="B262" s="6" t="inlineStr">
        <is>
          <t>Extra-virgin olive oil</t>
        </is>
      </c>
      <c r="C262" s="6" t="inlineStr">
        <is>
          <t>fat</t>
        </is>
      </c>
      <c r="D262" s="6" t="n">
        <v>884</v>
      </c>
      <c r="E262" s="6" t="n">
        <v>0</v>
      </c>
      <c r="F262" s="6" t="n">
        <v>100</v>
      </c>
      <c r="G262" s="6" t="n">
        <v>0</v>
      </c>
      <c r="H262" s="6" t="n">
        <v>0</v>
      </c>
      <c r="I262" s="6" t="n">
        <v>0</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avocado_oil</t>
        </is>
      </c>
      <c r="B263" s="6" t="inlineStr">
        <is>
          <t>Avocado oil</t>
        </is>
      </c>
      <c r="C263" s="6" t="inlineStr">
        <is>
          <t>fat</t>
        </is>
      </c>
      <c r="D263" s="6" t="n">
        <v>884</v>
      </c>
      <c r="E263" s="6" t="n">
        <v>0</v>
      </c>
      <c r="F263" s="6" t="n">
        <v>100</v>
      </c>
      <c r="G263" s="6" t="n">
        <v>0</v>
      </c>
      <c r="H263" s="6" t="n">
        <v>0</v>
      </c>
      <c r="I263" s="6" t="n">
        <v>0</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coconut_oil</t>
        </is>
      </c>
      <c r="B264" s="6" t="inlineStr">
        <is>
          <t>Coconut oil</t>
        </is>
      </c>
      <c r="C264" s="6" t="inlineStr">
        <is>
          <t>fat</t>
        </is>
      </c>
      <c r="D264" s="6" t="n">
        <v>862</v>
      </c>
      <c r="E264" s="6" t="n">
        <v>0</v>
      </c>
      <c r="F264" s="6" t="n">
        <v>100</v>
      </c>
      <c r="G264" s="6" t="n">
        <v>0</v>
      </c>
      <c r="H264" s="6" t="n">
        <v>0</v>
      </c>
      <c r="I264" s="6" t="n">
        <v>0</v>
      </c>
      <c r="J264" s="6" t="n">
        <v>0</v>
      </c>
      <c r="K264" s="6" t="inlineStr">
        <is>
          <t>definitional</t>
        </is>
      </c>
      <c r="L264" s="7" t="inlineStr">
        <is>
          <t>No available carbohydrate — GI is 0 by definition (protein / fat / water)</t>
        </is>
      </c>
      <c r="M264" s="7" t="inlineStr">
        <is>
          <t>n/a</t>
        </is>
      </c>
      <c r="N264" s="6" t="inlineStr"/>
      <c r="O264" s="7" t="inlineStr">
        <is>
          <t>ISO 26642:2010</t>
        </is>
      </c>
      <c r="P264" s="7" t="inlineStr">
        <is>
          <t>USDA FoodData Central (SR Legacy / Foundation Foods), fdc.nal.usda.gov</t>
        </is>
      </c>
      <c r="Q264" s="6" t="inlineStr">
        <is>
          <t>2026-09-26</t>
        </is>
      </c>
    </row>
    <row r="265">
      <c r="A265" s="6" t="inlineStr">
        <is>
          <t>sesame_oil</t>
        </is>
      </c>
      <c r="B265" s="6" t="inlineStr">
        <is>
          <t>Toasted sesame oil</t>
        </is>
      </c>
      <c r="C265" s="6" t="inlineStr">
        <is>
          <t>fat</t>
        </is>
      </c>
      <c r="D265" s="6" t="n">
        <v>884</v>
      </c>
      <c r="E265" s="6" t="n">
        <v>0</v>
      </c>
      <c r="F265" s="6" t="n">
        <v>100</v>
      </c>
      <c r="G265" s="6" t="n">
        <v>0</v>
      </c>
      <c r="H265" s="6" t="n">
        <v>0</v>
      </c>
      <c r="I265" s="6" t="n">
        <v>0</v>
      </c>
      <c r="J265" s="6" t="n">
        <v>0</v>
      </c>
      <c r="K265" s="6" t="inlineStr">
        <is>
          <t>definitional</t>
        </is>
      </c>
      <c r="L265" s="7" t="inlineStr">
        <is>
          <t>No available carbohydrate — GI is 0 by definition (protein / fat / water)</t>
        </is>
      </c>
      <c r="M265" s="7" t="inlineStr">
        <is>
          <t>n/a</t>
        </is>
      </c>
      <c r="N265" s="6" t="inlineStr"/>
      <c r="O265" s="7" t="inlineStr">
        <is>
          <t>ISO 26642:2010</t>
        </is>
      </c>
      <c r="P265" s="7" t="inlineStr">
        <is>
          <t>USDA FoodData Central (SR Legacy / Foundation Foods), fdc.nal.usda.gov</t>
        </is>
      </c>
      <c r="Q265" s="6" t="inlineStr">
        <is>
          <t>2026-09-26</t>
        </is>
      </c>
    </row>
    <row r="266">
      <c r="A266" s="6" t="inlineStr">
        <is>
          <t>mayo</t>
        </is>
      </c>
      <c r="B266" s="6" t="inlineStr">
        <is>
          <t>Mayonnaise (avocado oil)</t>
        </is>
      </c>
      <c r="C266" s="6" t="inlineStr">
        <is>
          <t>fat</t>
        </is>
      </c>
      <c r="D266" s="6" t="n">
        <v>700</v>
      </c>
      <c r="E266" s="6" t="n">
        <v>0</v>
      </c>
      <c r="F266" s="6" t="n">
        <v>78</v>
      </c>
      <c r="G266" s="6" t="n">
        <v>0</v>
      </c>
      <c r="H266" s="6" t="n">
        <v>0</v>
      </c>
      <c r="I266" s="6" t="n">
        <v>0</v>
      </c>
      <c r="J266" s="6" t="n">
        <v>0</v>
      </c>
      <c r="K266" s="6" t="inlineStr">
        <is>
          <t>definitional</t>
        </is>
      </c>
      <c r="L266" s="7" t="inlineStr">
        <is>
          <t>No available carbohydrate — GI is 0 by definition (protein / fat / water)</t>
        </is>
      </c>
      <c r="M266" s="7" t="inlineStr">
        <is>
          <t>n/a</t>
        </is>
      </c>
      <c r="N266" s="6" t="inlineStr"/>
      <c r="O266" s="7" t="inlineStr">
        <is>
          <t>ISO 26642:2010</t>
        </is>
      </c>
      <c r="P266" s="7" t="inlineStr">
        <is>
          <t>USDA FoodData Central (SR Legacy / Foundation Foods), fdc.nal.usda.gov</t>
        </is>
      </c>
      <c r="Q266" s="6" t="inlineStr">
        <is>
          <t>2026-09-26</t>
        </is>
      </c>
    </row>
    <row r="267">
      <c r="A267" s="6" t="inlineStr">
        <is>
          <t>dijon</t>
        </is>
      </c>
      <c r="B267" s="6" t="inlineStr">
        <is>
          <t>Dijon mustard</t>
        </is>
      </c>
      <c r="C267" s="6" t="inlineStr">
        <is>
          <t>condiment</t>
        </is>
      </c>
      <c r="D267" s="6" t="n">
        <v>66</v>
      </c>
      <c r="E267" s="6" t="n">
        <v>4</v>
      </c>
      <c r="F267" s="6" t="n">
        <v>3.3</v>
      </c>
      <c r="G267" s="6" t="n">
        <v>5</v>
      </c>
      <c r="H267" s="6" t="n">
        <v>3</v>
      </c>
      <c r="I267" s="6" t="n">
        <v>2</v>
      </c>
      <c r="J267" s="6" t="n">
        <v>15</v>
      </c>
      <c r="K267" s="6" t="inlineStr">
        <is>
          <t>none (placeholder)</t>
        </is>
      </c>
      <c r="L267" s="7" t="inlineStr">
        <is>
          <t>Conventional placeholder for foods with too little carbohydrate to test (non-starchy vegetables, nuts, seeds, herbs); no published measurement exists</t>
        </is>
      </c>
      <c r="M267" s="7" t="inlineStr">
        <is>
          <t>not measurable</t>
        </is>
      </c>
      <c r="N267" s="6" t="inlineStr"/>
      <c r="O267" s="7" t="inlineStr">
        <is>
          <t>clinical convention</t>
        </is>
      </c>
      <c r="P267" s="7" t="inlineStr">
        <is>
          <t>USDA FoodData Central (SR Legacy / Foundation Foods), fdc.nal.usda.gov</t>
        </is>
      </c>
      <c r="Q267" s="6" t="inlineStr">
        <is>
          <t>2026-09-26</t>
        </is>
      </c>
    </row>
    <row r="268">
      <c r="A268" s="6" t="inlineStr">
        <is>
          <t>yellow_mustard</t>
        </is>
      </c>
      <c r="B268" s="6" t="inlineStr">
        <is>
          <t>Yellow mustard</t>
        </is>
      </c>
      <c r="C268" s="6" t="inlineStr">
        <is>
          <t>condiment</t>
        </is>
      </c>
      <c r="D268" s="6" t="n">
        <v>60</v>
      </c>
      <c r="E268" s="6" t="n">
        <v>4</v>
      </c>
      <c r="F268" s="6" t="n">
        <v>3</v>
      </c>
      <c r="G268" s="6" t="n">
        <v>5</v>
      </c>
      <c r="H268" s="6" t="n">
        <v>3</v>
      </c>
      <c r="I268" s="6" t="n">
        <v>2</v>
      </c>
      <c r="J268" s="6" t="n">
        <v>15</v>
      </c>
      <c r="K268" s="6" t="inlineStr">
        <is>
          <t>none (placeholder)</t>
        </is>
      </c>
      <c r="L268" s="7" t="inlineStr">
        <is>
          <t>Conventional placeholder for foods with too little carbohydrate to test (non-starchy vegetables, nuts, seeds, herbs); no published measurement exists</t>
        </is>
      </c>
      <c r="M268" s="7" t="inlineStr">
        <is>
          <t>not measurable</t>
        </is>
      </c>
      <c r="N268" s="6" t="inlineStr"/>
      <c r="O268" s="7" t="inlineStr">
        <is>
          <t>clinical convention</t>
        </is>
      </c>
      <c r="P268" s="7" t="inlineStr">
        <is>
          <t>USDA FoodData Central (SR Legacy / Foundation Foods), fdc.nal.usda.gov</t>
        </is>
      </c>
      <c r="Q268" s="6" t="inlineStr">
        <is>
          <t>2026-09-26</t>
        </is>
      </c>
    </row>
    <row r="269">
      <c r="A269" s="6" t="inlineStr">
        <is>
          <t>soy_sauce</t>
        </is>
      </c>
      <c r="B269" s="6" t="inlineStr">
        <is>
          <t>Soy sauce, low sodium</t>
        </is>
      </c>
      <c r="C269" s="6" t="inlineStr">
        <is>
          <t>condiment</t>
        </is>
      </c>
      <c r="D269" s="6" t="n">
        <v>53</v>
      </c>
      <c r="E269" s="6" t="n">
        <v>8</v>
      </c>
      <c r="F269" s="6" t="n">
        <v>0</v>
      </c>
      <c r="G269" s="6" t="n">
        <v>5</v>
      </c>
      <c r="H269" s="6" t="n">
        <v>0.8</v>
      </c>
      <c r="I269" s="6" t="n">
        <v>4.2</v>
      </c>
      <c r="J269" s="6" t="n">
        <v>20</v>
      </c>
      <c r="K269" s="6" t="inlineStr">
        <is>
          <t>low</t>
        </is>
      </c>
      <c r="L269" s="7" t="inlineStr">
        <is>
          <t>Estimated from the closest tested food; no direct measurement found in the pooled sources</t>
        </is>
      </c>
      <c r="M269" s="7" t="inlineStr">
        <is>
          <t>no direct match</t>
        </is>
      </c>
      <c r="N269" s="6" t="n">
        <v>20</v>
      </c>
      <c r="O2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9" s="7" t="inlineStr">
        <is>
          <t>USDA FoodData Central (SR Legacy / Foundation Foods), fdc.nal.usda.gov</t>
        </is>
      </c>
      <c r="Q269" s="6" t="inlineStr">
        <is>
          <t>2026-09-26</t>
        </is>
      </c>
    </row>
    <row r="270">
      <c r="A270" s="6" t="inlineStr">
        <is>
          <t>tamari</t>
        </is>
      </c>
      <c r="B270" s="6" t="inlineStr">
        <is>
          <t>Tamari (gluten-free soy sauce)</t>
        </is>
      </c>
      <c r="C270" s="6" t="inlineStr">
        <is>
          <t>condiment</t>
        </is>
      </c>
      <c r="D270" s="6" t="n">
        <v>60</v>
      </c>
      <c r="E270" s="6" t="n">
        <v>10</v>
      </c>
      <c r="F270" s="6" t="n">
        <v>0</v>
      </c>
      <c r="G270" s="6" t="n">
        <v>5</v>
      </c>
      <c r="H270" s="6" t="n">
        <v>0.8</v>
      </c>
      <c r="I270" s="6" t="n">
        <v>4.2</v>
      </c>
      <c r="J270" s="6" t="n">
        <v>20</v>
      </c>
      <c r="K270" s="6" t="inlineStr">
        <is>
          <t>low</t>
        </is>
      </c>
      <c r="L270" s="7" t="inlineStr">
        <is>
          <t>Estimated from the closest tested food; no direct measurement found in the pooled sources</t>
        </is>
      </c>
      <c r="M270" s="7" t="inlineStr">
        <is>
          <t>no direct match</t>
        </is>
      </c>
      <c r="N270" s="6" t="inlineStr"/>
      <c r="O2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0" s="7" t="inlineStr">
        <is>
          <t>USDA FoodData Central (SR Legacy / Foundation Foods), fdc.nal.usda.gov</t>
        </is>
      </c>
      <c r="Q270" s="6" t="inlineStr">
        <is>
          <t>2026-09-26</t>
        </is>
      </c>
    </row>
    <row r="271">
      <c r="A271" s="6" t="inlineStr">
        <is>
          <t>coconut_aminos</t>
        </is>
      </c>
      <c r="B271" s="6" t="inlineStr">
        <is>
          <t>Coconut aminos</t>
        </is>
      </c>
      <c r="C271" s="6" t="inlineStr">
        <is>
          <t>condiment</t>
        </is>
      </c>
      <c r="D271" s="6" t="n">
        <v>90</v>
      </c>
      <c r="E271" s="6" t="n">
        <v>0</v>
      </c>
      <c r="F271" s="6" t="n">
        <v>0</v>
      </c>
      <c r="G271" s="6" t="n">
        <v>22</v>
      </c>
      <c r="H271" s="6" t="n">
        <v>0</v>
      </c>
      <c r="I271" s="6" t="n">
        <v>22</v>
      </c>
      <c r="J271" s="6" t="n">
        <v>35</v>
      </c>
      <c r="K271" s="6" t="inlineStr">
        <is>
          <t>low</t>
        </is>
      </c>
      <c r="L271" s="7" t="inlineStr">
        <is>
          <t>Estimated from the closest tested food; no direct measurement found in the pooled sources</t>
        </is>
      </c>
      <c r="M271" s="7" t="inlineStr">
        <is>
          <t>no direct match</t>
        </is>
      </c>
      <c r="N271" s="6" t="inlineStr"/>
      <c r="O27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1" s="7" t="inlineStr">
        <is>
          <t>USDA FoodData Central (SR Legacy / Foundation Foods), fdc.nal.usda.gov</t>
        </is>
      </c>
      <c r="Q271" s="6" t="inlineStr">
        <is>
          <t>2026-09-26</t>
        </is>
      </c>
    </row>
    <row r="272">
      <c r="A272" s="6" t="inlineStr">
        <is>
          <t>fish_sauce</t>
        </is>
      </c>
      <c r="B272" s="6" t="inlineStr">
        <is>
          <t>Fish sauce</t>
        </is>
      </c>
      <c r="C272" s="6" t="inlineStr">
        <is>
          <t>condiment</t>
        </is>
      </c>
      <c r="D272" s="6" t="n">
        <v>35</v>
      </c>
      <c r="E272" s="6" t="n">
        <v>5</v>
      </c>
      <c r="F272" s="6" t="n">
        <v>0</v>
      </c>
      <c r="G272" s="6" t="n">
        <v>4</v>
      </c>
      <c r="H272" s="6" t="n">
        <v>0</v>
      </c>
      <c r="I272" s="6" t="n">
        <v>4</v>
      </c>
      <c r="J272" s="6" t="n">
        <v>0</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rice_vinegar</t>
        </is>
      </c>
      <c r="B273" s="6" t="inlineStr">
        <is>
          <t>Rice vinegar, unseasoned</t>
        </is>
      </c>
      <c r="C273" s="6" t="inlineStr">
        <is>
          <t>condiment</t>
        </is>
      </c>
      <c r="D273" s="6" t="n">
        <v>18</v>
      </c>
      <c r="E273" s="6" t="n">
        <v>0</v>
      </c>
      <c r="F273" s="6" t="n">
        <v>0</v>
      </c>
      <c r="G273" s="6" t="n">
        <v>0.5</v>
      </c>
      <c r="H273" s="6" t="n">
        <v>0</v>
      </c>
      <c r="I273" s="6" t="n">
        <v>0.5</v>
      </c>
      <c r="J273" s="6" t="n">
        <v>0</v>
      </c>
      <c r="K273" s="6" t="inlineStr">
        <is>
          <t>definitional</t>
        </is>
      </c>
      <c r="L273" s="7" t="inlineStr">
        <is>
          <t>No available carbohydrate — GI is 0 by definition (protein / fat / water)</t>
        </is>
      </c>
      <c r="M273" s="7" t="inlineStr">
        <is>
          <t>n/a</t>
        </is>
      </c>
      <c r="N273" s="6" t="inlineStr"/>
      <c r="O273" s="7" t="inlineStr">
        <is>
          <t>ISO 26642:2010</t>
        </is>
      </c>
      <c r="P273" s="7" t="inlineStr">
        <is>
          <t>USDA FoodData Central (SR Legacy / Foundation Foods), fdc.nal.usda.gov</t>
        </is>
      </c>
      <c r="Q273" s="6" t="inlineStr">
        <is>
          <t>2026-09-26</t>
        </is>
      </c>
    </row>
    <row r="274">
      <c r="A274" s="6" t="inlineStr">
        <is>
          <t>apple_cider_vinegar</t>
        </is>
      </c>
      <c r="B274" s="6" t="inlineStr">
        <is>
          <t>Apple cider vinegar</t>
        </is>
      </c>
      <c r="C274" s="6" t="inlineStr">
        <is>
          <t>condiment</t>
        </is>
      </c>
      <c r="D274" s="6" t="n">
        <v>21</v>
      </c>
      <c r="E274" s="6" t="n">
        <v>0</v>
      </c>
      <c r="F274" s="6" t="n">
        <v>0</v>
      </c>
      <c r="G274" s="6" t="n">
        <v>0.9</v>
      </c>
      <c r="H274" s="6" t="n">
        <v>0</v>
      </c>
      <c r="I274" s="6" t="n">
        <v>0.9</v>
      </c>
      <c r="J274" s="6" t="n">
        <v>0</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red_wine_vinegar</t>
        </is>
      </c>
      <c r="B275" s="6" t="inlineStr">
        <is>
          <t>Red wine vinegar</t>
        </is>
      </c>
      <c r="C275" s="6" t="inlineStr">
        <is>
          <t>condiment</t>
        </is>
      </c>
      <c r="D275" s="6" t="n">
        <v>19</v>
      </c>
      <c r="E275" s="6" t="n">
        <v>0</v>
      </c>
      <c r="F275" s="6" t="n">
        <v>0</v>
      </c>
      <c r="G275" s="6" t="n">
        <v>0.3</v>
      </c>
      <c r="H275" s="6" t="n">
        <v>0</v>
      </c>
      <c r="I275" s="6" t="n">
        <v>0.3</v>
      </c>
      <c r="J275" s="6" t="n">
        <v>0</v>
      </c>
      <c r="K275" s="6" t="inlineStr">
        <is>
          <t>definitional</t>
        </is>
      </c>
      <c r="L275" s="7" t="inlineStr">
        <is>
          <t>No available carbohydrate — GI is 0 by definition (protein / fat / water)</t>
        </is>
      </c>
      <c r="M275" s="7" t="inlineStr">
        <is>
          <t>n/a</t>
        </is>
      </c>
      <c r="N275" s="6" t="inlineStr"/>
      <c r="O275" s="7" t="inlineStr">
        <is>
          <t>ISO 26642:2010</t>
        </is>
      </c>
      <c r="P275" s="7" t="inlineStr">
        <is>
          <t>USDA FoodData Central (SR Legacy / Foundation Foods), fdc.nal.usda.gov</t>
        </is>
      </c>
      <c r="Q275" s="6" t="inlineStr">
        <is>
          <t>2026-09-26</t>
        </is>
      </c>
    </row>
    <row r="276">
      <c r="A276" s="6" t="inlineStr">
        <is>
          <t>white_wine_vinegar</t>
        </is>
      </c>
      <c r="B276" s="6" t="inlineStr">
        <is>
          <t>White wine vinegar</t>
        </is>
      </c>
      <c r="C276" s="6" t="inlineStr">
        <is>
          <t>condiment</t>
        </is>
      </c>
      <c r="D276" s="6" t="n">
        <v>19</v>
      </c>
      <c r="E276" s="6" t="n">
        <v>0</v>
      </c>
      <c r="F276" s="6" t="n">
        <v>0</v>
      </c>
      <c r="G276" s="6" t="n">
        <v>0.3</v>
      </c>
      <c r="H276" s="6" t="n">
        <v>0</v>
      </c>
      <c r="I276" s="6" t="n">
        <v>0.3</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balsamic_vinegar</t>
        </is>
      </c>
      <c r="B277" s="6" t="inlineStr">
        <is>
          <t>Balsamic vinegar</t>
        </is>
      </c>
      <c r="C277" s="6" t="inlineStr">
        <is>
          <t>condiment</t>
        </is>
      </c>
      <c r="D277" s="6" t="n">
        <v>88</v>
      </c>
      <c r="E277" s="6" t="n">
        <v>0.5</v>
      </c>
      <c r="F277" s="6" t="n">
        <v>0</v>
      </c>
      <c r="G277" s="6" t="n">
        <v>17</v>
      </c>
      <c r="H277" s="6" t="n">
        <v>0</v>
      </c>
      <c r="I277" s="6" t="n">
        <v>17</v>
      </c>
      <c r="J277" s="6" t="n">
        <v>35</v>
      </c>
      <c r="K277" s="6" t="inlineStr">
        <is>
          <t>low</t>
        </is>
      </c>
      <c r="L277" s="7" t="inlineStr">
        <is>
          <t>Estimated from the closest tested food; no direct measurement found in the pooled sources</t>
        </is>
      </c>
      <c r="M277" s="7" t="inlineStr">
        <is>
          <t>no direct match</t>
        </is>
      </c>
      <c r="N277" s="6" t="n">
        <v>35</v>
      </c>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hot_sauce</t>
        </is>
      </c>
      <c r="B278" s="6" t="inlineStr">
        <is>
          <t>Hot sauce (Tabasco/Frank's)</t>
        </is>
      </c>
      <c r="C278" s="6" t="inlineStr">
        <is>
          <t>condiment</t>
        </is>
      </c>
      <c r="D278" s="6" t="n">
        <v>12</v>
      </c>
      <c r="E278" s="6" t="n">
        <v>0.5</v>
      </c>
      <c r="F278" s="6" t="n">
        <v>0.4</v>
      </c>
      <c r="G278" s="6" t="n">
        <v>1.8</v>
      </c>
      <c r="H278" s="6" t="n">
        <v>0.3</v>
      </c>
      <c r="I278" s="6" t="n">
        <v>1.5</v>
      </c>
      <c r="J278" s="6" t="n">
        <v>15</v>
      </c>
      <c r="K278" s="6" t="inlineStr">
        <is>
          <t>none (placeholder)</t>
        </is>
      </c>
      <c r="L278" s="7" t="inlineStr">
        <is>
          <t>Conventional placeholder for foods with too little carbohydrate to test (non-starchy vegetables, nuts, seeds, herbs); no published measurement exists</t>
        </is>
      </c>
      <c r="M278" s="7" t="inlineStr">
        <is>
          <t>not measurable</t>
        </is>
      </c>
      <c r="N278" s="6" t="inlineStr"/>
      <c r="O278" s="7" t="inlineStr">
        <is>
          <t>clinical convention</t>
        </is>
      </c>
      <c r="P278" s="7" t="inlineStr">
        <is>
          <t>USDA FoodData Central (SR Legacy / Foundation Foods), fdc.nal.usda.gov</t>
        </is>
      </c>
      <c r="Q278" s="6" t="inlineStr">
        <is>
          <t>2026-09-26</t>
        </is>
      </c>
    </row>
    <row r="279">
      <c r="A279" s="6" t="inlineStr">
        <is>
          <t>sriracha</t>
        </is>
      </c>
      <c r="B279" s="6" t="inlineStr">
        <is>
          <t>Sriracha</t>
        </is>
      </c>
      <c r="C279" s="6" t="inlineStr">
        <is>
          <t>condiment</t>
        </is>
      </c>
      <c r="D279" s="6" t="n">
        <v>93</v>
      </c>
      <c r="E279" s="6" t="n">
        <v>2</v>
      </c>
      <c r="F279" s="6" t="n">
        <v>1</v>
      </c>
      <c r="G279" s="6" t="n">
        <v>19</v>
      </c>
      <c r="H279" s="6" t="n">
        <v>2</v>
      </c>
      <c r="I279" s="6" t="n">
        <v>17</v>
      </c>
      <c r="J279" s="6" t="n">
        <v>35</v>
      </c>
      <c r="K279" s="6" t="inlineStr">
        <is>
          <t>low</t>
        </is>
      </c>
      <c r="L279" s="7" t="inlineStr">
        <is>
          <t>Estimated from the closest tested food; no direct measurement found in the pooled sources</t>
        </is>
      </c>
      <c r="M279" s="7" t="inlineStr">
        <is>
          <t>no direct match</t>
        </is>
      </c>
      <c r="N279" s="6" t="inlineStr"/>
      <c r="O2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9" s="7" t="inlineStr">
        <is>
          <t>USDA FoodData Central (SR Legacy / Foundation Foods), fdc.nal.usda.gov</t>
        </is>
      </c>
      <c r="Q279" s="6" t="inlineStr">
        <is>
          <t>2026-09-26</t>
        </is>
      </c>
    </row>
    <row r="280">
      <c r="A280" s="6" t="inlineStr">
        <is>
          <t>salsa</t>
        </is>
      </c>
      <c r="B280" s="6" t="inlineStr">
        <is>
          <t>Salsa, no sugar added</t>
        </is>
      </c>
      <c r="C280" s="6" t="inlineStr">
        <is>
          <t>condiment</t>
        </is>
      </c>
      <c r="D280" s="6" t="n">
        <v>36</v>
      </c>
      <c r="E280" s="6" t="n">
        <v>1.5</v>
      </c>
      <c r="F280" s="6" t="n">
        <v>0.2</v>
      </c>
      <c r="G280" s="6" t="n">
        <v>7</v>
      </c>
      <c r="H280" s="6" t="n">
        <v>1.5</v>
      </c>
      <c r="I280" s="6" t="n">
        <v>5.5</v>
      </c>
      <c r="J280" s="6" t="n">
        <v>30</v>
      </c>
      <c r="K280" s="6" t="inlineStr">
        <is>
          <t>low</t>
        </is>
      </c>
      <c r="L280" s="7" t="inlineStr">
        <is>
          <t>Estimated from the closest tested food; no direct measurement found in the pooled sources</t>
        </is>
      </c>
      <c r="M280" s="7" t="inlineStr">
        <is>
          <t>no direct match</t>
        </is>
      </c>
      <c r="N280" s="6" t="n">
        <v>30</v>
      </c>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salsa_verde</t>
        </is>
      </c>
      <c r="B281" s="6" t="inlineStr">
        <is>
          <t>Salsa verde</t>
        </is>
      </c>
      <c r="C281" s="6" t="inlineStr">
        <is>
          <t>condiment</t>
        </is>
      </c>
      <c r="D281" s="6" t="n">
        <v>30</v>
      </c>
      <c r="E281" s="6" t="n">
        <v>1</v>
      </c>
      <c r="F281" s="6" t="n">
        <v>0.5</v>
      </c>
      <c r="G281" s="6" t="n">
        <v>6</v>
      </c>
      <c r="H281" s="6" t="n">
        <v>1.5</v>
      </c>
      <c r="I281" s="6" t="n">
        <v>4.5</v>
      </c>
      <c r="J281" s="6" t="n">
        <v>30</v>
      </c>
      <c r="K281" s="6" t="inlineStr">
        <is>
          <t>low</t>
        </is>
      </c>
      <c r="L281" s="7" t="inlineStr">
        <is>
          <t>Estimated from the closest tested food; no direct measurement found in the pooled sources</t>
        </is>
      </c>
      <c r="M281" s="7" t="inlineStr">
        <is>
          <t>no direct match</t>
        </is>
      </c>
      <c r="N281" s="6" t="inlineStr"/>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pico_de_gallo</t>
        </is>
      </c>
      <c r="B282" s="6" t="inlineStr">
        <is>
          <t>Pico de gallo</t>
        </is>
      </c>
      <c r="C282" s="6" t="inlineStr">
        <is>
          <t>condiment</t>
        </is>
      </c>
      <c r="D282" s="6" t="n">
        <v>20</v>
      </c>
      <c r="E282" s="6" t="n">
        <v>0.9</v>
      </c>
      <c r="F282" s="6" t="n">
        <v>0.2</v>
      </c>
      <c r="G282" s="6" t="n">
        <v>4.5</v>
      </c>
      <c r="H282" s="6" t="n">
        <v>1.2</v>
      </c>
      <c r="I282" s="6" t="n">
        <v>3.3</v>
      </c>
      <c r="J282" s="6" t="n">
        <v>15</v>
      </c>
      <c r="K282" s="6" t="inlineStr">
        <is>
          <t>none (placeholder)</t>
        </is>
      </c>
      <c r="L282" s="7" t="inlineStr">
        <is>
          <t>Conventional placeholder for foods with too little carbohydrate to test (non-starchy vegetables, nuts, seeds, herbs); no published measurement exists</t>
        </is>
      </c>
      <c r="M282" s="7" t="inlineStr">
        <is>
          <t>not measurable</t>
        </is>
      </c>
      <c r="N282" s="6" t="inlineStr"/>
      <c r="O282" s="7" t="inlineStr">
        <is>
          <t>clinical convention</t>
        </is>
      </c>
      <c r="P282" s="7" t="inlineStr">
        <is>
          <t>USDA FoodData Central (SR Legacy / Foundation Foods), fdc.nal.usda.gov</t>
        </is>
      </c>
      <c r="Q282" s="6" t="inlineStr">
        <is>
          <t>2026-09-26</t>
        </is>
      </c>
    </row>
    <row r="283">
      <c r="A283" s="6" t="inlineStr">
        <is>
          <t>pesto</t>
        </is>
      </c>
      <c r="B283" s="6" t="inlineStr">
        <is>
          <t>Basil pesto</t>
        </is>
      </c>
      <c r="C283" s="6" t="inlineStr">
        <is>
          <t>condiment</t>
        </is>
      </c>
      <c r="D283" s="6" t="n">
        <v>400</v>
      </c>
      <c r="E283" s="6" t="n">
        <v>5</v>
      </c>
      <c r="F283" s="6" t="n">
        <v>40</v>
      </c>
      <c r="G283" s="6" t="n">
        <v>6</v>
      </c>
      <c r="H283" s="6" t="n">
        <v>2</v>
      </c>
      <c r="I283" s="6" t="n">
        <v>4</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marinara</t>
        </is>
      </c>
      <c r="B284" s="6" t="inlineStr">
        <is>
          <t>Marinara sauce, no sugar added</t>
        </is>
      </c>
      <c r="C284" s="6" t="inlineStr">
        <is>
          <t>condiment</t>
        </is>
      </c>
      <c r="D284" s="6" t="n">
        <v>45</v>
      </c>
      <c r="E284" s="6" t="n">
        <v>1.5</v>
      </c>
      <c r="F284" s="6" t="n">
        <v>2.5</v>
      </c>
      <c r="G284" s="6" t="n">
        <v>5</v>
      </c>
      <c r="H284" s="6" t="n">
        <v>1.5</v>
      </c>
      <c r="I284" s="6" t="n">
        <v>3.5</v>
      </c>
      <c r="J284" s="6" t="n">
        <v>35</v>
      </c>
      <c r="K284" s="6" t="inlineStr">
        <is>
          <t>medium</t>
        </is>
      </c>
      <c r="L284" s="7" t="inlineStr">
        <is>
          <t>2021 International Tables, Suppl. Tables 1+2 (incl. studies with method deviations)</t>
        </is>
      </c>
      <c r="M284" s="7" t="inlineStr">
        <is>
          <t>median of 1 tested foods, range 35-35</t>
        </is>
      </c>
      <c r="N284" s="6" t="n">
        <v>35</v>
      </c>
      <c r="O284" s="7" t="inlineStr">
        <is>
          <t>Atkinson FS, Brand-Miller JC, Foster-Powell K, Buyken AE, Goletzke J. International tables of glycemic index and glycemic load values 2021. Am J Clin Nutr 2021;114(5):1625-32. doi:10.1093/ajcn/nqab233</t>
        </is>
      </c>
      <c r="P284" s="7" t="inlineStr">
        <is>
          <t>USDA FoodData Central (SR Legacy / Foundation Foods), fdc.nal.usda.gov</t>
        </is>
      </c>
      <c r="Q284" s="6" t="inlineStr">
        <is>
          <t>2026-09-26</t>
        </is>
      </c>
    </row>
    <row r="285">
      <c r="A285" s="6" t="inlineStr">
        <is>
          <t>crushed_tomatoes</t>
        </is>
      </c>
      <c r="B285" s="6" t="inlineStr">
        <is>
          <t>Crushed tomatoes, canned</t>
        </is>
      </c>
      <c r="C285" s="6" t="inlineStr">
        <is>
          <t>condiment</t>
        </is>
      </c>
      <c r="D285" s="6" t="n">
        <v>32</v>
      </c>
      <c r="E285" s="6" t="n">
        <v>1.6</v>
      </c>
      <c r="F285" s="6" t="n">
        <v>0.3</v>
      </c>
      <c r="G285" s="6" t="n">
        <v>7</v>
      </c>
      <c r="H285" s="6" t="n">
        <v>1.9</v>
      </c>
      <c r="I285" s="6" t="n">
        <v>5.1</v>
      </c>
      <c r="J285" s="6" t="n">
        <v>35</v>
      </c>
      <c r="K285" s="6" t="inlineStr">
        <is>
          <t>low</t>
        </is>
      </c>
      <c r="L285" s="7" t="inlineStr">
        <is>
          <t>Estimated from the closest tested food; no direct measurement found in the pooled sources</t>
        </is>
      </c>
      <c r="M285" s="7" t="inlineStr">
        <is>
          <t>no direct match</t>
        </is>
      </c>
      <c r="N285" s="6" t="inlineStr"/>
      <c r="O2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5" s="7" t="inlineStr">
        <is>
          <t>USDA FoodData Central (SR Legacy / Foundation Foods), fdc.nal.usda.gov</t>
        </is>
      </c>
      <c r="Q285" s="6" t="inlineStr">
        <is>
          <t>2026-09-26</t>
        </is>
      </c>
    </row>
    <row r="286">
      <c r="A286" s="6" t="inlineStr">
        <is>
          <t>diced_tomatoes</t>
        </is>
      </c>
      <c r="B286" s="6" t="inlineStr">
        <is>
          <t>Diced tomatoes, canned</t>
        </is>
      </c>
      <c r="C286" s="6" t="inlineStr">
        <is>
          <t>condiment</t>
        </is>
      </c>
      <c r="D286" s="6" t="n">
        <v>24</v>
      </c>
      <c r="E286" s="6" t="n">
        <v>1.2</v>
      </c>
      <c r="F286" s="6" t="n">
        <v>0.2</v>
      </c>
      <c r="G286" s="6" t="n">
        <v>5</v>
      </c>
      <c r="H286" s="6" t="n">
        <v>1.5</v>
      </c>
      <c r="I286" s="6" t="n">
        <v>3.5</v>
      </c>
      <c r="J286" s="6" t="n">
        <v>35</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tomato_paste</t>
        </is>
      </c>
      <c r="B287" s="6" t="inlineStr">
        <is>
          <t>Tomato paste</t>
        </is>
      </c>
      <c r="C287" s="6" t="inlineStr">
        <is>
          <t>condiment</t>
        </is>
      </c>
      <c r="D287" s="6" t="n">
        <v>82</v>
      </c>
      <c r="E287" s="6" t="n">
        <v>4.3</v>
      </c>
      <c r="F287" s="6" t="n">
        <v>0.5</v>
      </c>
      <c r="G287" s="6" t="n">
        <v>19</v>
      </c>
      <c r="H287" s="6" t="n">
        <v>4</v>
      </c>
      <c r="I287" s="6" t="n">
        <v>15</v>
      </c>
      <c r="J287" s="6" t="n">
        <v>35</v>
      </c>
      <c r="K287" s="6" t="inlineStr">
        <is>
          <t>low</t>
        </is>
      </c>
      <c r="L287" s="7" t="inlineStr">
        <is>
          <t>Estimated from the closest tested food; no direct measurement found in the pooled sources</t>
        </is>
      </c>
      <c r="M287" s="7" t="inlineStr">
        <is>
          <t>no direct match</t>
        </is>
      </c>
      <c r="N287" s="6" t="inlineStr"/>
      <c r="O28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7" s="7" t="inlineStr">
        <is>
          <t>USDA FoodData Central (SR Legacy / Foundation Foods), fdc.nal.usda.gov</t>
        </is>
      </c>
      <c r="Q287" s="6" t="inlineStr">
        <is>
          <t>2026-09-26</t>
        </is>
      </c>
    </row>
    <row r="288">
      <c r="A288" s="6" t="inlineStr">
        <is>
          <t>tomato_sauce</t>
        </is>
      </c>
      <c r="B288" s="6" t="inlineStr">
        <is>
          <t>Tomato sauce, canned, no sugar added</t>
        </is>
      </c>
      <c r="C288" s="6" t="inlineStr">
        <is>
          <t>condiment</t>
        </is>
      </c>
      <c r="D288" s="6" t="n">
        <v>24</v>
      </c>
      <c r="E288" s="6" t="n">
        <v>1.3</v>
      </c>
      <c r="F288" s="6" t="n">
        <v>0.2</v>
      </c>
      <c r="G288" s="6" t="n">
        <v>5.3</v>
      </c>
      <c r="H288" s="6" t="n">
        <v>1.5</v>
      </c>
      <c r="I288" s="6" t="n">
        <v>3.8</v>
      </c>
      <c r="J288" s="6" t="n">
        <v>35</v>
      </c>
      <c r="K288" s="6" t="inlineStr">
        <is>
          <t>low</t>
        </is>
      </c>
      <c r="L288" s="7" t="inlineStr">
        <is>
          <t>Estimated from the closest tested food; no direct measurement found in the pooled sources</t>
        </is>
      </c>
      <c r="M288" s="7" t="inlineStr">
        <is>
          <t>no direct match</t>
        </is>
      </c>
      <c r="N288" s="6" t="n">
        <v>35</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chicken_broth</t>
        </is>
      </c>
      <c r="B289" s="6" t="inlineStr">
        <is>
          <t>Chicken broth, low sodium</t>
        </is>
      </c>
      <c r="C289" s="6" t="inlineStr">
        <is>
          <t>condiment</t>
        </is>
      </c>
      <c r="D289" s="6" t="n">
        <v>7</v>
      </c>
      <c r="E289" s="6" t="n">
        <v>1</v>
      </c>
      <c r="F289" s="6" t="n">
        <v>0.2</v>
      </c>
      <c r="G289" s="6" t="n">
        <v>0.5</v>
      </c>
      <c r="H289" s="6" t="n">
        <v>0</v>
      </c>
      <c r="I289" s="6" t="n">
        <v>0.5</v>
      </c>
      <c r="J289" s="6" t="n">
        <v>0</v>
      </c>
      <c r="K289" s="6" t="inlineStr">
        <is>
          <t>definitional</t>
        </is>
      </c>
      <c r="L289" s="7" t="inlineStr">
        <is>
          <t>No available carbohydrate — GI is 0 by definition (protein / fat / water)</t>
        </is>
      </c>
      <c r="M289" s="7" t="inlineStr">
        <is>
          <t>n/a</t>
        </is>
      </c>
      <c r="N289" s="6" t="inlineStr"/>
      <c r="O289" s="7" t="inlineStr">
        <is>
          <t>ISO 26642:2010</t>
        </is>
      </c>
      <c r="P289" s="7" t="inlineStr">
        <is>
          <t>USDA FoodData Central (SR Legacy / Foundation Foods), fdc.nal.usda.gov</t>
        </is>
      </c>
      <c r="Q289" s="6" t="inlineStr">
        <is>
          <t>2026-09-26</t>
        </is>
      </c>
    </row>
    <row r="290">
      <c r="A290" s="6" t="inlineStr">
        <is>
          <t>vegetable_broth</t>
        </is>
      </c>
      <c r="B290" s="6" t="inlineStr">
        <is>
          <t>Vegetable broth, low sodium</t>
        </is>
      </c>
      <c r="C290" s="6" t="inlineStr">
        <is>
          <t>condiment</t>
        </is>
      </c>
      <c r="D290" s="6" t="n">
        <v>8</v>
      </c>
      <c r="E290" s="6" t="n">
        <v>0.5</v>
      </c>
      <c r="F290" s="6" t="n">
        <v>0.2</v>
      </c>
      <c r="G290" s="6" t="n">
        <v>1.5</v>
      </c>
      <c r="H290" s="6" t="n">
        <v>0</v>
      </c>
      <c r="I290" s="6" t="n">
        <v>1.5</v>
      </c>
      <c r="J290" s="6" t="n">
        <v>0</v>
      </c>
      <c r="K290" s="6" t="inlineStr">
        <is>
          <t>low</t>
        </is>
      </c>
      <c r="L290" s="7" t="inlineStr">
        <is>
          <t>Estimated from the closest tested food; no direct measurement found in the pooled sources</t>
        </is>
      </c>
      <c r="M290" s="7" t="inlineStr">
        <is>
          <t>no direct match</t>
        </is>
      </c>
      <c r="N290" s="6" t="inlineStr"/>
      <c r="O29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0" s="7" t="inlineStr">
        <is>
          <t>USDA FoodData Central (SR Legacy / Foundation Foods), fdc.nal.usda.gov</t>
        </is>
      </c>
      <c r="Q290" s="6" t="inlineStr">
        <is>
          <t>2026-09-26</t>
        </is>
      </c>
    </row>
    <row r="291">
      <c r="A291" s="6" t="inlineStr">
        <is>
          <t>beef_broth</t>
        </is>
      </c>
      <c r="B291" s="6" t="inlineStr">
        <is>
          <t>Beef broth, low sodium</t>
        </is>
      </c>
      <c r="C291" s="6" t="inlineStr">
        <is>
          <t>condiment</t>
        </is>
      </c>
      <c r="D291" s="6" t="n">
        <v>7</v>
      </c>
      <c r="E291" s="6" t="n">
        <v>1.3</v>
      </c>
      <c r="F291" s="6" t="n">
        <v>0.2</v>
      </c>
      <c r="G291" s="6" t="n">
        <v>0.4</v>
      </c>
      <c r="H291" s="6" t="n">
        <v>0</v>
      </c>
      <c r="I291" s="6" t="n">
        <v>0.4</v>
      </c>
      <c r="J291" s="6" t="n">
        <v>0</v>
      </c>
      <c r="K291" s="6" t="inlineStr">
        <is>
          <t>definitional</t>
        </is>
      </c>
      <c r="L291" s="7" t="inlineStr">
        <is>
          <t>No available carbohydrate — GI is 0 by definition (protein / fat / water)</t>
        </is>
      </c>
      <c r="M291" s="7" t="inlineStr">
        <is>
          <t>n/a</t>
        </is>
      </c>
      <c r="N291" s="6" t="inlineStr"/>
      <c r="O291" s="7" t="inlineStr">
        <is>
          <t>ISO 26642:2010</t>
        </is>
      </c>
      <c r="P291" s="7" t="inlineStr">
        <is>
          <t>USDA FoodData Central (SR Legacy / Foundation Foods), fdc.nal.usda.gov</t>
        </is>
      </c>
      <c r="Q291" s="6" t="inlineStr">
        <is>
          <t>2026-09-26</t>
        </is>
      </c>
    </row>
    <row r="292">
      <c r="A292" s="6" t="inlineStr">
        <is>
          <t>bone_broth</t>
        </is>
      </c>
      <c r="B292" s="6" t="inlineStr">
        <is>
          <t>Bone broth</t>
        </is>
      </c>
      <c r="C292" s="6" t="inlineStr">
        <is>
          <t>condiment</t>
        </is>
      </c>
      <c r="D292" s="6" t="n">
        <v>35</v>
      </c>
      <c r="E292" s="6" t="n">
        <v>8</v>
      </c>
      <c r="F292" s="6" t="n">
        <v>0.3</v>
      </c>
      <c r="G292" s="6" t="n">
        <v>0.5</v>
      </c>
      <c r="H292" s="6" t="n">
        <v>0</v>
      </c>
      <c r="I292" s="6" t="n">
        <v>0.5</v>
      </c>
      <c r="J292" s="6" t="n">
        <v>0</v>
      </c>
      <c r="K292" s="6" t="inlineStr">
        <is>
          <t>definitional</t>
        </is>
      </c>
      <c r="L292" s="7" t="inlineStr">
        <is>
          <t>No available carbohydrate — GI is 0 by definition (protein / fat / water)</t>
        </is>
      </c>
      <c r="M292" s="7" t="inlineStr">
        <is>
          <t>n/a</t>
        </is>
      </c>
      <c r="N292" s="6" t="inlineStr"/>
      <c r="O292" s="7" t="inlineStr">
        <is>
          <t>ISO 26642:2010</t>
        </is>
      </c>
      <c r="P292" s="7" t="inlineStr">
        <is>
          <t>USDA FoodData Central (SR Legacy / Foundation Foods), fdc.nal.usda.gov</t>
        </is>
      </c>
      <c r="Q292" s="6" t="inlineStr">
        <is>
          <t>2026-09-26</t>
        </is>
      </c>
    </row>
    <row r="293">
      <c r="A293" s="6" t="inlineStr">
        <is>
          <t>curry_paste</t>
        </is>
      </c>
      <c r="B293" s="6" t="inlineStr">
        <is>
          <t>Thai curry paste (red/green)</t>
        </is>
      </c>
      <c r="C293" s="6" t="inlineStr">
        <is>
          <t>condiment</t>
        </is>
      </c>
      <c r="D293" s="6" t="n">
        <v>95</v>
      </c>
      <c r="E293" s="6" t="n">
        <v>2</v>
      </c>
      <c r="F293" s="6" t="n">
        <v>4</v>
      </c>
      <c r="G293" s="6" t="n">
        <v>12</v>
      </c>
      <c r="H293" s="6" t="n">
        <v>3</v>
      </c>
      <c r="I293" s="6" t="n">
        <v>9</v>
      </c>
      <c r="J293" s="6" t="n">
        <v>30</v>
      </c>
      <c r="K293" s="6" t="inlineStr">
        <is>
          <t>low</t>
        </is>
      </c>
      <c r="L293" s="7" t="inlineStr">
        <is>
          <t>Estimated from the closest tested food; no direct measurement found in the pooled sources</t>
        </is>
      </c>
      <c r="M293" s="7" t="inlineStr">
        <is>
          <t>no direct match</t>
        </is>
      </c>
      <c r="N293" s="6" t="inlineStr"/>
      <c r="O29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3" s="7" t="inlineStr">
        <is>
          <t>USDA FoodData Central (SR Legacy / Foundation Foods), fdc.nal.usda.gov</t>
        </is>
      </c>
      <c r="Q293" s="6" t="inlineStr">
        <is>
          <t>2026-09-26</t>
        </is>
      </c>
    </row>
    <row r="294">
      <c r="A294" s="6" t="inlineStr">
        <is>
          <t>miso</t>
        </is>
      </c>
      <c r="B294" s="6" t="inlineStr">
        <is>
          <t>White miso paste</t>
        </is>
      </c>
      <c r="C294" s="6" t="inlineStr">
        <is>
          <t>condiment</t>
        </is>
      </c>
      <c r="D294" s="6" t="n">
        <v>199</v>
      </c>
      <c r="E294" s="6" t="n">
        <v>12</v>
      </c>
      <c r="F294" s="6" t="n">
        <v>6</v>
      </c>
      <c r="G294" s="6" t="n">
        <v>26</v>
      </c>
      <c r="H294" s="6" t="n">
        <v>5</v>
      </c>
      <c r="I294" s="6" t="n">
        <v>21</v>
      </c>
      <c r="J294" s="6" t="n">
        <v>30</v>
      </c>
      <c r="K294" s="6" t="inlineStr">
        <is>
          <t>low</t>
        </is>
      </c>
      <c r="L294" s="7" t="inlineStr">
        <is>
          <t>Estimated from the closest tested food; no direct measurement found in the pooled sources</t>
        </is>
      </c>
      <c r="M294" s="7" t="inlineStr">
        <is>
          <t>no direct match</t>
        </is>
      </c>
      <c r="N294" s="6" t="n">
        <v>30</v>
      </c>
      <c r="O2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4" s="7" t="inlineStr">
        <is>
          <t>USDA FoodData Central (SR Legacy / Foundation Foods), fdc.nal.usda.gov</t>
        </is>
      </c>
      <c r="Q294" s="6" t="inlineStr">
        <is>
          <t>2026-09-26</t>
        </is>
      </c>
    </row>
    <row r="295">
      <c r="A295" s="6" t="inlineStr">
        <is>
          <t>gochujang</t>
        </is>
      </c>
      <c r="B295" s="6" t="inlineStr">
        <is>
          <t>Gochujang (small amount)</t>
        </is>
      </c>
      <c r="C295" s="6" t="inlineStr">
        <is>
          <t>condiment</t>
        </is>
      </c>
      <c r="D295" s="6" t="n">
        <v>200</v>
      </c>
      <c r="E295" s="6" t="n">
        <v>4</v>
      </c>
      <c r="F295" s="6" t="n">
        <v>1</v>
      </c>
      <c r="G295" s="6" t="n">
        <v>45</v>
      </c>
      <c r="H295" s="6" t="n">
        <v>3</v>
      </c>
      <c r="I295" s="6" t="n">
        <v>42</v>
      </c>
      <c r="J295" s="6" t="n">
        <v>45</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harissa</t>
        </is>
      </c>
      <c r="B296" s="6" t="inlineStr">
        <is>
          <t>Harissa paste</t>
        </is>
      </c>
      <c r="C296" s="6" t="inlineStr">
        <is>
          <t>condiment</t>
        </is>
      </c>
      <c r="D296" s="6" t="n">
        <v>70</v>
      </c>
      <c r="E296" s="6" t="n">
        <v>2</v>
      </c>
      <c r="F296" s="6" t="n">
        <v>3</v>
      </c>
      <c r="G296" s="6" t="n">
        <v>9</v>
      </c>
      <c r="H296" s="6" t="n">
        <v>3</v>
      </c>
      <c r="I296" s="6" t="n">
        <v>6</v>
      </c>
      <c r="J296" s="6" t="n">
        <v>15</v>
      </c>
      <c r="K296" s="6" t="inlineStr">
        <is>
          <t>none (placeholder)</t>
        </is>
      </c>
      <c r="L296" s="7" t="inlineStr">
        <is>
          <t>Conventional placeholder for foods with too little carbohydrate to test (non-starchy vegetables, nuts, seeds, herbs); no published measurement exists</t>
        </is>
      </c>
      <c r="M296" s="7" t="inlineStr">
        <is>
          <t>not measurable</t>
        </is>
      </c>
      <c r="N296" s="6" t="inlineStr"/>
      <c r="O296" s="7" t="inlineStr">
        <is>
          <t>clinical convention</t>
        </is>
      </c>
      <c r="P296" s="7" t="inlineStr">
        <is>
          <t>USDA FoodData Central (SR Legacy / Foundation Foods), fdc.nal.usda.gov</t>
        </is>
      </c>
      <c r="Q296" s="6" t="inlineStr">
        <is>
          <t>2026-09-26</t>
        </is>
      </c>
    </row>
    <row r="297">
      <c r="A297" s="6" t="inlineStr">
        <is>
          <t>chipotle_adobo</t>
        </is>
      </c>
      <c r="B297" s="6" t="inlineStr">
        <is>
          <t>Chipotle peppers in adobo</t>
        </is>
      </c>
      <c r="C297" s="6" t="inlineStr">
        <is>
          <t>condiment</t>
        </is>
      </c>
      <c r="D297" s="6" t="n">
        <v>70</v>
      </c>
      <c r="E297" s="6" t="n">
        <v>2</v>
      </c>
      <c r="F297" s="6" t="n">
        <v>1</v>
      </c>
      <c r="G297" s="6" t="n">
        <v>14</v>
      </c>
      <c r="H297" s="6" t="n">
        <v>4</v>
      </c>
      <c r="I297" s="6" t="n">
        <v>10</v>
      </c>
      <c r="J297" s="6" t="n">
        <v>30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green_chiles</t>
        </is>
      </c>
      <c r="B298" s="6" t="inlineStr">
        <is>
          <t>Diced green chiles, canned</t>
        </is>
      </c>
      <c r="C298" s="6" t="inlineStr">
        <is>
          <t>condiment</t>
        </is>
      </c>
      <c r="D298" s="6" t="n">
        <v>20</v>
      </c>
      <c r="E298" s="6" t="n">
        <v>0.8</v>
      </c>
      <c r="F298" s="6" t="n">
        <v>0.1</v>
      </c>
      <c r="G298" s="6" t="n">
        <v>4.5</v>
      </c>
      <c r="H298" s="6" t="n">
        <v>1.5</v>
      </c>
      <c r="I298" s="6" t="n">
        <v>3</v>
      </c>
      <c r="J298" s="6" t="n">
        <v>15</v>
      </c>
      <c r="K298" s="6" t="inlineStr">
        <is>
          <t>none (placeholder)</t>
        </is>
      </c>
      <c r="L298" s="7" t="inlineStr">
        <is>
          <t>Conventional placeholder for foods with too little carbohydrate to test (non-starchy vegetables, nuts, seeds, herbs); no published measurement exists</t>
        </is>
      </c>
      <c r="M298" s="7" t="inlineStr">
        <is>
          <t>not measurable</t>
        </is>
      </c>
      <c r="N298" s="6" t="inlineStr"/>
      <c r="O298" s="7" t="inlineStr">
        <is>
          <t>clinical convention</t>
        </is>
      </c>
      <c r="P298" s="7" t="inlineStr">
        <is>
          <t>USDA FoodData Central (SR Legacy / Foundation Foods), fdc.nal.usda.gov</t>
        </is>
      </c>
      <c r="Q298" s="6" t="inlineStr">
        <is>
          <t>2026-09-26</t>
        </is>
      </c>
    </row>
    <row r="299">
      <c r="A299" s="6" t="inlineStr">
        <is>
          <t>enchilada_sauce</t>
        </is>
      </c>
      <c r="B299" s="6" t="inlineStr">
        <is>
          <t>Red enchilada sauce, no sugar added</t>
        </is>
      </c>
      <c r="C299" s="6" t="inlineStr">
        <is>
          <t>condiment</t>
        </is>
      </c>
      <c r="D299" s="6" t="n">
        <v>40</v>
      </c>
      <c r="E299" s="6" t="n">
        <v>1</v>
      </c>
      <c r="F299" s="6" t="n">
        <v>2</v>
      </c>
      <c r="G299" s="6" t="n">
        <v>5</v>
      </c>
      <c r="H299" s="6" t="n">
        <v>1</v>
      </c>
      <c r="I299" s="6" t="n">
        <v>4</v>
      </c>
      <c r="J299" s="6" t="n">
        <v>30</v>
      </c>
      <c r="K299" s="6" t="inlineStr">
        <is>
          <t>low</t>
        </is>
      </c>
      <c r="L299" s="7" t="inlineStr">
        <is>
          <t>Estimated from the closest tested food; no direct measurement found in the pooled sources</t>
        </is>
      </c>
      <c r="M299" s="7" t="inlineStr">
        <is>
          <t>no direct match</t>
        </is>
      </c>
      <c r="N299" s="6" t="inlineStr"/>
      <c r="O2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9" s="7" t="inlineStr">
        <is>
          <t>USDA FoodData Central (SR Legacy / Foundation Foods), fdc.nal.usda.gov</t>
        </is>
      </c>
      <c r="Q299" s="6" t="inlineStr">
        <is>
          <t>2026-09-26</t>
        </is>
      </c>
    </row>
    <row r="300">
      <c r="A300" s="6" t="inlineStr">
        <is>
          <t>nutritional_yeast</t>
        </is>
      </c>
      <c r="B300" s="6" t="inlineStr">
        <is>
          <t>Nutritional yeast</t>
        </is>
      </c>
      <c r="C300" s="6" t="inlineStr">
        <is>
          <t>condiment</t>
        </is>
      </c>
      <c r="D300" s="6" t="n">
        <v>325</v>
      </c>
      <c r="E300" s="6" t="n">
        <v>50</v>
      </c>
      <c r="F300" s="6" t="n">
        <v>5</v>
      </c>
      <c r="G300" s="6" t="n">
        <v>35</v>
      </c>
      <c r="H300" s="6" t="n">
        <v>25</v>
      </c>
      <c r="I300" s="6" t="n">
        <v>10</v>
      </c>
      <c r="J300" s="6" t="n">
        <v>15</v>
      </c>
      <c r="K300" s="6" t="inlineStr">
        <is>
          <t>none (placeholder)</t>
        </is>
      </c>
      <c r="L300" s="7" t="inlineStr">
        <is>
          <t>Conventional placeholder for foods with too little carbohydrate to test (non-starchy vegetables, nuts, seeds, herbs); no published measurement exists</t>
        </is>
      </c>
      <c r="M300" s="7" t="inlineStr">
        <is>
          <t>not measurable</t>
        </is>
      </c>
      <c r="N300" s="6" t="inlineStr"/>
      <c r="O300" s="7" t="inlineStr">
        <is>
          <t>clinical convention</t>
        </is>
      </c>
      <c r="P300" s="7" t="inlineStr">
        <is>
          <t>USDA FoodData Central (SR Legacy / Foundation Foods), fdc.nal.usda.gov</t>
        </is>
      </c>
      <c r="Q300" s="6" t="inlineStr">
        <is>
          <t>2026-09-26</t>
        </is>
      </c>
    </row>
    <row r="301">
      <c r="A301" s="6" t="inlineStr">
        <is>
          <t>cocoa_powder</t>
        </is>
      </c>
      <c r="B301" s="6" t="inlineStr">
        <is>
          <t>Cocoa powder, unsweetened</t>
        </is>
      </c>
      <c r="C301" s="6" t="inlineStr">
        <is>
          <t>pantry</t>
        </is>
      </c>
      <c r="D301" s="6" t="n">
        <v>228</v>
      </c>
      <c r="E301" s="6" t="n">
        <v>20</v>
      </c>
      <c r="F301" s="6" t="n">
        <v>14</v>
      </c>
      <c r="G301" s="6" t="n">
        <v>58</v>
      </c>
      <c r="H301" s="6" t="n">
        <v>33</v>
      </c>
      <c r="I301" s="6" t="n">
        <v>25</v>
      </c>
      <c r="J301" s="6" t="n">
        <v>20</v>
      </c>
      <c r="K301" s="6" t="inlineStr">
        <is>
          <t>low</t>
        </is>
      </c>
      <c r="L301" s="7" t="inlineStr">
        <is>
          <t>Estimated from the closest tested food; no direct measurement found in the pooled sources</t>
        </is>
      </c>
      <c r="M301" s="7" t="inlineStr">
        <is>
          <t>no direct match</t>
        </is>
      </c>
      <c r="N301" s="6" t="n">
        <v>20</v>
      </c>
      <c r="O30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1" s="7" t="inlineStr">
        <is>
          <t>USDA FoodData Central (SR Legacy / Foundation Foods), fdc.nal.usda.gov</t>
        </is>
      </c>
      <c r="Q301" s="6" t="inlineStr">
        <is>
          <t>2026-09-26</t>
        </is>
      </c>
    </row>
    <row r="302">
      <c r="A302" s="6" t="inlineStr">
        <is>
          <t>dark_chocolate</t>
        </is>
      </c>
      <c r="B302" s="6" t="inlineStr">
        <is>
          <t>Dark chocolate 85%</t>
        </is>
      </c>
      <c r="C302" s="6" t="inlineStr">
        <is>
          <t>pantry</t>
        </is>
      </c>
      <c r="D302" s="6" t="n">
        <v>600</v>
      </c>
      <c r="E302" s="6" t="n">
        <v>12</v>
      </c>
      <c r="F302" s="6" t="n">
        <v>46</v>
      </c>
      <c r="G302" s="6" t="n">
        <v>30</v>
      </c>
      <c r="H302" s="6" t="n">
        <v>12</v>
      </c>
      <c r="I302" s="6" t="n">
        <v>18</v>
      </c>
      <c r="J302" s="6" t="n">
        <v>23</v>
      </c>
      <c r="K302" s="6" t="inlineStr">
        <is>
          <t>high</t>
        </is>
      </c>
      <c r="L302" s="7" t="inlineStr">
        <is>
          <t>2021 International Tables, Suppl. Table 1 (ISO 26642:2010-compliant studies)</t>
        </is>
      </c>
      <c r="M302" s="7" t="inlineStr">
        <is>
          <t>median of 2 tested foods, range 23-44</t>
        </is>
      </c>
      <c r="N302" s="6" t="n">
        <v>34</v>
      </c>
      <c r="O302" s="7" t="inlineStr">
        <is>
          <t>Atkinson FS, Brand-Miller JC, Foster-Powell K, Buyken AE, Goletzke J. International tables of glycemic index and glycemic load values 2021. Am J Clin Nutr 2021;114(5):1625-32. doi:10.1093/ajcn/nqab233</t>
        </is>
      </c>
      <c r="P302" s="7" t="inlineStr">
        <is>
          <t>USDA FoodData Central (SR Legacy / Foundation Foods), fdc.nal.usda.gov</t>
        </is>
      </c>
      <c r="Q302" s="6" t="inlineStr">
        <is>
          <t>2026-09-26</t>
        </is>
      </c>
    </row>
    <row r="303">
      <c r="A303" s="6" t="inlineStr">
        <is>
          <t>sugar_free_chocolate_chips</t>
        </is>
      </c>
      <c r="B303" s="6" t="inlineStr">
        <is>
          <t>Stevia-sweetened dark chocolate chips</t>
        </is>
      </c>
      <c r="C303" s="6" t="inlineStr">
        <is>
          <t>pantry</t>
        </is>
      </c>
      <c r="D303" s="6" t="n">
        <v>470</v>
      </c>
      <c r="E303" s="6" t="n">
        <v>6</v>
      </c>
      <c r="F303" s="6" t="n">
        <v>42</v>
      </c>
      <c r="G303" s="6" t="n">
        <v>20</v>
      </c>
      <c r="H303" s="6" t="n">
        <v>12</v>
      </c>
      <c r="I303" s="6" t="n">
        <v>8</v>
      </c>
      <c r="J303" s="6" t="n">
        <v>20</v>
      </c>
      <c r="K303" s="6" t="inlineStr">
        <is>
          <t>medium</t>
        </is>
      </c>
      <c r="L303" s="7" t="inlineStr">
        <is>
          <t>University of Sydney online GI database</t>
        </is>
      </c>
      <c r="M303" s="7" t="inlineStr">
        <is>
          <t>median of 1 tested foods, range 23-23</t>
        </is>
      </c>
      <c r="N303" s="6" t="n">
        <v>23</v>
      </c>
      <c r="O303" s="7" t="inlineStr">
        <is>
          <t>University of Sydney GI database, glycemicindex.com/gi-search (accessed 2026-09-16)</t>
        </is>
      </c>
      <c r="P303" s="7" t="inlineStr">
        <is>
          <t>USDA FoodData Central (SR Legacy / Foundation Foods), fdc.nal.usda.gov</t>
        </is>
      </c>
      <c r="Q303" s="6" t="inlineStr">
        <is>
          <t>2026-09-26</t>
        </is>
      </c>
    </row>
    <row r="304">
      <c r="A304" s="6" t="inlineStr">
        <is>
          <t>monk_fruit_sweetener</t>
        </is>
      </c>
      <c r="B304" s="6" t="inlineStr">
        <is>
          <t>Monk fruit/erythritol sweetener</t>
        </is>
      </c>
      <c r="C304" s="6" t="inlineStr">
        <is>
          <t>pantry</t>
        </is>
      </c>
      <c r="D304" s="6" t="n">
        <v>0</v>
      </c>
      <c r="E304" s="6" t="n">
        <v>0</v>
      </c>
      <c r="F304" s="6" t="n">
        <v>0</v>
      </c>
      <c r="G304" s="6" t="n">
        <v>0</v>
      </c>
      <c r="H304" s="6" t="n">
        <v>0</v>
      </c>
      <c r="I304" s="6" t="n">
        <v>0</v>
      </c>
      <c r="J304" s="6" t="n">
        <v>0</v>
      </c>
      <c r="K304" s="6" t="inlineStr">
        <is>
          <t>definitional</t>
        </is>
      </c>
      <c r="L304" s="7" t="inlineStr">
        <is>
          <t>No available carbohydrate — GI is 0 by definition (protein / fat / water)</t>
        </is>
      </c>
      <c r="M304" s="7" t="inlineStr">
        <is>
          <t>n/a</t>
        </is>
      </c>
      <c r="N304" s="6" t="n">
        <v>15</v>
      </c>
      <c r="O304" s="7" t="inlineStr">
        <is>
          <t>ISO 26642:2010</t>
        </is>
      </c>
      <c r="P304" s="7" t="inlineStr">
        <is>
          <t>USDA FoodData Central (SR Legacy / Foundation Foods), fdc.nal.usda.gov</t>
        </is>
      </c>
      <c r="Q304" s="6" t="inlineStr">
        <is>
          <t>2026-09-26</t>
        </is>
      </c>
    </row>
    <row r="305">
      <c r="A305" s="6" t="inlineStr">
        <is>
          <t>stevia</t>
        </is>
      </c>
      <c r="B305" s="6" t="inlineStr">
        <is>
          <t>Stevia (liquid)</t>
        </is>
      </c>
      <c r="C305" s="6" t="inlineStr">
        <is>
          <t>pantry</t>
        </is>
      </c>
      <c r="D305" s="6" t="n">
        <v>0</v>
      </c>
      <c r="E305" s="6" t="n">
        <v>0</v>
      </c>
      <c r="F305" s="6" t="n">
        <v>0</v>
      </c>
      <c r="G305" s="6" t="n">
        <v>0</v>
      </c>
      <c r="H305" s="6" t="n">
        <v>0</v>
      </c>
      <c r="I305" s="6" t="n">
        <v>0</v>
      </c>
      <c r="J305" s="6" t="n">
        <v>0</v>
      </c>
      <c r="K305" s="6" t="inlineStr">
        <is>
          <t>definitional</t>
        </is>
      </c>
      <c r="L305" s="7" t="inlineStr">
        <is>
          <t>No available carbohydrate — GI is 0 by definition (protein / fat / water)</t>
        </is>
      </c>
      <c r="M305" s="7" t="inlineStr">
        <is>
          <t>n/a</t>
        </is>
      </c>
      <c r="N305" s="6" t="n">
        <v>0</v>
      </c>
      <c r="O305" s="7" t="inlineStr">
        <is>
          <t>ISO 26642:2010</t>
        </is>
      </c>
      <c r="P305" s="7" t="inlineStr">
        <is>
          <t>USDA FoodData Central (SR Legacy / Foundation Foods), fdc.nal.usda.gov</t>
        </is>
      </c>
      <c r="Q305" s="6" t="inlineStr">
        <is>
          <t>2026-09-26</t>
        </is>
      </c>
    </row>
    <row r="306">
      <c r="A306" s="6" t="inlineStr">
        <is>
          <t>honey</t>
        </is>
      </c>
      <c r="B306" s="6" t="inlineStr">
        <is>
          <t>Honey (small amount)</t>
        </is>
      </c>
      <c r="C306" s="6" t="inlineStr">
        <is>
          <t>pantry</t>
        </is>
      </c>
      <c r="D306" s="6" t="n">
        <v>304</v>
      </c>
      <c r="E306" s="6" t="n">
        <v>0.3</v>
      </c>
      <c r="F306" s="6" t="n">
        <v>0</v>
      </c>
      <c r="G306" s="6" t="n">
        <v>82</v>
      </c>
      <c r="H306" s="6" t="n">
        <v>0.2</v>
      </c>
      <c r="I306" s="6" t="n">
        <v>81.8</v>
      </c>
      <c r="J306" s="6" t="n">
        <v>54</v>
      </c>
      <c r="K306" s="6" t="inlineStr">
        <is>
          <t>high</t>
        </is>
      </c>
      <c r="L306" s="7" t="inlineStr">
        <is>
          <t>2021 International Tables, Suppl. Table 1 (ISO 26642:2010-compliant studies)</t>
        </is>
      </c>
      <c r="M306" s="7" t="inlineStr">
        <is>
          <t>median of 2 tested foods, range 35-74</t>
        </is>
      </c>
      <c r="N306" s="6" t="n">
        <v>54</v>
      </c>
      <c r="O306" s="7" t="inlineStr">
        <is>
          <t>Atkinson FS, Brand-Miller JC, Foster-Powell K, Buyken AE, Goletzke J. International tables of glycemic index and glycemic load values 2021. Am J Clin Nutr 2021;114(5):1625-32. doi:10.1093/ajcn/nqab233</t>
        </is>
      </c>
      <c r="P306" s="7" t="inlineStr">
        <is>
          <t>USDA FoodData Central (SR Legacy / Foundation Foods), fdc.nal.usda.gov</t>
        </is>
      </c>
      <c r="Q306" s="6" t="inlineStr">
        <is>
          <t>2026-09-26</t>
        </is>
      </c>
    </row>
    <row r="307">
      <c r="A307" s="6" t="inlineStr">
        <is>
          <t>maple_syrup</t>
        </is>
      </c>
      <c r="B307" s="6" t="inlineStr">
        <is>
          <t>Pure maple syrup (small amount)</t>
        </is>
      </c>
      <c r="C307" s="6" t="inlineStr">
        <is>
          <t>pantry</t>
        </is>
      </c>
      <c r="D307" s="6" t="n">
        <v>260</v>
      </c>
      <c r="E307" s="6" t="n">
        <v>0</v>
      </c>
      <c r="F307" s="6" t="n">
        <v>0</v>
      </c>
      <c r="G307" s="6" t="n">
        <v>67</v>
      </c>
      <c r="H307" s="6" t="n">
        <v>0</v>
      </c>
      <c r="I307" s="6" t="n">
        <v>67</v>
      </c>
      <c r="J307" s="6" t="n">
        <v>54</v>
      </c>
      <c r="K307" s="6" t="inlineStr">
        <is>
          <t>medium</t>
        </is>
      </c>
      <c r="L307" s="7" t="inlineStr">
        <is>
          <t>2021 International Tables, Suppl. Tables 1+2 (incl. studies with method deviations)</t>
        </is>
      </c>
      <c r="M307" s="7" t="inlineStr">
        <is>
          <t>median of 1 tested foods, range 54-54</t>
        </is>
      </c>
      <c r="N307" s="6" t="n">
        <v>54</v>
      </c>
      <c r="O307" s="7" t="inlineStr">
        <is>
          <t>Atkinson FS, Brand-Miller JC, Foster-Powell K, Buyken AE, Goletzke J. International tables of glycemic index and glycemic load values 2021. Am J Clin Nutr 2021;114(5):1625-32. doi:10.1093/ajcn/nqab233</t>
        </is>
      </c>
      <c r="P307" s="7" t="inlineStr">
        <is>
          <t>USDA FoodData Central (SR Legacy / Foundation Foods), fdc.nal.usda.gov</t>
        </is>
      </c>
      <c r="Q307" s="6" t="inlineStr">
        <is>
          <t>2026-09-26</t>
        </is>
      </c>
    </row>
    <row r="308">
      <c r="A308" s="6" t="inlineStr">
        <is>
          <t>vanilla_extract</t>
        </is>
      </c>
      <c r="B308" s="6" t="inlineStr">
        <is>
          <t>Vanilla extract</t>
        </is>
      </c>
      <c r="C308" s="6" t="inlineStr">
        <is>
          <t>pantry</t>
        </is>
      </c>
      <c r="D308" s="6" t="n">
        <v>288</v>
      </c>
      <c r="E308" s="6" t="n">
        <v>0</v>
      </c>
      <c r="F308" s="6" t="n">
        <v>0</v>
      </c>
      <c r="G308" s="6" t="n">
        <v>12.7</v>
      </c>
      <c r="H308" s="6" t="n">
        <v>0</v>
      </c>
      <c r="I308" s="6" t="n">
        <v>12.7</v>
      </c>
      <c r="J308" s="6" t="n">
        <v>0</v>
      </c>
      <c r="K308" s="6" t="inlineStr">
        <is>
          <t>low</t>
        </is>
      </c>
      <c r="L308" s="7" t="inlineStr">
        <is>
          <t>Estimated from the closest tested food; no direct measurement found in the pooled sources</t>
        </is>
      </c>
      <c r="M308" s="7" t="inlineStr">
        <is>
          <t>no direct match</t>
        </is>
      </c>
      <c r="N308" s="6" t="inlineStr"/>
      <c r="O30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8" s="7" t="inlineStr">
        <is>
          <t>USDA FoodData Central (SR Legacy / Foundation Foods), fdc.nal.usda.gov</t>
        </is>
      </c>
      <c r="Q308" s="6" t="inlineStr">
        <is>
          <t>2026-09-26</t>
        </is>
      </c>
    </row>
    <row r="309">
      <c r="A309" s="6" t="inlineStr">
        <is>
          <t>gelatin</t>
        </is>
      </c>
      <c r="B309" s="6" t="inlineStr">
        <is>
          <t>Unflavored gelatin</t>
        </is>
      </c>
      <c r="C309" s="6" t="inlineStr">
        <is>
          <t>pantry</t>
        </is>
      </c>
      <c r="D309" s="6" t="n">
        <v>335</v>
      </c>
      <c r="E309" s="6" t="n">
        <v>85</v>
      </c>
      <c r="F309" s="6" t="n">
        <v>0</v>
      </c>
      <c r="G309" s="6" t="n">
        <v>0</v>
      </c>
      <c r="H309" s="6" t="n">
        <v>0</v>
      </c>
      <c r="I309" s="6" t="n">
        <v>0</v>
      </c>
      <c r="J309" s="6" t="n">
        <v>0</v>
      </c>
      <c r="K309" s="6" t="inlineStr">
        <is>
          <t>definitional</t>
        </is>
      </c>
      <c r="L309" s="7" t="inlineStr">
        <is>
          <t>No available carbohydrate — GI is 0 by definition (protein / fat / water)</t>
        </is>
      </c>
      <c r="M309" s="7" t="inlineStr">
        <is>
          <t>n/a</t>
        </is>
      </c>
      <c r="N309" s="6" t="inlineStr"/>
      <c r="O309" s="7" t="inlineStr">
        <is>
          <t>ISO 26642:2010</t>
        </is>
      </c>
      <c r="P309" s="7" t="inlineStr">
        <is>
          <t>USDA FoodData Central (SR Legacy / Foundation Foods), fdc.nal.usda.gov</t>
        </is>
      </c>
      <c r="Q309" s="6" t="inlineStr">
        <is>
          <t>2026-09-26</t>
        </is>
      </c>
    </row>
    <row r="310">
      <c r="A310" s="6" t="inlineStr">
        <is>
          <t>baking_powder</t>
        </is>
      </c>
      <c r="B310" s="6" t="inlineStr">
        <is>
          <t>Baking powder</t>
        </is>
      </c>
      <c r="C310" s="6" t="inlineStr">
        <is>
          <t>pantry</t>
        </is>
      </c>
      <c r="D310" s="6" t="n">
        <v>53</v>
      </c>
      <c r="E310" s="6" t="n">
        <v>0</v>
      </c>
      <c r="F310" s="6" t="n">
        <v>0</v>
      </c>
      <c r="G310" s="6" t="n">
        <v>28</v>
      </c>
      <c r="H310" s="6" t="n">
        <v>0</v>
      </c>
      <c r="I310" s="6" t="n">
        <v>28</v>
      </c>
      <c r="J310" s="6" t="n">
        <v>0</v>
      </c>
      <c r="K310" s="6" t="inlineStr">
        <is>
          <t>low</t>
        </is>
      </c>
      <c r="L310" s="7" t="inlineStr">
        <is>
          <t>Estimated from the closest tested food; no direct measurement found in the pooled sources</t>
        </is>
      </c>
      <c r="M310" s="7" t="inlineStr">
        <is>
          <t>no direct match</t>
        </is>
      </c>
      <c r="N310" s="6" t="inlineStr"/>
      <c r="O3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0" s="7" t="inlineStr">
        <is>
          <t>USDA FoodData Central (SR Legacy / Foundation Foods), fdc.nal.usda.gov</t>
        </is>
      </c>
      <c r="Q310" s="6" t="inlineStr">
        <is>
          <t>2026-09-26</t>
        </is>
      </c>
    </row>
    <row r="311">
      <c r="A311" s="6" t="inlineStr">
        <is>
          <t>baking_soda</t>
        </is>
      </c>
      <c r="B311" s="6" t="inlineStr">
        <is>
          <t>Baking soda</t>
        </is>
      </c>
      <c r="C311" s="6" t="inlineStr">
        <is>
          <t>pantry</t>
        </is>
      </c>
      <c r="D311" s="6" t="n">
        <v>0</v>
      </c>
      <c r="E311" s="6" t="n">
        <v>0</v>
      </c>
      <c r="F311" s="6" t="n">
        <v>0</v>
      </c>
      <c r="G311" s="6" t="n">
        <v>0</v>
      </c>
      <c r="H311" s="6" t="n">
        <v>0</v>
      </c>
      <c r="I311" s="6" t="n">
        <v>0</v>
      </c>
      <c r="J311" s="6" t="n">
        <v>0</v>
      </c>
      <c r="K311" s="6" t="inlineStr">
        <is>
          <t>definitional</t>
        </is>
      </c>
      <c r="L311" s="7" t="inlineStr">
        <is>
          <t>No available carbohydrate — GI is 0 by definition (protein / fat / water)</t>
        </is>
      </c>
      <c r="M311" s="7" t="inlineStr">
        <is>
          <t>n/a</t>
        </is>
      </c>
      <c r="N311" s="6" t="inlineStr"/>
      <c r="O311" s="7" t="inlineStr">
        <is>
          <t>ISO 26642:2010</t>
        </is>
      </c>
      <c r="P311" s="7" t="inlineStr">
        <is>
          <t>USDA FoodData Central (SR Legacy / Foundation Foods), fdc.nal.usda.gov</t>
        </is>
      </c>
      <c r="Q311" s="6" t="inlineStr">
        <is>
          <t>2026-09-26</t>
        </is>
      </c>
    </row>
    <row r="312">
      <c r="A312" s="6" t="inlineStr">
        <is>
          <t>coffee</t>
        </is>
      </c>
      <c r="B312" s="6" t="inlineStr">
        <is>
          <t>Brewed coffee / espresso</t>
        </is>
      </c>
      <c r="C312" s="6" t="inlineStr">
        <is>
          <t>drink</t>
        </is>
      </c>
      <c r="D312" s="6" t="n">
        <v>1</v>
      </c>
      <c r="E312" s="6" t="n">
        <v>0.1</v>
      </c>
      <c r="F312" s="6" t="n">
        <v>0</v>
      </c>
      <c r="G312" s="6" t="n">
        <v>0</v>
      </c>
      <c r="H312" s="6" t="n">
        <v>0</v>
      </c>
      <c r="I312" s="6" t="n">
        <v>0</v>
      </c>
      <c r="J312" s="6" t="n">
        <v>0</v>
      </c>
      <c r="K312" s="6" t="inlineStr">
        <is>
          <t>definitional</t>
        </is>
      </c>
      <c r="L312" s="7" t="inlineStr">
        <is>
          <t>No available carbohydrate — GI is 0 by definition (protein / fat / water)</t>
        </is>
      </c>
      <c r="M312" s="7" t="inlineStr">
        <is>
          <t>n/a</t>
        </is>
      </c>
      <c r="N312" s="6" t="inlineStr"/>
      <c r="O312" s="7" t="inlineStr">
        <is>
          <t>ISO 26642:2010</t>
        </is>
      </c>
      <c r="P312" s="7" t="inlineStr">
        <is>
          <t>USDA FoodData Central (SR Legacy / Foundation Foods), fdc.nal.usda.gov</t>
        </is>
      </c>
      <c r="Q312" s="6" t="inlineStr">
        <is>
          <t>2026-09-26</t>
        </is>
      </c>
    </row>
    <row r="313">
      <c r="A313" s="6" t="inlineStr">
        <is>
          <t>green_tea</t>
        </is>
      </c>
      <c r="B313" s="6" t="inlineStr">
        <is>
          <t>Brewed green tea</t>
        </is>
      </c>
      <c r="C313" s="6" t="inlineStr">
        <is>
          <t>drink</t>
        </is>
      </c>
      <c r="D313" s="6" t="n">
        <v>0</v>
      </c>
      <c r="E313" s="6" t="n">
        <v>0</v>
      </c>
      <c r="F313" s="6" t="n">
        <v>0</v>
      </c>
      <c r="G313" s="6" t="n">
        <v>0</v>
      </c>
      <c r="H313" s="6" t="n">
        <v>0</v>
      </c>
      <c r="I313" s="6" t="n">
        <v>0</v>
      </c>
      <c r="J313" s="6" t="n">
        <v>0</v>
      </c>
      <c r="K313" s="6" t="inlineStr">
        <is>
          <t>definitional</t>
        </is>
      </c>
      <c r="L313" s="7" t="inlineStr">
        <is>
          <t>No available carbohydrate — GI is 0 by definition (protein / fat / water)</t>
        </is>
      </c>
      <c r="M313" s="7" t="inlineStr">
        <is>
          <t>n/a</t>
        </is>
      </c>
      <c r="N313" s="6" t="inlineStr"/>
      <c r="O313" s="7" t="inlineStr">
        <is>
          <t>ISO 26642:2010</t>
        </is>
      </c>
      <c r="P313" s="7" t="inlineStr">
        <is>
          <t>USDA FoodData Central (SR Legacy / Foundation Foods), fdc.nal.usda.gov</t>
        </is>
      </c>
      <c r="Q313" s="6" t="inlineStr">
        <is>
          <t>2026-09-26</t>
        </is>
      </c>
    </row>
    <row r="314">
      <c r="A314" s="6" t="inlineStr">
        <is>
          <t>water</t>
        </is>
      </c>
      <c r="B314" s="6" t="inlineStr">
        <is>
          <t>Water / ice</t>
        </is>
      </c>
      <c r="C314" s="6" t="inlineStr">
        <is>
          <t>drink</t>
        </is>
      </c>
      <c r="D314" s="6" t="n">
        <v>0</v>
      </c>
      <c r="E314" s="6" t="n">
        <v>0</v>
      </c>
      <c r="F314" s="6" t="n">
        <v>0</v>
      </c>
      <c r="G314" s="6" t="n">
        <v>0</v>
      </c>
      <c r="H314" s="6" t="n">
        <v>0</v>
      </c>
      <c r="I314" s="6" t="n">
        <v>0</v>
      </c>
      <c r="J314" s="6" t="n">
        <v>0</v>
      </c>
      <c r="K314" s="6" t="inlineStr">
        <is>
          <t>definitional</t>
        </is>
      </c>
      <c r="L314" s="7" t="inlineStr">
        <is>
          <t>No available carbohydrate — GI is 0 by definition (protein / fat / water)</t>
        </is>
      </c>
      <c r="M314" s="7" t="inlineStr">
        <is>
          <t>n/a</t>
        </is>
      </c>
      <c r="N314" s="6" t="inlineStr"/>
      <c r="O314" s="7" t="inlineStr">
        <is>
          <t>ISO 26642:2010</t>
        </is>
      </c>
      <c r="P314" s="7" t="inlineStr">
        <is>
          <t>USDA FoodData Central (SR Legacy / Foundation Foods), fdc.nal.usda.gov</t>
        </is>
      </c>
      <c r="Q314" s="6" t="inlineStr">
        <is>
          <t>2026-09-26</t>
        </is>
      </c>
    </row>
    <row r="315">
      <c r="A315" s="6" t="inlineStr">
        <is>
          <t>sparkling_water</t>
        </is>
      </c>
      <c r="B315" s="6" t="inlineStr">
        <is>
          <t>Sparkling water</t>
        </is>
      </c>
      <c r="C315" s="6" t="inlineStr">
        <is>
          <t>drink</t>
        </is>
      </c>
      <c r="D315" s="6" t="n">
        <v>0</v>
      </c>
      <c r="E315" s="6" t="n">
        <v>0</v>
      </c>
      <c r="F315" s="6" t="n">
        <v>0</v>
      </c>
      <c r="G315" s="6" t="n">
        <v>0</v>
      </c>
      <c r="H315" s="6" t="n">
        <v>0</v>
      </c>
      <c r="I315" s="6" t="n">
        <v>0</v>
      </c>
      <c r="J315" s="6" t="n">
        <v>0</v>
      </c>
      <c r="K315" s="6" t="inlineStr">
        <is>
          <t>definitional</t>
        </is>
      </c>
      <c r="L315" s="7" t="inlineStr">
        <is>
          <t>No available carbohydrate — GI is 0 by definition (protein / fat / water)</t>
        </is>
      </c>
      <c r="M315" s="7" t="inlineStr">
        <is>
          <t>n/a</t>
        </is>
      </c>
      <c r="N315" s="6" t="inlineStr"/>
      <c r="O315" s="7" t="inlineStr">
        <is>
          <t>ISO 26642:2010</t>
        </is>
      </c>
      <c r="P315" s="7" t="inlineStr">
        <is>
          <t>USDA FoodData Central (SR Legacy / Foundation Foods), fdc.nal.usda.gov</t>
        </is>
      </c>
      <c r="Q315" s="6" t="inlineStr">
        <is>
          <t>2026-09-26</t>
        </is>
      </c>
    </row>
    <row r="316">
      <c r="A316" s="6" t="inlineStr">
        <is>
          <t>red_wine</t>
        </is>
      </c>
      <c r="B316" s="6" t="inlineStr">
        <is>
          <t>Dry red wine (cooking)</t>
        </is>
      </c>
      <c r="C316" s="6" t="inlineStr">
        <is>
          <t>pantry</t>
        </is>
      </c>
      <c r="D316" s="6" t="n">
        <v>85</v>
      </c>
      <c r="E316" s="6" t="n">
        <v>0</v>
      </c>
      <c r="F316" s="6" t="n">
        <v>0</v>
      </c>
      <c r="G316" s="6" t="n">
        <v>2.6</v>
      </c>
      <c r="H316" s="6" t="n">
        <v>0</v>
      </c>
      <c r="I316" s="6" t="n">
        <v>2.6</v>
      </c>
      <c r="J316" s="6" t="n">
        <v>0</v>
      </c>
      <c r="K316" s="6" t="inlineStr">
        <is>
          <t>low</t>
        </is>
      </c>
      <c r="L316" s="7" t="inlineStr">
        <is>
          <t>Estimated from the closest tested food; no direct measurement found in the pooled sources</t>
        </is>
      </c>
      <c r="M316" s="7" t="inlineStr">
        <is>
          <t>no direct match</t>
        </is>
      </c>
      <c r="N316" s="6" t="inlineStr"/>
      <c r="O31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6" s="7" t="inlineStr">
        <is>
          <t>USDA FoodData Central (SR Legacy / Foundation Foods), fdc.nal.usda.gov</t>
        </is>
      </c>
      <c r="Q316" s="6" t="inlineStr">
        <is>
          <t>2026-09-26</t>
        </is>
      </c>
    </row>
    <row r="317">
      <c r="A317" s="6" t="inlineStr">
        <is>
          <t>white_wine</t>
        </is>
      </c>
      <c r="B317" s="6" t="inlineStr">
        <is>
          <t>Dry white wine (cooking)</t>
        </is>
      </c>
      <c r="C317" s="6" t="inlineStr">
        <is>
          <t>pantry</t>
        </is>
      </c>
      <c r="D317" s="6" t="n">
        <v>82</v>
      </c>
      <c r="E317" s="6" t="n">
        <v>0</v>
      </c>
      <c r="F317" s="6" t="n">
        <v>0</v>
      </c>
      <c r="G317" s="6" t="n">
        <v>2.6</v>
      </c>
      <c r="H317" s="6" t="n">
        <v>0</v>
      </c>
      <c r="I317" s="6" t="n">
        <v>2.6</v>
      </c>
      <c r="J317" s="6" t="n">
        <v>0</v>
      </c>
      <c r="K317" s="6" t="inlineStr">
        <is>
          <t>low</t>
        </is>
      </c>
      <c r="L317" s="7" t="inlineStr">
        <is>
          <t>Estimated from the closest tested food; no direct measurement found in the pooled sources</t>
        </is>
      </c>
      <c r="M317" s="7" t="inlineStr">
        <is>
          <t>no direct match</t>
        </is>
      </c>
      <c r="N317" s="6" t="inlineStr"/>
      <c r="O31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7" s="7" t="inlineStr">
        <is>
          <t>USDA FoodData Central (SR Legacy / Foundation Foods), fdc.nal.usda.gov</t>
        </is>
      </c>
      <c r="Q317" s="6" t="inlineStr">
        <is>
          <t>2026-09-26</t>
        </is>
      </c>
    </row>
    <row r="318">
      <c r="A318" s="6" t="inlineStr">
        <is>
          <t>pork_rinds</t>
        </is>
      </c>
      <c r="B318" s="6" t="inlineStr">
        <is>
          <t>Pork rinds, crushed</t>
        </is>
      </c>
      <c r="C318" s="6" t="inlineStr">
        <is>
          <t>protein</t>
        </is>
      </c>
      <c r="D318" s="6" t="n">
        <v>544</v>
      </c>
      <c r="E318" s="6" t="n">
        <v>61</v>
      </c>
      <c r="F318" s="6" t="n">
        <v>31</v>
      </c>
      <c r="G318" s="6" t="n">
        <v>0</v>
      </c>
      <c r="H318" s="6" t="n">
        <v>0</v>
      </c>
      <c r="I318" s="6" t="n">
        <v>0</v>
      </c>
      <c r="J318" s="6" t="n">
        <v>0</v>
      </c>
      <c r="K318" s="6" t="inlineStr">
        <is>
          <t>definitional</t>
        </is>
      </c>
      <c r="L318" s="7" t="inlineStr">
        <is>
          <t>No available carbohydrate — GI is 0 by definition (protein / fat / water)</t>
        </is>
      </c>
      <c r="M318" s="7" t="inlineStr">
        <is>
          <t>n/a</t>
        </is>
      </c>
      <c r="N318" s="6" t="inlineStr"/>
      <c r="O318" s="7" t="inlineStr">
        <is>
          <t>ISO 26642:2010</t>
        </is>
      </c>
      <c r="P318" s="7" t="inlineStr">
        <is>
          <t>USDA FoodData Central (SR Legacy / Foundation Foods), fdc.nal.usda.gov</t>
        </is>
      </c>
      <c r="Q318" s="6" t="inlineStr">
        <is>
          <t>2026-09-26</t>
        </is>
      </c>
    </row>
    <row r="319">
      <c r="A319" s="6" t="inlineStr">
        <is>
          <t>basil</t>
        </is>
      </c>
      <c r="B319" s="6" t="inlineStr">
        <is>
          <t>Fresh basil</t>
        </is>
      </c>
      <c r="C319" s="6" t="inlineStr">
        <is>
          <t>herb</t>
        </is>
      </c>
      <c r="D319" s="6" t="n">
        <v>23</v>
      </c>
      <c r="E319" s="6" t="n">
        <v>3.2</v>
      </c>
      <c r="F319" s="6" t="n">
        <v>0.6</v>
      </c>
      <c r="G319" s="6" t="n">
        <v>2.7</v>
      </c>
      <c r="H319" s="6" t="n">
        <v>1.6</v>
      </c>
      <c r="I319" s="6" t="n">
        <v>1.1</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cilantro</t>
        </is>
      </c>
      <c r="B320" s="6" t="inlineStr">
        <is>
          <t>Fresh cilantro</t>
        </is>
      </c>
      <c r="C320" s="6" t="inlineStr">
        <is>
          <t>herb</t>
        </is>
      </c>
      <c r="D320" s="6" t="n">
        <v>23</v>
      </c>
      <c r="E320" s="6" t="n">
        <v>2.1</v>
      </c>
      <c r="F320" s="6" t="n">
        <v>0.5</v>
      </c>
      <c r="G320" s="6" t="n">
        <v>3.7</v>
      </c>
      <c r="H320" s="6" t="n">
        <v>2.8</v>
      </c>
      <c r="I320" s="6" t="n">
        <v>0.9</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parsley</t>
        </is>
      </c>
      <c r="B321" s="6" t="inlineStr">
        <is>
          <t>Fresh parsley</t>
        </is>
      </c>
      <c r="C321" s="6" t="inlineStr">
        <is>
          <t>herb</t>
        </is>
      </c>
      <c r="D321" s="6" t="n">
        <v>36</v>
      </c>
      <c r="E321" s="6" t="n">
        <v>3</v>
      </c>
      <c r="F321" s="6" t="n">
        <v>0.8</v>
      </c>
      <c r="G321" s="6" t="n">
        <v>6.3</v>
      </c>
      <c r="H321" s="6" t="n">
        <v>3.3</v>
      </c>
      <c r="I321" s="6" t="n">
        <v>3</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dill</t>
        </is>
      </c>
      <c r="B322" s="6" t="inlineStr">
        <is>
          <t>Fresh dill</t>
        </is>
      </c>
      <c r="C322" s="6" t="inlineStr">
        <is>
          <t>herb</t>
        </is>
      </c>
      <c r="D322" s="6" t="n">
        <v>43</v>
      </c>
      <c r="E322" s="6" t="n">
        <v>3.5</v>
      </c>
      <c r="F322" s="6" t="n">
        <v>1.1</v>
      </c>
      <c r="G322" s="6" t="n">
        <v>7</v>
      </c>
      <c r="H322" s="6" t="n">
        <v>2.1</v>
      </c>
      <c r="I322" s="6" t="n">
        <v>4.9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mint</t>
        </is>
      </c>
      <c r="B323" s="6" t="inlineStr">
        <is>
          <t>Fresh mint</t>
        </is>
      </c>
      <c r="C323" s="6" t="inlineStr">
        <is>
          <t>herb</t>
        </is>
      </c>
      <c r="D323" s="6" t="n">
        <v>44</v>
      </c>
      <c r="E323" s="6" t="n">
        <v>3.3</v>
      </c>
      <c r="F323" s="6" t="n">
        <v>0.7</v>
      </c>
      <c r="G323" s="6" t="n">
        <v>8.4</v>
      </c>
      <c r="H323" s="6" t="n">
        <v>6.8</v>
      </c>
      <c r="I323" s="6" t="n">
        <v>1.6</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chives</t>
        </is>
      </c>
      <c r="B324" s="6" t="inlineStr">
        <is>
          <t>Fresh chives</t>
        </is>
      </c>
      <c r="C324" s="6" t="inlineStr">
        <is>
          <t>herb</t>
        </is>
      </c>
      <c r="D324" s="6" t="n">
        <v>30</v>
      </c>
      <c r="E324" s="6" t="n">
        <v>3.3</v>
      </c>
      <c r="F324" s="6" t="n">
        <v>0.7</v>
      </c>
      <c r="G324" s="6" t="n">
        <v>4.4</v>
      </c>
      <c r="H324" s="6" t="n">
        <v>2.5</v>
      </c>
      <c r="I324" s="6" t="n">
        <v>1.9</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rosemary</t>
        </is>
      </c>
      <c r="B325" s="6" t="inlineStr">
        <is>
          <t>Fresh rosemary</t>
        </is>
      </c>
      <c r="C325" s="6" t="inlineStr">
        <is>
          <t>herb</t>
        </is>
      </c>
      <c r="D325" s="6" t="n">
        <v>131</v>
      </c>
      <c r="E325" s="6" t="n">
        <v>3.3</v>
      </c>
      <c r="F325" s="6" t="n">
        <v>5.9</v>
      </c>
      <c r="G325" s="6" t="n">
        <v>20.7</v>
      </c>
      <c r="H325" s="6" t="n">
        <v>14.1</v>
      </c>
      <c r="I325" s="6" t="n">
        <v>6.6</v>
      </c>
      <c r="J325" s="6" t="n">
        <v>15</v>
      </c>
      <c r="K325" s="6" t="inlineStr">
        <is>
          <t>none (placeholder)</t>
        </is>
      </c>
      <c r="L325" s="7" t="inlineStr">
        <is>
          <t>Conventional placeholder for foods with too little carbohydrate to test (non-starchy vegetables, nuts, seeds, herbs); no published measurement exists</t>
        </is>
      </c>
      <c r="M325" s="7" t="inlineStr">
        <is>
          <t>not measurable</t>
        </is>
      </c>
      <c r="N325" s="6" t="inlineStr"/>
      <c r="O325" s="7" t="inlineStr">
        <is>
          <t>clinical convention</t>
        </is>
      </c>
      <c r="P325" s="7" t="inlineStr">
        <is>
          <t>USDA FoodData Central (SR Legacy / Foundation Foods), fdc.nal.usda.gov</t>
        </is>
      </c>
      <c r="Q325" s="6" t="inlineStr">
        <is>
          <t>2026-09-26</t>
        </is>
      </c>
    </row>
    <row r="326">
      <c r="A326" s="6" t="inlineStr">
        <is>
          <t>thyme</t>
        </is>
      </c>
      <c r="B326" s="6" t="inlineStr">
        <is>
          <t>Fresh thyme</t>
        </is>
      </c>
      <c r="C326" s="6" t="inlineStr">
        <is>
          <t>herb</t>
        </is>
      </c>
      <c r="D326" s="6" t="n">
        <v>101</v>
      </c>
      <c r="E326" s="6" t="n">
        <v>5.6</v>
      </c>
      <c r="F326" s="6" t="n">
        <v>1.7</v>
      </c>
      <c r="G326" s="6" t="n">
        <v>24</v>
      </c>
      <c r="H326" s="6" t="n">
        <v>14</v>
      </c>
      <c r="I326" s="6" t="n">
        <v>10</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oregano_fresh</t>
        </is>
      </c>
      <c r="B327" s="6" t="inlineStr">
        <is>
          <t>Fresh oregano</t>
        </is>
      </c>
      <c r="C327" s="6" t="inlineStr">
        <is>
          <t>herb</t>
        </is>
      </c>
      <c r="D327" s="6" t="n">
        <v>66</v>
      </c>
      <c r="E327" s="6" t="n">
        <v>2.2</v>
      </c>
      <c r="F327" s="6" t="n">
        <v>1.4</v>
      </c>
      <c r="G327" s="6" t="n">
        <v>15</v>
      </c>
      <c r="H327" s="6" t="n">
        <v>8.6</v>
      </c>
      <c r="I327" s="6" t="n">
        <v>6.4</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sage</t>
        </is>
      </c>
      <c r="B328" s="6" t="inlineStr">
        <is>
          <t>Fresh sage</t>
        </is>
      </c>
      <c r="C328" s="6" t="inlineStr">
        <is>
          <t>herb</t>
        </is>
      </c>
      <c r="D328" s="6" t="n">
        <v>315</v>
      </c>
      <c r="E328" s="6" t="n">
        <v>10.6</v>
      </c>
      <c r="F328" s="6" t="n">
        <v>12.7</v>
      </c>
      <c r="G328" s="6" t="n">
        <v>60</v>
      </c>
      <c r="H328" s="6" t="n">
        <v>40</v>
      </c>
      <c r="I328" s="6" t="n">
        <v>20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lemongrass</t>
        </is>
      </c>
      <c r="B329" s="6" t="inlineStr">
        <is>
          <t>Lemongrass</t>
        </is>
      </c>
      <c r="C329" s="6" t="inlineStr">
        <is>
          <t>herb</t>
        </is>
      </c>
      <c r="D329" s="6" t="n">
        <v>99</v>
      </c>
      <c r="E329" s="6" t="n">
        <v>1.8</v>
      </c>
      <c r="F329" s="6" t="n">
        <v>0.5</v>
      </c>
      <c r="G329" s="6" t="n">
        <v>25</v>
      </c>
      <c r="H329" s="6" t="n">
        <v>0</v>
      </c>
      <c r="I329" s="6" t="n">
        <v>25</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salt</t>
        </is>
      </c>
      <c r="B330" s="6" t="inlineStr">
        <is>
          <t>Salt</t>
        </is>
      </c>
      <c r="C330" s="6" t="inlineStr">
        <is>
          <t>spice</t>
        </is>
      </c>
      <c r="D330" s="6" t="n">
        <v>0</v>
      </c>
      <c r="E330" s="6" t="n">
        <v>0</v>
      </c>
      <c r="F330" s="6" t="n">
        <v>0</v>
      </c>
      <c r="G330" s="6" t="n">
        <v>0</v>
      </c>
      <c r="H330" s="6" t="n">
        <v>0</v>
      </c>
      <c r="I330" s="6" t="n">
        <v>0</v>
      </c>
      <c r="J330" s="6" t="n">
        <v>0</v>
      </c>
      <c r="K330" s="6" t="inlineStr">
        <is>
          <t>definitional</t>
        </is>
      </c>
      <c r="L330" s="7" t="inlineStr">
        <is>
          <t>No available carbohydrate — GI is 0 by definition (protein / fat / water)</t>
        </is>
      </c>
      <c r="M330" s="7" t="inlineStr">
        <is>
          <t>n/a</t>
        </is>
      </c>
      <c r="N330" s="6" t="inlineStr"/>
      <c r="O330" s="7" t="inlineStr">
        <is>
          <t>ISO 26642:2010</t>
        </is>
      </c>
      <c r="P330" s="7" t="inlineStr">
        <is>
          <t>USDA FoodData Central (SR Legacy / Foundation Foods), fdc.nal.usda.gov</t>
        </is>
      </c>
      <c r="Q330" s="6" t="inlineStr">
        <is>
          <t>2026-09-26</t>
        </is>
      </c>
    </row>
    <row r="331">
      <c r="A331" s="6" t="inlineStr">
        <is>
          <t>black_pepper</t>
        </is>
      </c>
      <c r="B331" s="6" t="inlineStr">
        <is>
          <t>Black pepper</t>
        </is>
      </c>
      <c r="C331" s="6" t="inlineStr">
        <is>
          <t>spice</t>
        </is>
      </c>
      <c r="D331" s="6" t="n">
        <v>251</v>
      </c>
      <c r="E331" s="6" t="n">
        <v>10</v>
      </c>
      <c r="F331" s="6" t="n">
        <v>3.3</v>
      </c>
      <c r="G331" s="6" t="n">
        <v>64</v>
      </c>
      <c r="H331" s="6" t="n">
        <v>25</v>
      </c>
      <c r="I331" s="6" t="n">
        <v>39</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spice</t>
        </is>
      </c>
      <c r="B332" s="6" t="inlineStr">
        <is>
          <t>Dried spices/herbs (generic)</t>
        </is>
      </c>
      <c r="C332" s="6" t="inlineStr">
        <is>
          <t>spice</t>
        </is>
      </c>
      <c r="D332" s="6" t="n">
        <v>300</v>
      </c>
      <c r="E332" s="6" t="n">
        <v>10</v>
      </c>
      <c r="F332" s="6" t="n">
        <v>8</v>
      </c>
      <c r="G332" s="6" t="n">
        <v>55</v>
      </c>
      <c r="H332" s="6" t="n">
        <v>25</v>
      </c>
      <c r="I332" s="6" t="n">
        <v>30</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cumin</t>
        </is>
      </c>
      <c r="B333" s="6" t="inlineStr">
        <is>
          <t>Ground cumin</t>
        </is>
      </c>
      <c r="C333" s="6" t="inlineStr">
        <is>
          <t>spice</t>
        </is>
      </c>
      <c r="D333" s="6" t="n">
        <v>375</v>
      </c>
      <c r="E333" s="6" t="n">
        <v>18</v>
      </c>
      <c r="F333" s="6" t="n">
        <v>22</v>
      </c>
      <c r="G333" s="6" t="n">
        <v>44</v>
      </c>
      <c r="H333" s="6" t="n">
        <v>10.5</v>
      </c>
      <c r="I333" s="6" t="n">
        <v>33.5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chili_powder</t>
        </is>
      </c>
      <c r="B334" s="6" t="inlineStr">
        <is>
          <t>Chili powder</t>
        </is>
      </c>
      <c r="C334" s="6" t="inlineStr">
        <is>
          <t>spice</t>
        </is>
      </c>
      <c r="D334" s="6" t="n">
        <v>282</v>
      </c>
      <c r="E334" s="6" t="n">
        <v>13.5</v>
      </c>
      <c r="F334" s="6" t="n">
        <v>14</v>
      </c>
      <c r="G334" s="6" t="n">
        <v>50</v>
      </c>
      <c r="H334" s="6" t="n">
        <v>35</v>
      </c>
      <c r="I334" s="6" t="n">
        <v>15</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smoked_paprika</t>
        </is>
      </c>
      <c r="B335" s="6" t="inlineStr">
        <is>
          <t>Smoked paprika</t>
        </is>
      </c>
      <c r="C335" s="6" t="inlineStr">
        <is>
          <t>spice</t>
        </is>
      </c>
      <c r="D335" s="6" t="n">
        <v>282</v>
      </c>
      <c r="E335" s="6" t="n">
        <v>14</v>
      </c>
      <c r="F335" s="6" t="n">
        <v>13</v>
      </c>
      <c r="G335" s="6" t="n">
        <v>54</v>
      </c>
      <c r="H335" s="6" t="n">
        <v>35</v>
      </c>
      <c r="I335" s="6" t="n">
        <v>19</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paprika</t>
        </is>
      </c>
      <c r="B336" s="6" t="inlineStr">
        <is>
          <t>Paprika</t>
        </is>
      </c>
      <c r="C336" s="6" t="inlineStr">
        <is>
          <t>spice</t>
        </is>
      </c>
      <c r="D336" s="6" t="n">
        <v>282</v>
      </c>
      <c r="E336" s="6" t="n">
        <v>14</v>
      </c>
      <c r="F336" s="6" t="n">
        <v>13</v>
      </c>
      <c r="G336" s="6" t="n">
        <v>54</v>
      </c>
      <c r="H336" s="6" t="n">
        <v>35</v>
      </c>
      <c r="I336" s="6" t="n">
        <v>19</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turmeric</t>
        </is>
      </c>
      <c r="B337" s="6" t="inlineStr">
        <is>
          <t>Ground turmeric</t>
        </is>
      </c>
      <c r="C337" s="6" t="inlineStr">
        <is>
          <t>spice</t>
        </is>
      </c>
      <c r="D337" s="6" t="n">
        <v>312</v>
      </c>
      <c r="E337" s="6" t="n">
        <v>9.699999999999999</v>
      </c>
      <c r="F337" s="6" t="n">
        <v>3.3</v>
      </c>
      <c r="G337" s="6" t="n">
        <v>67</v>
      </c>
      <c r="H337" s="6" t="n">
        <v>22.7</v>
      </c>
      <c r="I337" s="6" t="n">
        <v>44.3</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cinnamon</t>
        </is>
      </c>
      <c r="B338" s="6" t="inlineStr">
        <is>
          <t>Ground cinnamon</t>
        </is>
      </c>
      <c r="C338" s="6" t="inlineStr">
        <is>
          <t>spice</t>
        </is>
      </c>
      <c r="D338" s="6" t="n">
        <v>247</v>
      </c>
      <c r="E338" s="6" t="n">
        <v>4</v>
      </c>
      <c r="F338" s="6" t="n">
        <v>1.2</v>
      </c>
      <c r="G338" s="6" t="n">
        <v>81</v>
      </c>
      <c r="H338" s="6" t="n">
        <v>53</v>
      </c>
      <c r="I338" s="6" t="n">
        <v>28</v>
      </c>
      <c r="J338" s="6" t="n">
        <v>5</v>
      </c>
      <c r="K338" s="6" t="inlineStr">
        <is>
          <t>low</t>
        </is>
      </c>
      <c r="L338" s="7" t="inlineStr">
        <is>
          <t>Estimated from the closest tested food; no direct measurement found in the pooled sources</t>
        </is>
      </c>
      <c r="M338" s="7" t="inlineStr">
        <is>
          <t>no direct match</t>
        </is>
      </c>
      <c r="N338" s="6" t="inlineStr"/>
      <c r="O3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38" s="7" t="inlineStr">
        <is>
          <t>USDA FoodData Central (SR Legacy / Foundation Foods), fdc.nal.usda.gov</t>
        </is>
      </c>
      <c r="Q338" s="6" t="inlineStr">
        <is>
          <t>2026-09-26</t>
        </is>
      </c>
    </row>
    <row r="339">
      <c r="A339" s="6" t="inlineStr">
        <is>
          <t>nutmeg</t>
        </is>
      </c>
      <c r="B339" s="6" t="inlineStr">
        <is>
          <t>Ground nutmeg</t>
        </is>
      </c>
      <c r="C339" s="6" t="inlineStr">
        <is>
          <t>spice</t>
        </is>
      </c>
      <c r="D339" s="6" t="n">
        <v>525</v>
      </c>
      <c r="E339" s="6" t="n">
        <v>6</v>
      </c>
      <c r="F339" s="6" t="n">
        <v>36</v>
      </c>
      <c r="G339" s="6" t="n">
        <v>49</v>
      </c>
      <c r="H339" s="6" t="n">
        <v>21</v>
      </c>
      <c r="I339" s="6" t="n">
        <v>28</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cardamom</t>
        </is>
      </c>
      <c r="B340" s="6" t="inlineStr">
        <is>
          <t>Ground cardamom</t>
        </is>
      </c>
      <c r="C340" s="6" t="inlineStr">
        <is>
          <t>spice</t>
        </is>
      </c>
      <c r="D340" s="6" t="n">
        <v>311</v>
      </c>
      <c r="E340" s="6" t="n">
        <v>11</v>
      </c>
      <c r="F340" s="6" t="n">
        <v>7</v>
      </c>
      <c r="G340" s="6" t="n">
        <v>68</v>
      </c>
      <c r="H340" s="6" t="n">
        <v>28</v>
      </c>
      <c r="I340" s="6" t="n">
        <v>40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cayenne</t>
        </is>
      </c>
      <c r="B341" s="6" t="inlineStr">
        <is>
          <t>Cayenne pepper</t>
        </is>
      </c>
      <c r="C341" s="6" t="inlineStr">
        <is>
          <t>spice</t>
        </is>
      </c>
      <c r="D341" s="6" t="n">
        <v>318</v>
      </c>
      <c r="E341" s="6" t="n">
        <v>12</v>
      </c>
      <c r="F341" s="6" t="n">
        <v>17</v>
      </c>
      <c r="G341" s="6" t="n">
        <v>57</v>
      </c>
      <c r="H341" s="6" t="n">
        <v>27</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red_pepper_flakes</t>
        </is>
      </c>
      <c r="B342" s="6" t="inlineStr">
        <is>
          <t>Red pepper flakes</t>
        </is>
      </c>
      <c r="C342" s="6" t="inlineStr">
        <is>
          <t>spice</t>
        </is>
      </c>
      <c r="D342" s="6" t="n">
        <v>318</v>
      </c>
      <c r="E342" s="6" t="n">
        <v>12</v>
      </c>
      <c r="F342" s="6" t="n">
        <v>17</v>
      </c>
      <c r="G342" s="6" t="n">
        <v>57</v>
      </c>
      <c r="H342" s="6" t="n">
        <v>27</v>
      </c>
      <c r="I342" s="6" t="n">
        <v>30</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garlic_powder</t>
        </is>
      </c>
      <c r="B343" s="6" t="inlineStr">
        <is>
          <t>Garlic powder</t>
        </is>
      </c>
      <c r="C343" s="6" t="inlineStr">
        <is>
          <t>spice</t>
        </is>
      </c>
      <c r="D343" s="6" t="n">
        <v>331</v>
      </c>
      <c r="E343" s="6" t="n">
        <v>16.5</v>
      </c>
      <c r="F343" s="6" t="n">
        <v>0.7</v>
      </c>
      <c r="G343" s="6" t="n">
        <v>72.7</v>
      </c>
      <c r="H343" s="6" t="n">
        <v>9</v>
      </c>
      <c r="I343" s="6" t="n">
        <v>63.7</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onion_powder</t>
        </is>
      </c>
      <c r="B344" s="6" t="inlineStr">
        <is>
          <t>Onion powder</t>
        </is>
      </c>
      <c r="C344" s="6" t="inlineStr">
        <is>
          <t>spice</t>
        </is>
      </c>
      <c r="D344" s="6" t="n">
        <v>341</v>
      </c>
      <c r="E344" s="6" t="n">
        <v>10</v>
      </c>
      <c r="F344" s="6" t="n">
        <v>1</v>
      </c>
      <c r="G344" s="6" t="n">
        <v>79</v>
      </c>
      <c r="H344" s="6" t="n">
        <v>15</v>
      </c>
      <c r="I344" s="6" t="n">
        <v>64</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oregano</t>
        </is>
      </c>
      <c r="B345" s="6" t="inlineStr">
        <is>
          <t>Dried oregano</t>
        </is>
      </c>
      <c r="C345" s="6" t="inlineStr">
        <is>
          <t>spice</t>
        </is>
      </c>
      <c r="D345" s="6" t="n">
        <v>265</v>
      </c>
      <c r="E345" s="6" t="n">
        <v>9</v>
      </c>
      <c r="F345" s="6" t="n">
        <v>4.3</v>
      </c>
      <c r="G345" s="6" t="n">
        <v>69</v>
      </c>
      <c r="H345" s="6" t="n">
        <v>42.5</v>
      </c>
      <c r="I345" s="6" t="n">
        <v>26.5</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italian_seasoning</t>
        </is>
      </c>
      <c r="B346" s="6" t="inlineStr">
        <is>
          <t>Italian seasoning</t>
        </is>
      </c>
      <c r="C346" s="6" t="inlineStr">
        <is>
          <t>spice</t>
        </is>
      </c>
      <c r="D346" s="6" t="n">
        <v>265</v>
      </c>
      <c r="E346" s="6" t="n">
        <v>9</v>
      </c>
      <c r="F346" s="6" t="n">
        <v>4.3</v>
      </c>
      <c r="G346" s="6" t="n">
        <v>69</v>
      </c>
      <c r="H346" s="6" t="n">
        <v>42.5</v>
      </c>
      <c r="I346" s="6" t="n">
        <v>26.5</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taco_seasoning</t>
        </is>
      </c>
      <c r="B347" s="6" t="inlineStr">
        <is>
          <t>Taco seasoning, low sodium</t>
        </is>
      </c>
      <c r="C347" s="6" t="inlineStr">
        <is>
          <t>spice</t>
        </is>
      </c>
      <c r="D347" s="6" t="n">
        <v>300</v>
      </c>
      <c r="E347" s="6" t="n">
        <v>10</v>
      </c>
      <c r="F347" s="6" t="n">
        <v>8</v>
      </c>
      <c r="G347" s="6" t="n">
        <v>55</v>
      </c>
      <c r="H347" s="6" t="n">
        <v>25</v>
      </c>
      <c r="I347" s="6" t="n">
        <v>30</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curry_powder</t>
        </is>
      </c>
      <c r="B348" s="6" t="inlineStr">
        <is>
          <t>Curry powder</t>
        </is>
      </c>
      <c r="C348" s="6" t="inlineStr">
        <is>
          <t>spice</t>
        </is>
      </c>
      <c r="D348" s="6" t="n">
        <v>325</v>
      </c>
      <c r="E348" s="6" t="n">
        <v>14</v>
      </c>
      <c r="F348" s="6" t="n">
        <v>14</v>
      </c>
      <c r="G348" s="6" t="n">
        <v>58</v>
      </c>
      <c r="H348" s="6" t="n">
        <v>53</v>
      </c>
      <c r="I348" s="6" t="n">
        <v>5</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garam_masala</t>
        </is>
      </c>
      <c r="B349" s="6" t="inlineStr">
        <is>
          <t>Garam masala</t>
        </is>
      </c>
      <c r="C349" s="6" t="inlineStr">
        <is>
          <t>spice</t>
        </is>
      </c>
      <c r="D349" s="6" t="n">
        <v>325</v>
      </c>
      <c r="E349" s="6" t="n">
        <v>14</v>
      </c>
      <c r="F349" s="6" t="n">
        <v>14</v>
      </c>
      <c r="G349" s="6" t="n">
        <v>58</v>
      </c>
      <c r="H349" s="6" t="n">
        <v>53</v>
      </c>
      <c r="I349" s="6" t="n">
        <v>5</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zaatar</t>
        </is>
      </c>
      <c r="B350" s="6" t="inlineStr">
        <is>
          <t>Za'atar</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everything_seasoning</t>
        </is>
      </c>
      <c r="B351" s="6" t="inlineStr">
        <is>
          <t>Everything bagel seasoning</t>
        </is>
      </c>
      <c r="C351" s="6" t="inlineStr">
        <is>
          <t>spice</t>
        </is>
      </c>
      <c r="D351" s="6" t="n">
        <v>350</v>
      </c>
      <c r="E351" s="6" t="n">
        <v>15</v>
      </c>
      <c r="F351" s="6" t="n">
        <v>20</v>
      </c>
      <c r="G351" s="6" t="n">
        <v>30</v>
      </c>
      <c r="H351" s="6" t="n">
        <v>10</v>
      </c>
      <c r="I351" s="6" t="n">
        <v>20</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old_bay</t>
        </is>
      </c>
      <c r="B352" s="6" t="inlineStr">
        <is>
          <t>Old Bay seasoning</t>
        </is>
      </c>
      <c r="C352" s="6" t="inlineStr">
        <is>
          <t>spice</t>
        </is>
      </c>
      <c r="D352" s="6" t="n">
        <v>300</v>
      </c>
      <c r="E352" s="6" t="n">
        <v>10</v>
      </c>
      <c r="F352" s="6" t="n">
        <v>8</v>
      </c>
      <c r="G352" s="6" t="n">
        <v>55</v>
      </c>
      <c r="H352" s="6" t="n">
        <v>25</v>
      </c>
      <c r="I352" s="6" t="n">
        <v>30</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row r="353">
      <c r="A353" s="6" t="inlineStr">
        <is>
          <t>cajun_seasoning</t>
        </is>
      </c>
      <c r="B353" s="6" t="inlineStr">
        <is>
          <t>Cajun seasoning</t>
        </is>
      </c>
      <c r="C353" s="6" t="inlineStr">
        <is>
          <t>spice</t>
        </is>
      </c>
      <c r="D353" s="6" t="n">
        <v>300</v>
      </c>
      <c r="E353" s="6" t="n">
        <v>10</v>
      </c>
      <c r="F353" s="6" t="n">
        <v>8</v>
      </c>
      <c r="G353" s="6" t="n">
        <v>55</v>
      </c>
      <c r="H353" s="6" t="n">
        <v>25</v>
      </c>
      <c r="I353" s="6" t="n">
        <v>30</v>
      </c>
      <c r="J353" s="6" t="n">
        <v>15</v>
      </c>
      <c r="K353" s="6" t="inlineStr">
        <is>
          <t>none (placeholder)</t>
        </is>
      </c>
      <c r="L353" s="7" t="inlineStr">
        <is>
          <t>Conventional placeholder for foods with too little carbohydrate to test (non-starchy vegetables, nuts, seeds, herbs); no published measurement exists</t>
        </is>
      </c>
      <c r="M353" s="7" t="inlineStr">
        <is>
          <t>not measurable</t>
        </is>
      </c>
      <c r="N353" s="6" t="inlineStr"/>
      <c r="O353" s="7" t="inlineStr">
        <is>
          <t>clinical convention</t>
        </is>
      </c>
      <c r="P353" s="7" t="inlineStr">
        <is>
          <t>USDA FoodData Central (SR Legacy / Foundation Foods), fdc.nal.usda.gov</t>
        </is>
      </c>
      <c r="Q353" s="6" t="inlineStr">
        <is>
          <t>2026-09-26</t>
        </is>
      </c>
    </row>
    <row r="354">
      <c r="A354" s="6" t="inlineStr">
        <is>
          <t>ranch_seasoning</t>
        </is>
      </c>
      <c r="B354" s="6" t="inlineStr">
        <is>
          <t>Ranch seasoning (dry)</t>
        </is>
      </c>
      <c r="C354" s="6" t="inlineStr">
        <is>
          <t>spice</t>
        </is>
      </c>
      <c r="D354" s="6" t="n">
        <v>300</v>
      </c>
      <c r="E354" s="6" t="n">
        <v>10</v>
      </c>
      <c r="F354" s="6" t="n">
        <v>8</v>
      </c>
      <c r="G354" s="6" t="n">
        <v>55</v>
      </c>
      <c r="H354" s="6" t="n">
        <v>25</v>
      </c>
      <c r="I354" s="6" t="n">
        <v>30</v>
      </c>
      <c r="J354" s="6" t="n">
        <v>15</v>
      </c>
      <c r="K354" s="6" t="inlineStr">
        <is>
          <t>none (placeholder)</t>
        </is>
      </c>
      <c r="L354" s="7" t="inlineStr">
        <is>
          <t>Conventional placeholder for foods with too little carbohydrate to test (non-starchy vegetables, nuts, seeds, herbs); no published measurement exists</t>
        </is>
      </c>
      <c r="M354" s="7" t="inlineStr">
        <is>
          <t>not measurable</t>
        </is>
      </c>
      <c r="N354" s="6" t="inlineStr"/>
      <c r="O354" s="7" t="inlineStr">
        <is>
          <t>clinical convention</t>
        </is>
      </c>
      <c r="P354" s="7" t="inlineStr">
        <is>
          <t>USDA FoodData Central (SR Legacy / Foundation Foods), fdc.nal.usda.gov</t>
        </is>
      </c>
      <c r="Q354" s="6" t="inlineStr">
        <is>
          <t>2026-09-26</t>
        </is>
      </c>
    </row>
    <row r="355">
      <c r="A355" s="6" t="inlineStr">
        <is>
          <t>bay_leaf</t>
        </is>
      </c>
      <c r="B355" s="6" t="inlineStr">
        <is>
          <t>Bay leaves</t>
        </is>
      </c>
      <c r="C355" s="6" t="inlineStr">
        <is>
          <t>spice</t>
        </is>
      </c>
      <c r="D355" s="6" t="n">
        <v>313</v>
      </c>
      <c r="E355" s="6" t="n">
        <v>7.6</v>
      </c>
      <c r="F355" s="6" t="n">
        <v>8.4</v>
      </c>
      <c r="G355" s="6" t="n">
        <v>75</v>
      </c>
      <c r="H355" s="6" t="n">
        <v>26</v>
      </c>
      <c r="I355" s="6" t="n">
        <v>49</v>
      </c>
      <c r="J355" s="6" t="n">
        <v>15</v>
      </c>
      <c r="K355" s="6" t="inlineStr">
        <is>
          <t>none (placeholder)</t>
        </is>
      </c>
      <c r="L355" s="7" t="inlineStr">
        <is>
          <t>Conventional placeholder for foods with too little carbohydrate to test (non-starchy vegetables, nuts, seeds, herbs); no published measurement exists</t>
        </is>
      </c>
      <c r="M355" s="7" t="inlineStr">
        <is>
          <t>not measurable</t>
        </is>
      </c>
      <c r="N355" s="6" t="inlineStr"/>
      <c r="O355" s="7" t="inlineStr">
        <is>
          <t>clinical convention</t>
        </is>
      </c>
      <c r="P355" s="7" t="inlineStr">
        <is>
          <t>USDA FoodData Central (SR Legacy / Foundation Foods), fdc.nal.usda.gov</t>
        </is>
      </c>
      <c r="Q355" s="6" t="inlineStr">
        <is>
          <t>2026-09-26</t>
        </is>
      </c>
    </row>
    <row r="356">
      <c r="A356" s="6" t="inlineStr">
        <is>
          <t>dried_dill</t>
        </is>
      </c>
      <c r="B356" s="6" t="inlineStr">
        <is>
          <t>Dried dill</t>
        </is>
      </c>
      <c r="C356" s="6" t="inlineStr">
        <is>
          <t>spice</t>
        </is>
      </c>
      <c r="D356" s="6" t="n">
        <v>253</v>
      </c>
      <c r="E356" s="6" t="n">
        <v>20</v>
      </c>
      <c r="F356" s="6" t="n">
        <v>4.4</v>
      </c>
      <c r="G356" s="6" t="n">
        <v>56</v>
      </c>
      <c r="H356" s="6" t="n">
        <v>14</v>
      </c>
      <c r="I356" s="6" t="n">
        <v>42</v>
      </c>
      <c r="J356" s="6" t="n">
        <v>15</v>
      </c>
      <c r="K356" s="6" t="inlineStr">
        <is>
          <t>none (placeholder)</t>
        </is>
      </c>
      <c r="L356" s="7" t="inlineStr">
        <is>
          <t>Conventional placeholder for foods with too little carbohydrate to test (non-starchy vegetables, nuts, seeds, herbs); no published measurement exists</t>
        </is>
      </c>
      <c r="M356" s="7" t="inlineStr">
        <is>
          <t>not measurable</t>
        </is>
      </c>
      <c r="N356" s="6" t="inlineStr"/>
      <c r="O356" s="7" t="inlineStr">
        <is>
          <t>clinical convention</t>
        </is>
      </c>
      <c r="P356" s="7" t="inlineStr">
        <is>
          <t>USDA FoodData Central (SR Legacy / Foundation Foods), fdc.nal.usda.gov</t>
        </is>
      </c>
      <c r="Q356" s="6" t="inlineStr">
        <is>
          <t>2026-09-26</t>
        </is>
      </c>
    </row>
    <row r="357">
      <c r="A357" s="6" t="inlineStr">
        <is>
          <t>dried_thyme</t>
        </is>
      </c>
      <c r="B357" s="6" t="inlineStr">
        <is>
          <t>Dried thyme</t>
        </is>
      </c>
      <c r="C357" s="6" t="inlineStr">
        <is>
          <t>spice</t>
        </is>
      </c>
      <c r="D357" s="6" t="n">
        <v>276</v>
      </c>
      <c r="E357" s="6" t="n">
        <v>9</v>
      </c>
      <c r="F357" s="6" t="n">
        <v>7.4</v>
      </c>
      <c r="G357" s="6" t="n">
        <v>64</v>
      </c>
      <c r="H357" s="6" t="n">
        <v>37</v>
      </c>
      <c r="I357" s="6" t="n">
        <v>27</v>
      </c>
      <c r="J357" s="6" t="n">
        <v>15</v>
      </c>
      <c r="K357" s="6" t="inlineStr">
        <is>
          <t>none (placeholder)</t>
        </is>
      </c>
      <c r="L357" s="7" t="inlineStr">
        <is>
          <t>Conventional placeholder for foods with too little carbohydrate to test (non-starchy vegetables, nuts, seeds, herbs); no published measurement exists</t>
        </is>
      </c>
      <c r="M357" s="7" t="inlineStr">
        <is>
          <t>not measurable</t>
        </is>
      </c>
      <c r="N357" s="6" t="inlineStr"/>
      <c r="O357" s="7" t="inlineStr">
        <is>
          <t>clinical convention</t>
        </is>
      </c>
      <c r="P357" s="7" t="inlineStr">
        <is>
          <t>USDA FoodData Central (SR Legacy / Foundation Foods), fdc.nal.usda.gov</t>
        </is>
      </c>
      <c r="Q357" s="6" t="inlineStr">
        <is>
          <t>2026-09-26</t>
        </is>
      </c>
    </row>
    <row r="358">
      <c r="A358" s="6" t="inlineStr">
        <is>
          <t>dried_rosemary</t>
        </is>
      </c>
      <c r="B358" s="6" t="inlineStr">
        <is>
          <t>Dried rosemary</t>
        </is>
      </c>
      <c r="C358" s="6" t="inlineStr">
        <is>
          <t>spice</t>
        </is>
      </c>
      <c r="D358" s="6" t="n">
        <v>331</v>
      </c>
      <c r="E358" s="6" t="n">
        <v>5</v>
      </c>
      <c r="F358" s="6" t="n">
        <v>15</v>
      </c>
      <c r="G358" s="6" t="n">
        <v>64</v>
      </c>
      <c r="H358" s="6" t="n">
        <v>43</v>
      </c>
      <c r="I358" s="6" t="n">
        <v>21</v>
      </c>
      <c r="J358" s="6" t="n">
        <v>15</v>
      </c>
      <c r="K358" s="6" t="inlineStr">
        <is>
          <t>none (placeholder)</t>
        </is>
      </c>
      <c r="L358" s="7" t="inlineStr">
        <is>
          <t>Conventional placeholder for foods with too little carbohydrate to test (non-starchy vegetables, nuts, seeds, herbs); no published measurement exists</t>
        </is>
      </c>
      <c r="M358" s="7" t="inlineStr">
        <is>
          <t>not measurable</t>
        </is>
      </c>
      <c r="N358" s="6" t="inlineStr"/>
      <c r="O358" s="7" t="inlineStr">
        <is>
          <t>clinical convention</t>
        </is>
      </c>
      <c r="P358" s="7" t="inlineStr">
        <is>
          <t>USDA FoodData Central (SR Legacy / Foundation Foods), fdc.nal.usda.gov</t>
        </is>
      </c>
      <c r="Q358" s="6" t="inlineStr">
        <is>
          <t>2026-09-26</t>
        </is>
      </c>
    </row>
    <row r="359">
      <c r="A359" s="6" t="inlineStr">
        <is>
          <t>coriander</t>
        </is>
      </c>
      <c r="B359" s="6" t="inlineStr">
        <is>
          <t>Ground coriander</t>
        </is>
      </c>
      <c r="C359" s="6" t="inlineStr">
        <is>
          <t>spice</t>
        </is>
      </c>
      <c r="D359" s="6" t="n">
        <v>298</v>
      </c>
      <c r="E359" s="6" t="n">
        <v>12</v>
      </c>
      <c r="F359" s="6" t="n">
        <v>18</v>
      </c>
      <c r="G359" s="6" t="n">
        <v>55</v>
      </c>
      <c r="H359" s="6" t="n">
        <v>42</v>
      </c>
      <c r="I359" s="6" t="n">
        <v>13</v>
      </c>
      <c r="J359" s="6" t="n">
        <v>15</v>
      </c>
      <c r="K359" s="6" t="inlineStr">
        <is>
          <t>none (placeholder)</t>
        </is>
      </c>
      <c r="L359" s="7" t="inlineStr">
        <is>
          <t>Conventional placeholder for foods with too little carbohydrate to test (non-starchy vegetables, nuts, seeds, herbs); no published measurement exists</t>
        </is>
      </c>
      <c r="M359" s="7" t="inlineStr">
        <is>
          <t>not measurable</t>
        </is>
      </c>
      <c r="N359" s="6" t="inlineStr"/>
      <c r="O359" s="7" t="inlineStr">
        <is>
          <t>clinical convention</t>
        </is>
      </c>
      <c r="P359" s="7" t="inlineStr">
        <is>
          <t>USDA FoodData Central (SR Legacy / Foundation Foods), fdc.nal.usda.gov</t>
        </is>
      </c>
      <c r="Q359" s="6" t="inlineStr">
        <is>
          <t>2026-09-26</t>
        </is>
      </c>
    </row>
    <row r="360">
      <c r="A360" s="6" t="inlineStr">
        <is>
          <t>mustard_seed</t>
        </is>
      </c>
      <c r="B360" s="6" t="inlineStr">
        <is>
          <t>Mustard seeds</t>
        </is>
      </c>
      <c r="C360" s="6" t="inlineStr">
        <is>
          <t>spice</t>
        </is>
      </c>
      <c r="D360" s="6" t="n">
        <v>508</v>
      </c>
      <c r="E360" s="6" t="n">
        <v>26</v>
      </c>
      <c r="F360" s="6" t="n">
        <v>36</v>
      </c>
      <c r="G360" s="6" t="n">
        <v>28</v>
      </c>
      <c r="H360" s="6" t="n">
        <v>12</v>
      </c>
      <c r="I360" s="6" t="n">
        <v>16</v>
      </c>
      <c r="J360" s="6" t="n">
        <v>15</v>
      </c>
      <c r="K360" s="6" t="inlineStr">
        <is>
          <t>none (placeholder)</t>
        </is>
      </c>
      <c r="L360" s="7" t="inlineStr">
        <is>
          <t>Conventional placeholder for foods with too little carbohydrate to test (non-starchy vegetables, nuts, seeds, herbs); no published measurement exists</t>
        </is>
      </c>
      <c r="M360" s="7" t="inlineStr">
        <is>
          <t>not measurable</t>
        </is>
      </c>
      <c r="N360" s="6" t="inlineStr"/>
      <c r="O360" s="7" t="inlineStr">
        <is>
          <t>clinical convention</t>
        </is>
      </c>
      <c r="P360" s="7" t="inlineStr">
        <is>
          <t>USDA FoodData Central (SR Legacy / Foundation Foods), fdc.nal.usda.gov</t>
        </is>
      </c>
      <c r="Q360" s="6" t="inlineStr">
        <is>
          <t>2026-09-26</t>
        </is>
      </c>
    </row>
    <row r="361">
      <c r="A361" s="6" t="inlineStr">
        <is>
          <t>pumpkin_pie_spice</t>
        </is>
      </c>
      <c r="B361" s="6" t="inlineStr">
        <is>
          <t>Pumpkin pie spice</t>
        </is>
      </c>
      <c r="C361" s="6" t="inlineStr">
        <is>
          <t>spice</t>
        </is>
      </c>
      <c r="D361" s="6" t="n">
        <v>342</v>
      </c>
      <c r="E361" s="6" t="n">
        <v>4</v>
      </c>
      <c r="F361" s="6" t="n">
        <v>5</v>
      </c>
      <c r="G361" s="6" t="n">
        <v>74</v>
      </c>
      <c r="H361" s="6" t="n">
        <v>25</v>
      </c>
      <c r="I361" s="6" t="n">
        <v>49</v>
      </c>
      <c r="J361" s="6" t="n">
        <v>15</v>
      </c>
      <c r="K361" s="6" t="inlineStr">
        <is>
          <t>none (placeholder)</t>
        </is>
      </c>
      <c r="L361" s="7" t="inlineStr">
        <is>
          <t>Conventional placeholder for foods with too little carbohydrate to test (non-starchy vegetables, nuts, seeds, herbs); no published measurement exists</t>
        </is>
      </c>
      <c r="M361" s="7" t="inlineStr">
        <is>
          <t>not measurable</t>
        </is>
      </c>
      <c r="N361" s="6" t="inlineStr"/>
      <c r="O361" s="7" t="inlineStr">
        <is>
          <t>clinical convention</t>
        </is>
      </c>
      <c r="P361" s="7" t="inlineStr">
        <is>
          <t>USDA FoodData Central (SR Legacy / Foundation Foods), fdc.nal.usda.gov</t>
        </is>
      </c>
      <c r="Q361" s="6" t="inlineStr">
        <is>
          <t>2026-09-26</t>
        </is>
      </c>
    </row>
    <row r="362">
      <c r="A362" s="6" t="inlineStr">
        <is>
          <t>five_spice</t>
        </is>
      </c>
      <c r="B362" s="6" t="inlineStr">
        <is>
          <t>Chinese five-spice</t>
        </is>
      </c>
      <c r="C362" s="6" t="inlineStr">
        <is>
          <t>spice</t>
        </is>
      </c>
      <c r="D362" s="6" t="n">
        <v>300</v>
      </c>
      <c r="E362" s="6" t="n">
        <v>10</v>
      </c>
      <c r="F362" s="6" t="n">
        <v>8</v>
      </c>
      <c r="G362" s="6" t="n">
        <v>55</v>
      </c>
      <c r="H362" s="6" t="n">
        <v>25</v>
      </c>
      <c r="I362" s="6" t="n">
        <v>30</v>
      </c>
      <c r="J362" s="6" t="n">
        <v>15</v>
      </c>
      <c r="K362" s="6" t="inlineStr">
        <is>
          <t>none (placeholder)</t>
        </is>
      </c>
      <c r="L362" s="7" t="inlineStr">
        <is>
          <t>Conventional placeholder for foods with too little carbohydrate to test (non-starchy vegetables, nuts, seeds, herbs); no published measurement exists</t>
        </is>
      </c>
      <c r="M362" s="7" t="inlineStr">
        <is>
          <t>not measurable</t>
        </is>
      </c>
      <c r="N362" s="6" t="inlineStr"/>
      <c r="O362" s="7" t="inlineStr">
        <is>
          <t>clinical convention</t>
        </is>
      </c>
      <c r="P362" s="7" t="inlineStr">
        <is>
          <t>USDA FoodData Central (SR Legacy / Foundation Foods), fdc.nal.usda.gov</t>
        </is>
      </c>
      <c r="Q362" s="6" t="inlineStr">
        <is>
          <t>2026-09-26</t>
        </is>
      </c>
    </row>
    <row r="363">
      <c r="A363" s="6" t="inlineStr">
        <is>
          <t>sumac</t>
        </is>
      </c>
      <c r="B363" s="6" t="inlineStr">
        <is>
          <t>Sumac</t>
        </is>
      </c>
      <c r="C363" s="6" t="inlineStr">
        <is>
          <t>spice</t>
        </is>
      </c>
      <c r="D363" s="6" t="n">
        <v>300</v>
      </c>
      <c r="E363" s="6" t="n">
        <v>10</v>
      </c>
      <c r="F363" s="6" t="n">
        <v>8</v>
      </c>
      <c r="G363" s="6" t="n">
        <v>55</v>
      </c>
      <c r="H363" s="6" t="n">
        <v>25</v>
      </c>
      <c r="I363" s="6" t="n">
        <v>30</v>
      </c>
      <c r="J363" s="6" t="n">
        <v>15</v>
      </c>
      <c r="K363" s="6" t="inlineStr">
        <is>
          <t>none (placeholder)</t>
        </is>
      </c>
      <c r="L363" s="7" t="inlineStr">
        <is>
          <t>Conventional placeholder for foods with too little carbohydrate to test (non-starchy vegetables, nuts, seeds, herbs); no published measurement exists</t>
        </is>
      </c>
      <c r="M363" s="7" t="inlineStr">
        <is>
          <t>not measurable</t>
        </is>
      </c>
      <c r="N363" s="6" t="inlineStr"/>
      <c r="O363" s="7" t="inlineStr">
        <is>
          <t>clinical convention</t>
        </is>
      </c>
      <c r="P363" s="7" t="inlineStr">
        <is>
          <t>USDA FoodData Central (SR Legacy / Foundation Foods), fdc.nal.usda.gov</t>
        </is>
      </c>
      <c r="Q363" s="6" t="inlineStr">
        <is>
          <t>2026-09-26</t>
        </is>
      </c>
    </row>
    <row r="364">
      <c r="A364" s="6" t="inlineStr">
        <is>
          <t>star_anise</t>
        </is>
      </c>
      <c r="B364" s="6" t="inlineStr">
        <is>
          <t>Star anise</t>
        </is>
      </c>
      <c r="C364" s="6" t="inlineStr">
        <is>
          <t>spice</t>
        </is>
      </c>
      <c r="D364" s="6" t="n">
        <v>337</v>
      </c>
      <c r="E364" s="6" t="n">
        <v>18</v>
      </c>
      <c r="F364" s="6" t="n">
        <v>16</v>
      </c>
      <c r="G364" s="6" t="n">
        <v>50</v>
      </c>
      <c r="H364" s="6" t="n">
        <v>15</v>
      </c>
      <c r="I364" s="6" t="n">
        <v>35</v>
      </c>
      <c r="J364" s="6" t="n">
        <v>15</v>
      </c>
      <c r="K364" s="6" t="inlineStr">
        <is>
          <t>none (placeholder)</t>
        </is>
      </c>
      <c r="L364" s="7" t="inlineStr">
        <is>
          <t>Conventional placeholder for foods with too little carbohydrate to test (non-starchy vegetables, nuts, seeds, herbs); no published measurement exists</t>
        </is>
      </c>
      <c r="M364" s="7" t="inlineStr">
        <is>
          <t>not measurable</t>
        </is>
      </c>
      <c r="N364" s="6" t="inlineStr"/>
      <c r="O364" s="7" t="inlineStr">
        <is>
          <t>clinical convention</t>
        </is>
      </c>
      <c r="P364" s="7" t="inlineStr">
        <is>
          <t>USDA FoodData Central (SR Legacy / Foundation Foods), fdc.nal.usda.gov</t>
        </is>
      </c>
      <c r="Q364" s="6" t="inlineStr">
        <is>
          <t>2026-09-26</t>
        </is>
      </c>
    </row>
    <row r="365">
      <c r="A365" s="6" t="inlineStr">
        <is>
          <t>chili_crisp</t>
        </is>
      </c>
      <c r="B365" s="6" t="inlineStr">
        <is>
          <t>Chili crisp (small amount)</t>
        </is>
      </c>
      <c r="C365" s="6" t="inlineStr">
        <is>
          <t>condiment</t>
        </is>
      </c>
      <c r="D365" s="6" t="n">
        <v>500</v>
      </c>
      <c r="E365" s="6" t="n">
        <v>5</v>
      </c>
      <c r="F365" s="6" t="n">
        <v>50</v>
      </c>
      <c r="G365" s="6" t="n">
        <v>10</v>
      </c>
      <c r="H365" s="6" t="n">
        <v>3</v>
      </c>
      <c r="I365" s="6" t="n">
        <v>7</v>
      </c>
      <c r="J365" s="6" t="n">
        <v>15</v>
      </c>
      <c r="K365" s="6" t="inlineStr">
        <is>
          <t>none (placeholder)</t>
        </is>
      </c>
      <c r="L365" s="7" t="inlineStr">
        <is>
          <t>Conventional placeholder for foods with too little carbohydrate to test (non-starchy vegetables, nuts, seeds, herbs); no published measurement exists</t>
        </is>
      </c>
      <c r="M365" s="7" t="inlineStr">
        <is>
          <t>not measurable</t>
        </is>
      </c>
      <c r="N365" s="6" t="inlineStr"/>
      <c r="O365" s="7" t="inlineStr">
        <is>
          <t>clinical convention</t>
        </is>
      </c>
      <c r="P365" s="7" t="inlineStr">
        <is>
          <t>USDA FoodData Central (SR Legacy / Foundation Foods), fdc.nal.usda.gov</t>
        </is>
      </c>
      <c r="Q365" s="6" t="inlineStr">
        <is>
          <t>2026-09-26</t>
        </is>
      </c>
    </row>
  </sheetData>
  <autoFilter ref="A1:Q365"/>
  <conditionalFormatting sqref="K2:K365">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COUNTIF(Recipes!$C$2:$C$1359,A2)</f>
        <v/>
      </c>
      <c r="C2" s="12">
        <f>AVERAGEIF(Recipes!$C$2:$C$1359,A2,Recipes!$N$2:$N$1359)</f>
        <v/>
      </c>
      <c r="D2" s="13">
        <f>AVERAGEIF(Recipes!$C$2:$C$1359,A2,Recipes!$S$2:$S$1359)</f>
        <v/>
      </c>
      <c r="E2" s="12">
        <f>AVERAGEIF(Recipes!$C$2:$C$1359,A2,Recipes!$T$2:$T$1359)</f>
        <v/>
      </c>
      <c r="F2" s="13">
        <f>AVERAGEIF(Recipes!$C$2:$C$1359,A2,Recipes!$V$2:$V$1359)</f>
        <v/>
      </c>
      <c r="G2" s="14">
        <f>COUNTIFS(Recipes!$C$2:$C$1359,A2,Recipes!$U$2:$U$1359,"low")/B2</f>
        <v/>
      </c>
    </row>
    <row r="3">
      <c r="A3" s="11" t="inlineStr">
        <is>
          <t>Breakfast</t>
        </is>
      </c>
      <c r="B3" s="11">
        <f>COUNTIF(Recipes!$C$2:$C$1359,A3)</f>
        <v/>
      </c>
      <c r="C3" s="12">
        <f>AVERAGEIF(Recipes!$C$2:$C$1359,A3,Recipes!$N$2:$N$1359)</f>
        <v/>
      </c>
      <c r="D3" s="13">
        <f>AVERAGEIF(Recipes!$C$2:$C$1359,A3,Recipes!$S$2:$S$1359)</f>
        <v/>
      </c>
      <c r="E3" s="12">
        <f>AVERAGEIF(Recipes!$C$2:$C$1359,A3,Recipes!$T$2:$T$1359)</f>
        <v/>
      </c>
      <c r="F3" s="13">
        <f>AVERAGEIF(Recipes!$C$2:$C$1359,A3,Recipes!$V$2:$V$1359)</f>
        <v/>
      </c>
      <c r="G3" s="14">
        <f>COUNTIFS(Recipes!$C$2:$C$1359,A3,Recipes!$U$2:$U$1359,"low")/B3</f>
        <v/>
      </c>
    </row>
    <row r="4">
      <c r="A4" s="11" t="inlineStr">
        <is>
          <t>Dessert</t>
        </is>
      </c>
      <c r="B4" s="11">
        <f>COUNTIF(Recipes!$C$2:$C$1359,A4)</f>
        <v/>
      </c>
      <c r="C4" s="12">
        <f>AVERAGEIF(Recipes!$C$2:$C$1359,A4,Recipes!$N$2:$N$1359)</f>
        <v/>
      </c>
      <c r="D4" s="13">
        <f>AVERAGEIF(Recipes!$C$2:$C$1359,A4,Recipes!$S$2:$S$1359)</f>
        <v/>
      </c>
      <c r="E4" s="12">
        <f>AVERAGEIF(Recipes!$C$2:$C$1359,A4,Recipes!$T$2:$T$1359)</f>
        <v/>
      </c>
      <c r="F4" s="13">
        <f>AVERAGEIF(Recipes!$C$2:$C$1359,A4,Recipes!$V$2:$V$1359)</f>
        <v/>
      </c>
      <c r="G4" s="14">
        <f>COUNTIFS(Recipes!$C$2:$C$1359,A4,Recipes!$U$2:$U$1359,"low")/B4</f>
        <v/>
      </c>
    </row>
    <row r="5">
      <c r="A5" s="11" t="inlineStr">
        <is>
          <t>Drinks &amp; Smoothies</t>
        </is>
      </c>
      <c r="B5" s="11">
        <f>COUNTIF(Recipes!$C$2:$C$1359,A5)</f>
        <v/>
      </c>
      <c r="C5" s="12">
        <f>AVERAGEIF(Recipes!$C$2:$C$1359,A5,Recipes!$N$2:$N$1359)</f>
        <v/>
      </c>
      <c r="D5" s="13">
        <f>AVERAGEIF(Recipes!$C$2:$C$1359,A5,Recipes!$S$2:$S$1359)</f>
        <v/>
      </c>
      <c r="E5" s="12">
        <f>AVERAGEIF(Recipes!$C$2:$C$1359,A5,Recipes!$T$2:$T$1359)</f>
        <v/>
      </c>
      <c r="F5" s="13">
        <f>AVERAGEIF(Recipes!$C$2:$C$1359,A5,Recipes!$V$2:$V$1359)</f>
        <v/>
      </c>
      <c r="G5" s="14">
        <f>COUNTIFS(Recipes!$C$2:$C$1359,A5,Recipes!$U$2:$U$1359,"low")/B5</f>
        <v/>
      </c>
    </row>
    <row r="6">
      <c r="A6" s="11" t="inlineStr">
        <is>
          <t>Poultry</t>
        </is>
      </c>
      <c r="B6" s="11">
        <f>COUNTIF(Recipes!$C$2:$C$1359,A6)</f>
        <v/>
      </c>
      <c r="C6" s="12">
        <f>AVERAGEIF(Recipes!$C$2:$C$1359,A6,Recipes!$N$2:$N$1359)</f>
        <v/>
      </c>
      <c r="D6" s="13">
        <f>AVERAGEIF(Recipes!$C$2:$C$1359,A6,Recipes!$S$2:$S$1359)</f>
        <v/>
      </c>
      <c r="E6" s="12">
        <f>AVERAGEIF(Recipes!$C$2:$C$1359,A6,Recipes!$T$2:$T$1359)</f>
        <v/>
      </c>
      <c r="F6" s="13">
        <f>AVERAGEIF(Recipes!$C$2:$C$1359,A6,Recipes!$V$2:$V$1359)</f>
        <v/>
      </c>
      <c r="G6" s="14">
        <f>COUNTIFS(Recipes!$C$2:$C$1359,A6,Recipes!$U$2:$U$1359,"low")/B6</f>
        <v/>
      </c>
    </row>
    <row r="7">
      <c r="A7" s="11" t="inlineStr">
        <is>
          <t>Salad</t>
        </is>
      </c>
      <c r="B7" s="11">
        <f>COUNTIF(Recipes!$C$2:$C$1359,A7)</f>
        <v/>
      </c>
      <c r="C7" s="12">
        <f>AVERAGEIF(Recipes!$C$2:$C$1359,A7,Recipes!$N$2:$N$1359)</f>
        <v/>
      </c>
      <c r="D7" s="13">
        <f>AVERAGEIF(Recipes!$C$2:$C$1359,A7,Recipes!$S$2:$S$1359)</f>
        <v/>
      </c>
      <c r="E7" s="12">
        <f>AVERAGEIF(Recipes!$C$2:$C$1359,A7,Recipes!$T$2:$T$1359)</f>
        <v/>
      </c>
      <c r="F7" s="13">
        <f>AVERAGEIF(Recipes!$C$2:$C$1359,A7,Recipes!$V$2:$V$1359)</f>
        <v/>
      </c>
      <c r="G7" s="14">
        <f>COUNTIFS(Recipes!$C$2:$C$1359,A7,Recipes!$U$2:$U$1359,"low")/B7</f>
        <v/>
      </c>
    </row>
    <row r="8">
      <c r="A8" s="11" t="inlineStr">
        <is>
          <t>Sandwiches &amp; Wraps</t>
        </is>
      </c>
      <c r="B8" s="11">
        <f>COUNTIF(Recipes!$C$2:$C$1359,A8)</f>
        <v/>
      </c>
      <c r="C8" s="12">
        <f>AVERAGEIF(Recipes!$C$2:$C$1359,A8,Recipes!$N$2:$N$1359)</f>
        <v/>
      </c>
      <c r="D8" s="13">
        <f>AVERAGEIF(Recipes!$C$2:$C$1359,A8,Recipes!$S$2:$S$1359)</f>
        <v/>
      </c>
      <c r="E8" s="12">
        <f>AVERAGEIF(Recipes!$C$2:$C$1359,A8,Recipes!$T$2:$T$1359)</f>
        <v/>
      </c>
      <c r="F8" s="13">
        <f>AVERAGEIF(Recipes!$C$2:$C$1359,A8,Recipes!$V$2:$V$1359)</f>
        <v/>
      </c>
      <c r="G8" s="14">
        <f>COUNTIFS(Recipes!$C$2:$C$1359,A8,Recipes!$U$2:$U$1359,"low")/B8</f>
        <v/>
      </c>
    </row>
    <row r="9">
      <c r="A9" s="11" t="inlineStr">
        <is>
          <t>Seafood</t>
        </is>
      </c>
      <c r="B9" s="11">
        <f>COUNTIF(Recipes!$C$2:$C$1359,A9)</f>
        <v/>
      </c>
      <c r="C9" s="12">
        <f>AVERAGEIF(Recipes!$C$2:$C$1359,A9,Recipes!$N$2:$N$1359)</f>
        <v/>
      </c>
      <c r="D9" s="13">
        <f>AVERAGEIF(Recipes!$C$2:$C$1359,A9,Recipes!$S$2:$S$1359)</f>
        <v/>
      </c>
      <c r="E9" s="12">
        <f>AVERAGEIF(Recipes!$C$2:$C$1359,A9,Recipes!$T$2:$T$1359)</f>
        <v/>
      </c>
      <c r="F9" s="13">
        <f>AVERAGEIF(Recipes!$C$2:$C$1359,A9,Recipes!$V$2:$V$1359)</f>
        <v/>
      </c>
      <c r="G9" s="14">
        <f>COUNTIFS(Recipes!$C$2:$C$1359,A9,Recipes!$U$2:$U$1359,"low")/B9</f>
        <v/>
      </c>
    </row>
    <row r="10">
      <c r="A10" s="11" t="inlineStr">
        <is>
          <t>Side Dish</t>
        </is>
      </c>
      <c r="B10" s="11">
        <f>COUNTIF(Recipes!$C$2:$C$1359,A10)</f>
        <v/>
      </c>
      <c r="C10" s="12">
        <f>AVERAGEIF(Recipes!$C$2:$C$1359,A10,Recipes!$N$2:$N$1359)</f>
        <v/>
      </c>
      <c r="D10" s="13">
        <f>AVERAGEIF(Recipes!$C$2:$C$1359,A10,Recipes!$S$2:$S$1359)</f>
        <v/>
      </c>
      <c r="E10" s="12">
        <f>AVERAGEIF(Recipes!$C$2:$C$1359,A10,Recipes!$T$2:$T$1359)</f>
        <v/>
      </c>
      <c r="F10" s="13">
        <f>AVERAGEIF(Recipes!$C$2:$C$1359,A10,Recipes!$V$2:$V$1359)</f>
        <v/>
      </c>
      <c r="G10" s="14">
        <f>COUNTIFS(Recipes!$C$2:$C$1359,A10,Recipes!$U$2:$U$1359,"low")/B10</f>
        <v/>
      </c>
    </row>
    <row r="11">
      <c r="A11" s="11" t="inlineStr">
        <is>
          <t>Snack &amp; Appetizer</t>
        </is>
      </c>
      <c r="B11" s="11">
        <f>COUNTIF(Recipes!$C$2:$C$1359,A11)</f>
        <v/>
      </c>
      <c r="C11" s="12">
        <f>AVERAGEIF(Recipes!$C$2:$C$1359,A11,Recipes!$N$2:$N$1359)</f>
        <v/>
      </c>
      <c r="D11" s="13">
        <f>AVERAGEIF(Recipes!$C$2:$C$1359,A11,Recipes!$S$2:$S$1359)</f>
        <v/>
      </c>
      <c r="E11" s="12">
        <f>AVERAGEIF(Recipes!$C$2:$C$1359,A11,Recipes!$T$2:$T$1359)</f>
        <v/>
      </c>
      <c r="F11" s="13">
        <f>AVERAGEIF(Recipes!$C$2:$C$1359,A11,Recipes!$V$2:$V$1359)</f>
        <v/>
      </c>
      <c r="G11" s="14">
        <f>COUNTIFS(Recipes!$C$2:$C$1359,A11,Recipes!$U$2:$U$1359,"low")/B11</f>
        <v/>
      </c>
    </row>
    <row r="12">
      <c r="A12" s="11" t="inlineStr">
        <is>
          <t>Soup &amp; Stew</t>
        </is>
      </c>
      <c r="B12" s="11">
        <f>COUNTIF(Recipes!$C$2:$C$1359,A12)</f>
        <v/>
      </c>
      <c r="C12" s="12">
        <f>AVERAGEIF(Recipes!$C$2:$C$1359,A12,Recipes!$N$2:$N$1359)</f>
        <v/>
      </c>
      <c r="D12" s="13">
        <f>AVERAGEIF(Recipes!$C$2:$C$1359,A12,Recipes!$S$2:$S$1359)</f>
        <v/>
      </c>
      <c r="E12" s="12">
        <f>AVERAGEIF(Recipes!$C$2:$C$1359,A12,Recipes!$T$2:$T$1359)</f>
        <v/>
      </c>
      <c r="F12" s="13">
        <f>AVERAGEIF(Recipes!$C$2:$C$1359,A12,Recipes!$V$2:$V$1359)</f>
        <v/>
      </c>
      <c r="G12" s="14">
        <f>COUNTIFS(Recipes!$C$2:$C$1359,A12,Recipes!$U$2:$U$1359,"low")/B12</f>
        <v/>
      </c>
    </row>
    <row r="13">
      <c r="A13" s="11" t="inlineStr">
        <is>
          <t>Vegetarian &amp; Vegan</t>
        </is>
      </c>
      <c r="B13" s="11">
        <f>COUNTIF(Recipes!$C$2:$C$1359,A13)</f>
        <v/>
      </c>
      <c r="C13" s="12">
        <f>AVERAGEIF(Recipes!$C$2:$C$1359,A13,Recipes!$N$2:$N$1359)</f>
        <v/>
      </c>
      <c r="D13" s="13">
        <f>AVERAGEIF(Recipes!$C$2:$C$1359,A13,Recipes!$S$2:$S$1359)</f>
        <v/>
      </c>
      <c r="E13" s="12">
        <f>AVERAGEIF(Recipes!$C$2:$C$1359,A13,Recipes!$T$2:$T$1359)</f>
        <v/>
      </c>
      <c r="F13" s="13">
        <f>AVERAGEIF(Recipes!$C$2:$C$1359,A13,Recipes!$V$2:$V$1359)</f>
        <v/>
      </c>
      <c r="G13" s="14">
        <f>COUNTIFS(Recipes!$C$2:$C$1359,A13,Recipes!$U$2:$U$1359,"low")/B13</f>
        <v/>
      </c>
    </row>
    <row r="14">
      <c r="A14" s="15" t="inlineStr">
        <is>
          <t>TOTAL</t>
        </is>
      </c>
      <c r="B14" s="15">
        <f>SUM(B2:B13)</f>
        <v/>
      </c>
      <c r="G14" s="16">
        <f>COUNTIF(Recipes!$U$2:$U$1359,"low")/B14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2026-10-11T19:55:20Z</dcterms:created>
  <dcterms:modified xsi:type="dcterms:W3CDTF">2026-10-11T19:55:22Z</dcterms:modified>
</cp:coreProperties>
</file>