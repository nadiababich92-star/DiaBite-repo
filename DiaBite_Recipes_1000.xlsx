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ources" sheetId="3" state="visible" r:id="rId3"/>
    <sheet name="Summary" sheetId="4" state="visible" r:id="rId4"/>
    <sheet name="Methodology" sheetId="5" state="visible" r:id="rId5"/>
  </sheets>
  <definedNames>
    <definedName name="_xlnm._FilterDatabase" localSheetId="0" hidden="1">'Recipes'!$A$1:$AC$1001</definedName>
    <definedName name="_xlnm._FilterDatabase" localSheetId="1" hidden="1">'Ingredients'!$A$1:$Q$352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sz val="10"/>
    </font>
    <font>
      <name val="Arial"/>
      <b val="1"/>
    </font>
    <font>
      <name val="Arial"/>
      <i val="1"/>
      <sz val="9"/>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4" fillId="0" borderId="0" pivotButton="0" quotePrefix="0" xfId="0"/>
    <xf numFmtId="9" fontId="0"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46" customWidth="1" min="25" max="25"/>
    <col width="12" customWidth="1" min="26" max="26"/>
    <col width="36" customWidth="1" min="27" max="27"/>
    <col width="80" customWidth="1" min="28" max="28"/>
    <col width="30" customWidth="1" min="29" max="29"/>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gi_evidence</t>
        </is>
      </c>
      <c r="Z1" s="1" t="inlineStr">
        <is>
          <t>gi_measured_carb_share_pct</t>
        </is>
      </c>
      <c r="AA1" s="1" t="inlineStr">
        <is>
          <t>diet_tags</t>
        </is>
      </c>
      <c r="AB1" s="1" t="inlineStr">
        <is>
          <t>instructions</t>
        </is>
      </c>
      <c r="AC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0% of this dish's available carbohydrate comes from ingredients with a published, measured GI; the rest uses conventional placeholders (see Ingredients sheet)</t>
        </is>
      </c>
      <c r="Z2" s="2" t="n">
        <v>0</v>
      </c>
      <c r="AA2" s="3" t="inlineStr">
        <is>
          <t>vegetarian, gluten-free, nut-free, low-carb, quick</t>
        </is>
      </c>
      <c r="AB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C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0% of this dish's available carbohydrate comes from ingredients with a published, measured GI; the rest uses conventional placeholders (see Ingredients sheet)</t>
        </is>
      </c>
      <c r="Z3" s="2" t="n">
        <v>0</v>
      </c>
      <c r="AA3" s="3" t="inlineStr">
        <is>
          <t>vegetarian, gluten-free, nut-free, low-carb, quick</t>
        </is>
      </c>
      <c r="AB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C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55</v>
      </c>
      <c r="U4" s="2" t="inlineStr">
        <is>
          <t>low</t>
        </is>
      </c>
      <c r="V4" s="5" t="n">
        <v>7.7</v>
      </c>
      <c r="W4" s="2" t="inlineStr">
        <is>
          <t>low</t>
        </is>
      </c>
      <c r="X4" s="3" t="inlineStr"/>
      <c r="Y4" s="3" t="inlineStr">
        <is>
          <t>85% of this dish's available carbohydrate comes from ingredients with a published, measured GI; the rest uses conventional placeholders (see Ingredients sheet)</t>
        </is>
      </c>
      <c r="Z4" s="2" t="n">
        <v>85</v>
      </c>
      <c r="AA4" s="3" t="inlineStr">
        <is>
          <t>vegetarian, gluten-free, dairy-free, nut-free, low-carb, high-fiber, quick</t>
        </is>
      </c>
      <c r="AB4" s="3" t="inlineStr">
        <is>
          <t>1. Toast the bread until golden.
2. Mash the avocado with lemon juice and salt and spread over the toast.
3. Fry or poach the egg to your liking and set it on top.
4. Finish with red pepper flakes.</t>
        </is>
      </c>
      <c r="AC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50% of this dish's available carbohydrate comes from ingredients with a published, measured GI; the rest uses conventional placeholders (see Ingredients sheet)</t>
        </is>
      </c>
      <c r="Z5" s="2" t="n">
        <v>50</v>
      </c>
      <c r="AA5" s="3" t="inlineStr">
        <is>
          <t>vegetarian, gluten-free, high-protein, high-fiber, no-cook, quick</t>
        </is>
      </c>
      <c r="AB5" s="3" t="inlineStr">
        <is>
          <t>1. Spoon half the yogurt into a glass or bowl.
2. Layer half the berries and walnuts, then repeat with the remaining yogurt and toppings.
3. Sprinkle chia seeds and cinnamon on top and serve, or refrigerate up to 24 hours.</t>
        </is>
      </c>
      <c r="AC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90% of this dish's available carbohydrate comes from ingredients with a published, measured GI; the rest uses conventional placeholders (see Ingredients sheet)</t>
        </is>
      </c>
      <c r="Z6" s="2" t="n">
        <v>90</v>
      </c>
      <c r="AA6" s="3" t="inlineStr">
        <is>
          <t>vegan, dairy-free, high-fiber, no-cook, make-ahead</t>
        </is>
      </c>
      <c r="AB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C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0% of this dish's available carbohydrate comes from ingredients with a published, measured GI; the rest uses conventional placeholders (see Ingredients sheet)</t>
        </is>
      </c>
      <c r="Z7" s="2" t="n">
        <v>0</v>
      </c>
      <c r="AA7" s="3" t="inlineStr">
        <is>
          <t>vegan, gluten-free, dairy-free, low-carb, high-fiber, no-cook, make-ahead</t>
        </is>
      </c>
      <c r="AB7" s="3" t="inlineStr">
        <is>
          <t>1. Whisk chia seeds, almond milk, vanilla and sweetener in a bowl.
2. Let stand 10 minutes, whisk again to break up clumps, then refrigerate at least 4 hours or overnight.
3. Spoon into bowls and top with raspberries and sliced almonds.</t>
        </is>
      </c>
      <c r="AC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33</v>
      </c>
      <c r="U8" s="2" t="inlineStr">
        <is>
          <t>low</t>
        </is>
      </c>
      <c r="V8" s="5" t="n">
        <v>6.4</v>
      </c>
      <c r="W8" s="2" t="inlineStr">
        <is>
          <t>low</t>
        </is>
      </c>
      <c r="X8" s="3" t="inlineStr"/>
      <c r="Y8" s="3" t="inlineStr">
        <is>
          <t>49% of this dish's available carbohydrate comes from ingredients with a published, measured GI; the rest uses conventional placeholders (see Ingredients sheet)</t>
        </is>
      </c>
      <c r="Z8" s="2" t="n">
        <v>49</v>
      </c>
      <c r="AA8" s="3" t="inlineStr">
        <is>
          <t>vegetarian, gluten-free, high-protein, no-cook, quick</t>
        </is>
      </c>
      <c r="AB8" s="3" t="inlineStr">
        <is>
          <t>1. Spoon the cottage cheese into a bowl.
2. Slice the peach and arrange on top.
3. Sprinkle with chopped pecans, ground flaxseed and cinnamon.</t>
        </is>
      </c>
      <c r="AC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33% of this dish's available carbohydrate comes from ingredients with a published, measured GI; the rest uses conventional placeholders (see Ingredients sheet)</t>
        </is>
      </c>
      <c r="Z9" s="2" t="n">
        <v>33</v>
      </c>
      <c r="AA9" s="3" t="inlineStr">
        <is>
          <t>vegetarian, nut-free, high-protein, high-fiber</t>
        </is>
      </c>
      <c r="AB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C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0% of this dish's available carbohydrate comes from ingredients with a published, measured GI; the rest uses conventional placeholders (see Ingredients sheet)</t>
        </is>
      </c>
      <c r="Z10" s="2" t="n">
        <v>0</v>
      </c>
      <c r="AA10" s="3" t="inlineStr">
        <is>
          <t>gluten-free, nut-free, low-carb, high-protein, make-ahead</t>
        </is>
      </c>
      <c r="AB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C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46% of this dish's available carbohydrate comes from ingredients with a published, measured GI; the rest uses conventional placeholders (see Ingredients sheet)</t>
        </is>
      </c>
      <c r="Z11" s="2" t="n">
        <v>46</v>
      </c>
      <c r="AA11" s="3" t="inlineStr">
        <is>
          <t>vegetarian, gluten-free, dairy-free, low-carb</t>
        </is>
      </c>
      <c r="AB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C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0% of this dish's available carbohydrate comes from ingredients with a published, measured GI; the rest uses conventional placeholders (see Ingredients sheet)</t>
        </is>
      </c>
      <c r="Z12" s="2" t="n">
        <v>0</v>
      </c>
      <c r="AA12" s="3" t="inlineStr">
        <is>
          <t>vegetarian, gluten-free, nut-free, one-pan</t>
        </is>
      </c>
      <c r="AB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C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0% of this dish's available carbohydrate comes from ingredients with a published, measured GI; the rest uses conventional placeholders (see Ingredients sheet)</t>
        </is>
      </c>
      <c r="Z13" s="2" t="n">
        <v>0</v>
      </c>
      <c r="AA13" s="3" t="inlineStr">
        <is>
          <t>pescatarian, gluten-free, nut-free, low-carb, high-protein, quick</t>
        </is>
      </c>
      <c r="AB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C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70% of this dish's available carbohydrate comes from ingredients with a published, measured GI; the rest uses conventional placeholders (see Ingredients sheet)</t>
        </is>
      </c>
      <c r="Z14" s="2" t="n">
        <v>70</v>
      </c>
      <c r="AA14" s="3" t="inlineStr">
        <is>
          <t>vegetarian, gluten-free, high-protein, no-cook, quick</t>
        </is>
      </c>
      <c r="AB14" s="3" t="inlineStr">
        <is>
          <t>1. Add almond milk, protein powder, peanut butter, spinach, banana and chia seeds to a blender.
2. Add a handful of ice and blend on high until completely smooth.
3. Pour into a glass and drink right away.</t>
        </is>
      </c>
      <c r="AC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38% of this dish's available carbohydrate comes from ingredients with a published, measured GI; the rest uses conventional placeholders (see Ingredients sheet)</t>
        </is>
      </c>
      <c r="Z15" s="2" t="n">
        <v>38</v>
      </c>
      <c r="AA15" s="3" t="inlineStr">
        <is>
          <t>vegetarian, gluten-free, nut-free, low-carb, no-cook, quick</t>
        </is>
      </c>
      <c r="AB15" s="3" t="inlineStr">
        <is>
          <t>1. Combine all ingredients in a blender.
2. Blend on high for 45–60 seconds until silky.
3. Adjust thickness with water and serve cold.</t>
        </is>
      </c>
      <c r="AC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0% of this dish's available carbohydrate comes from ingredients with a published, measured GI; the rest uses conventional placeholders (see Ingredients sheet)</t>
        </is>
      </c>
      <c r="Z16" s="2" t="n">
        <v>0</v>
      </c>
      <c r="AA16" s="3" t="inlineStr">
        <is>
          <t>vegetarian, gluten-free, nut-free, low-carb, high-protein, quick</t>
        </is>
      </c>
      <c r="AB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C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18% of this dish's available carbohydrate comes from ingredients with a published, measured GI; the rest uses conventional placeholders (see Ingredients sheet)</t>
        </is>
      </c>
      <c r="Z17" s="2" t="n">
        <v>18</v>
      </c>
      <c r="AA17" s="3" t="inlineStr">
        <is>
          <t>vegetarian, gluten-free, nut-free, low-carb, make-ahead</t>
        </is>
      </c>
      <c r="AB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C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17% of this dish's available carbohydrate comes from ingredients with a published, measured GI; the rest uses conventional placeholders (see Ingredients sheet)</t>
        </is>
      </c>
      <c r="Z18" s="2" t="n">
        <v>17</v>
      </c>
      <c r="AA18" s="3" t="inlineStr">
        <is>
          <t>vegetarian, gluten-free, nut-free, low-carb, make-ahead, meal-prep</t>
        </is>
      </c>
      <c r="AB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C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88% of this dish's available carbohydrate comes from ingredients with a published, measured GI; the rest uses conventional placeholders (see Ingredients sheet)</t>
        </is>
      </c>
      <c r="Z19" s="2" t="n">
        <v>88</v>
      </c>
      <c r="AA19" s="3" t="inlineStr">
        <is>
          <t>vegetarian, nut-free, high-fiber, quick</t>
        </is>
      </c>
      <c r="AB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C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26</v>
      </c>
      <c r="U20" s="2" t="inlineStr">
        <is>
          <t>low</t>
        </is>
      </c>
      <c r="V20" s="5" t="n">
        <v>4.5</v>
      </c>
      <c r="W20" s="2" t="inlineStr">
        <is>
          <t>low</t>
        </is>
      </c>
      <c r="X20" s="3" t="inlineStr"/>
      <c r="Y20" s="3" t="inlineStr">
        <is>
          <t>54% of this dish's available carbohydrate comes from ingredients with a published, measured GI; the rest uses conventional placeholders (see Ingredients sheet)</t>
        </is>
      </c>
      <c r="Z20" s="2" t="n">
        <v>54</v>
      </c>
      <c r="AA20" s="3" t="inlineStr">
        <is>
          <t>vegetarian, gluten-free, no-cook, quick</t>
        </is>
      </c>
      <c r="AB20" s="3" t="inlineStr">
        <is>
          <t>1. Whisk ricotta with vanilla, cinnamon and sweetener until fluffy.
2. Spoon into a bowl and top with sliced strawberries.
3. Sprinkle with chopped pistachios.</t>
        </is>
      </c>
      <c r="AC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80% of this dish's available carbohydrate comes from ingredients with a published, measured GI; the rest uses conventional placeholders (see Ingredients sheet)</t>
        </is>
      </c>
      <c r="Z21" s="2" t="n">
        <v>80</v>
      </c>
      <c r="AA21" s="3" t="inlineStr">
        <is>
          <t>vegetarian, gluten-free, nut-free, high-fiber</t>
        </is>
      </c>
      <c r="AB21" s="3" t="inlineStr">
        <is>
          <t>1. Warm black beans with cumin and mash lightly.
2. Toast tortillas in a dry skillet until pliable and lightly charred.
3. Fry the eggs in olive oil until the whites are set.
4. Top each tortilla with beans, two eggs, warm salsa, avocado, cotija and cilantro.</t>
        </is>
      </c>
      <c r="AC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41</v>
      </c>
      <c r="U22" s="2" t="inlineStr">
        <is>
          <t>low</t>
        </is>
      </c>
      <c r="V22" s="5" t="n">
        <v>9.800000000000001</v>
      </c>
      <c r="W22" s="2" t="inlineStr">
        <is>
          <t>low</t>
        </is>
      </c>
      <c r="X22" s="3" t="inlineStr"/>
      <c r="Y22" s="3" t="inlineStr">
        <is>
          <t>90% of this dish's available carbohydrate comes from ingredients with a published, measured GI; the rest uses conventional placeholders (see Ingredients sheet)</t>
        </is>
      </c>
      <c r="Z22" s="2" t="n">
        <v>90</v>
      </c>
      <c r="AA22" s="3" t="inlineStr">
        <is>
          <t>nut-free, quick</t>
        </is>
      </c>
      <c r="AB22" s="3" t="inlineStr">
        <is>
          <t>1. Cook turkey bacon in a skillet until crisp; set aside.
2. Fry the egg in olive oil, breaking the yolk for a firmer sandwich.
3. Toast the English muffin and layer cheese, egg, bacon and tomato slices.
4. Close and serve warm.</t>
        </is>
      </c>
      <c r="AC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0% of this dish's available carbohydrate comes from ingredients with a published, measured GI; the rest uses conventional placeholders (see Ingredients sheet)</t>
        </is>
      </c>
      <c r="Z23" s="2" t="n">
        <v>0</v>
      </c>
      <c r="AA23" s="3" t="inlineStr">
        <is>
          <t>vegetarian, gluten-free, nut-free, low-carb, make-ahead</t>
        </is>
      </c>
      <c r="AB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C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0% of this dish's available carbohydrate comes from ingredients with a published, measured GI; the rest uses conventional placeholders (see Ingredients sheet)</t>
        </is>
      </c>
      <c r="Z24" s="2" t="n">
        <v>0</v>
      </c>
      <c r="AA24" s="3" t="inlineStr">
        <is>
          <t>vegan, gluten-free, dairy-free, nut-free, low-carb, high-protein, quick</t>
        </is>
      </c>
      <c r="AB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C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0% of this dish's available carbohydrate comes from ingredients with a published, measured GI; the rest uses conventional placeholders (see Ingredients sheet)</t>
        </is>
      </c>
      <c r="Z25" s="2" t="n">
        <v>0</v>
      </c>
      <c r="AA25" s="3" t="inlineStr">
        <is>
          <t>pescatarian, gluten-free, dairy-free, nut-free, low-carb, high-protein, quick, omega-3</t>
        </is>
      </c>
      <c r="AB25" s="3" t="inlineStr">
        <is>
          <t>1. Sauté chopped asparagus in olive oil for 4 minutes until crisp-tender.
2. Add flaked salmon and green onion and warm through.
3. Pour in whisked eggs seasoned with salt and stir gently until softly scrambled.
4. Finish with dill and a squeeze of lemon.</t>
        </is>
      </c>
      <c r="AC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87% of this dish's available carbohydrate comes from ingredients with a published, measured GI; the rest uses conventional placeholders (see Ingredients sheet)</t>
        </is>
      </c>
      <c r="Z26" s="2" t="n">
        <v>87</v>
      </c>
      <c r="AA26" s="3" t="inlineStr">
        <is>
          <t>vegetarian, high-fiber, no-cook, make-ahead</t>
        </is>
      </c>
      <c r="AB26" s="3" t="inlineStr">
        <is>
          <t>1. Stir oats, chia, almond milk, yogurt, peanut butter and cinnamon together in a jar.
2. Refrigerate overnight.
3. Top with sliced strawberries before eating.</t>
        </is>
      </c>
      <c r="AC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83% of this dish's available carbohydrate comes from ingredients with a published, measured GI; the rest uses conventional placeholders (see Ingredients sheet)</t>
        </is>
      </c>
      <c r="Z27" s="2" t="n">
        <v>83</v>
      </c>
      <c r="AA27" s="3" t="inlineStr">
        <is>
          <t>vegetarian, gluten-free, nut-free, quick</t>
        </is>
      </c>
      <c r="AB27" s="3" t="inlineStr">
        <is>
          <t>1. Whisk the eggs and scramble softly in olive oil.
2. Warm tortillas in a dry skillet.
3. Fill each with eggs, cheddar, pico de gallo, avocado and sliced jalapeño.
4. Top with cilantro and serve.</t>
        </is>
      </c>
      <c r="AC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0% of this dish's available carbohydrate comes from ingredients with a published, measured GI; the rest uses conventional placeholders (see Ingredients sheet)</t>
        </is>
      </c>
      <c r="Z28" s="2" t="n">
        <v>0</v>
      </c>
      <c r="AA28" s="3" t="inlineStr">
        <is>
          <t>vegetarian, gluten-free, nut-free, low-carb</t>
        </is>
      </c>
      <c r="AB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C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0% of this dish's available carbohydrate comes from ingredients with a published, measured GI; the rest uses conventional placeholders (see Ingredients sheet)</t>
        </is>
      </c>
      <c r="Z29" s="2" t="n">
        <v>0</v>
      </c>
      <c r="AA29" s="3" t="inlineStr">
        <is>
          <t>gluten-free, nut-free, low-carb, high-protein, quick</t>
        </is>
      </c>
      <c r="AB29" s="3" t="inlineStr">
        <is>
          <t>1. Sauté diced ham, bell pepper and onion in olive oil for 4 minutes.
2. Pour in whisked, seasoned eggs and cook until nearly set.
3. Sprinkle cheddar over one half, fold and cook 1 minute more.
4. Slide onto a plate.</t>
        </is>
      </c>
      <c r="AC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93% of this dish's available carbohydrate comes from ingredients with a published, measured GI; the rest uses conventional placeholders (see Ingredients sheet)</t>
        </is>
      </c>
      <c r="Z30" s="2" t="n">
        <v>93</v>
      </c>
      <c r="AA30" s="3" t="inlineStr">
        <is>
          <t>vegetarian, make-ahead, meal-prep</t>
        </is>
      </c>
      <c r="AB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C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0% of this dish's available carbohydrate comes from ingredients with a published, measured GI; the rest uses conventional placeholders (see Ingredients sheet)</t>
        </is>
      </c>
      <c r="Z31" s="2" t="n">
        <v>0</v>
      </c>
      <c r="AA31" s="3" t="inlineStr">
        <is>
          <t>pescatarian, gluten-free, nut-free, low-carb, high-protein, no-cook, quick</t>
        </is>
      </c>
      <c r="AB31" s="3" t="inlineStr">
        <is>
          <t>1. Spread cottage cheese in a shallow bowl.
2. Arrange smoked salmon, sliced cucumber, tomato and red onion on top.
3. Scatter capers, dill and everything seasoning and serve.</t>
        </is>
      </c>
      <c r="AC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0% of this dish's available carbohydrate comes from ingredients with a published, measured GI; the rest uses conventional placeholders (see Ingredients sheet)</t>
        </is>
      </c>
      <c r="Z32" s="2" t="n">
        <v>0</v>
      </c>
      <c r="AA32" s="3" t="inlineStr">
        <is>
          <t>vegetarian, nut-free, low-carb, high-protein, high-fiber, quick</t>
        </is>
      </c>
      <c r="AB32" s="3" t="inlineStr">
        <is>
          <t>1. Sauté mushrooms and spinach in half the oil, add whisked eggs and scramble.
2. Place the tortilla in the pan, put cheese and eggs on one half and fold.
3. Cook 2 minutes per side in the remaining oil until crisp.
4. Cut into wedges and serve with salsa.</t>
        </is>
      </c>
      <c r="AC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55</v>
      </c>
      <c r="U33" s="2" t="inlineStr">
        <is>
          <t>low</t>
        </is>
      </c>
      <c r="V33" s="5" t="n">
        <v>17.3</v>
      </c>
      <c r="W33" s="2" t="inlineStr">
        <is>
          <t>medium</t>
        </is>
      </c>
      <c r="X33" s="3" t="inlineStr"/>
      <c r="Y33" s="3" t="inlineStr">
        <is>
          <t>91% of this dish's available carbohydrate comes from ingredients with a published, measured GI; the rest uses conventional placeholders (see Ingredients sheet)</t>
        </is>
      </c>
      <c r="Z33" s="2" t="n">
        <v>91</v>
      </c>
      <c r="AA33" s="3" t="inlineStr">
        <is>
          <t>vegetarian, high-fiber, quick</t>
        </is>
      </c>
      <c r="AB33" s="3" t="inlineStr">
        <is>
          <t>1. Simmer oats, pumpkin puree and almond milk for 6–7 minutes, stirring.
2. Remove from heat and stir in protein powder, spice and sweetener.
3. Top with chopped pecans.</t>
        </is>
      </c>
      <c r="AC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20% of this dish's available carbohydrate comes from ingredients with a published, measured GI; the rest uses conventional placeholders (see Ingredients sheet)</t>
        </is>
      </c>
      <c r="Z34" s="2" t="n">
        <v>20</v>
      </c>
      <c r="AA34" s="3" t="inlineStr">
        <is>
          <t>vegetarian, gluten-free, nut-free, low-carb, make-ahead</t>
        </is>
      </c>
      <c r="AB34" s="3" t="inlineStr">
        <is>
          <t>1. Preheat oven to 350°F and oil 8 muffin cups.
2. Divide halved tomatoes, mozzarella and basil among the cups.
3. Pour in whisked eggs with milk and salt and bake 18–20 minutes.
4. Cool 5 minutes before removing.</t>
        </is>
      </c>
      <c r="AC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0% of this dish's available carbohydrate comes from ingredients with a published, measured GI; the rest uses conventional placeholders (see Ingredients sheet)</t>
        </is>
      </c>
      <c r="Z35" s="2" t="n">
        <v>0</v>
      </c>
      <c r="AA35" s="3" t="inlineStr">
        <is>
          <t>gluten-free, dairy-free, nut-free, low-carb, high-protein</t>
        </is>
      </c>
      <c r="AB35" s="3" t="inlineStr">
        <is>
          <t>1. Season the steak and sear in olive oil 3–4 minutes per side for medium; rest 5 minutes.
2. In the same pan, sauté garlic and spinach until wilted.
3. Fry the eggs to your liking.
4. Slice the steak and serve with eggs and spinach.</t>
        </is>
      </c>
      <c r="AC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36</v>
      </c>
      <c r="U36" s="2" t="inlineStr">
        <is>
          <t>low</t>
        </is>
      </c>
      <c r="V36" s="5" t="n">
        <v>6.8</v>
      </c>
      <c r="W36" s="2" t="inlineStr">
        <is>
          <t>low</t>
        </is>
      </c>
      <c r="X36" s="3" t="inlineStr"/>
      <c r="Y36" s="3" t="inlineStr">
        <is>
          <t>60% of this dish's available carbohydrate comes from ingredients with a published, measured GI; the rest uses conventional placeholders (see Ingredients sheet)</t>
        </is>
      </c>
      <c r="Z36" s="2" t="n">
        <v>60</v>
      </c>
      <c r="AA36" s="3" t="inlineStr">
        <is>
          <t>vegetarian, gluten-free, nut-free, high-protein, no-cook, quick, probiotic</t>
        </is>
      </c>
      <c r="AB36" s="3" t="inlineStr">
        <is>
          <t>1. Blend kefir, berries, flaxseed, protein powder and vanilla until smooth.
2. Add ice if you like it thicker.
3. Serve immediately.</t>
        </is>
      </c>
      <c r="AC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70% of this dish's available carbohydrate comes from ingredients with a published, measured GI; the rest uses conventional placeholders (see Ingredients sheet)</t>
        </is>
      </c>
      <c r="Z37" s="2" t="n">
        <v>70</v>
      </c>
      <c r="AA37" s="3" t="inlineStr">
        <is>
          <t>vegetarian, nut-free, high-protein, high-fiber</t>
        </is>
      </c>
      <c r="AB37" s="3" t="inlineStr">
        <is>
          <t>1. Hard-boil the eggs (8 minutes), cool and halve.
2. Arrange eggs, cucumber, tomato, olives and feta on a plate.
3. Add hummus drizzled with olive oil and za'atar, and the warmed pita half on the side.</t>
        </is>
      </c>
      <c r="AC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0% of this dish's available carbohydrate comes from ingredients with a published, measured GI; the rest uses conventional placeholders (see Ingredients sheet)</t>
        </is>
      </c>
      <c r="Z38" s="2" t="n">
        <v>0</v>
      </c>
      <c r="AA38" s="3" t="inlineStr">
        <is>
          <t>vegetarian, gluten-free, nut-free, low-carb, make-ahead, meal-prep</t>
        </is>
      </c>
      <c r="AB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C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68% of this dish's available carbohydrate comes from ingredients with a published, measured GI; the rest uses conventional placeholders (see Ingredients sheet)</t>
        </is>
      </c>
      <c r="Z39" s="2" t="n">
        <v>68</v>
      </c>
      <c r="AA39" s="3" t="inlineStr">
        <is>
          <t>gluten-free, dairy-free, nut-free, high-protein, one-pan</t>
        </is>
      </c>
      <c r="AB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C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34% of this dish's available carbohydrate comes from ingredients with a published, measured GI; the rest uses conventional placeholders (see Ingredients sheet)</t>
        </is>
      </c>
      <c r="Z40" s="2" t="n">
        <v>34</v>
      </c>
      <c r="AA40" s="3" t="inlineStr">
        <is>
          <t>vegetarian, gluten-free, nut-free, low-carb, make-ahead</t>
        </is>
      </c>
      <c r="AB40" s="3" t="inlineStr">
        <is>
          <t>1. Hard-boil the eggs, cool, peel and chop.
2. Mix with yogurt, mayo, Dijon, celery, chives, salt and pepper.
3. Spoon into butter lettuce leaves and serve.</t>
        </is>
      </c>
      <c r="AC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0% of this dish's available carbohydrate comes from ingredients with a published, measured GI; the rest uses conventional placeholders (see Ingredients sheet)</t>
        </is>
      </c>
      <c r="Z41" s="2" t="n">
        <v>0</v>
      </c>
      <c r="AA41" s="3" t="inlineStr">
        <is>
          <t>vegan, gluten-free, dairy-free, low-carb, high-fiber, no-cook, make-ahead</t>
        </is>
      </c>
      <c r="AB41" s="3" t="inlineStr">
        <is>
          <t>1. Whisk chia with both milks, vanilla and stevia; refrigerate overnight.
2. Toast coconut and almonds in a dry pan for 2 minutes.
3. Top the pudding with blackberries and the toasted mix.</t>
        </is>
      </c>
      <c r="AC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39% of this dish's available carbohydrate comes from ingredients with a published, measured GI; the rest uses conventional placeholders (see Ingredients sheet)</t>
        </is>
      </c>
      <c r="Z42" s="2" t="n">
        <v>39</v>
      </c>
      <c r="AA42" s="3" t="inlineStr">
        <is>
          <t>vegetarian, gluten-free, nut-free, low-carb, make-ahead</t>
        </is>
      </c>
      <c r="AB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C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83% of this dish's available carbohydrate comes from ingredients with a published, measured GI; the rest uses conventional placeholders (see Ingredients sheet)</t>
        </is>
      </c>
      <c r="Z43" s="2" t="n">
        <v>83</v>
      </c>
      <c r="AA43" s="3" t="inlineStr">
        <is>
          <t>vegetarian, nut-free</t>
        </is>
      </c>
      <c r="AB43" s="3" t="inlineStr">
        <is>
          <t>1. Blend oats, cottage cheese, eggs, baking powder, vanilla and cinnamon into a smooth batter.
2. Cook in a preheated, lightly greased waffle iron until golden, about 4 minutes per waffle.
3. Serve with Greek yogurt and sliced strawberries.</t>
        </is>
      </c>
      <c r="AC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0% of this dish's available carbohydrate comes from ingredients with a published, measured GI; the rest uses conventional placeholders (see Ingredients sheet)</t>
        </is>
      </c>
      <c r="Z44" s="2" t="n">
        <v>0</v>
      </c>
      <c r="AA44" s="3" t="inlineStr">
        <is>
          <t>vegetarian, gluten-free, dairy-free, nut-free, low-carb, quick</t>
        </is>
      </c>
      <c r="AB44" s="3" t="inlineStr">
        <is>
          <t>1. Poach the eggs in simmering water with a splash of vinegar for 3 minutes.
2. Toss greens with olive oil, lemon juice and salt.
3. Top with avocado, tomatoes, pumpkin seeds and the poached eggs.</t>
        </is>
      </c>
      <c r="AC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0% of this dish's available carbohydrate comes from ingredients with a published, measured GI; the rest uses conventional placeholders (see Ingredients sheet)</t>
        </is>
      </c>
      <c r="Z45" s="2" t="n">
        <v>0</v>
      </c>
      <c r="AA45" s="3" t="inlineStr">
        <is>
          <t>gluten-free, dairy-free, nut-free, low-carb, high-protein, one-pan</t>
        </is>
      </c>
      <c r="AB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C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79% of this dish's available carbohydrate comes from ingredients with a published, measured GI; the rest uses conventional placeholders (see Ingredients sheet)</t>
        </is>
      </c>
      <c r="Z46" s="2" t="n">
        <v>79</v>
      </c>
      <c r="AA46" s="3" t="inlineStr">
        <is>
          <t>vegetarian, nut-free</t>
        </is>
      </c>
      <c r="AB46" s="3" t="inlineStr">
        <is>
          <t>1. Blend cottage cheese, eggs, oats, vanilla and baking powder until smooth.
2. Fold in blueberries and let batter rest 5 minutes.
3. Cook small pancakes in coconut oil over medium-low heat, 2–3 minutes per side.</t>
        </is>
      </c>
      <c r="AC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28% of this dish's available carbohydrate comes from ingredients with a published, measured GI; the rest uses conventional placeholders (see Ingredients sheet)</t>
        </is>
      </c>
      <c r="Z47" s="2" t="n">
        <v>28</v>
      </c>
      <c r="AA47" s="3" t="inlineStr">
        <is>
          <t>gluten-free, nut-free, low-carb, high-protein</t>
        </is>
      </c>
      <c r="AB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C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53</v>
      </c>
      <c r="U48" s="2" t="inlineStr">
        <is>
          <t>low</t>
        </is>
      </c>
      <c r="V48" s="5" t="n">
        <v>11.9</v>
      </c>
      <c r="W48" s="2" t="inlineStr">
        <is>
          <t>medium</t>
        </is>
      </c>
      <c r="X48" s="3" t="inlineStr"/>
      <c r="Y48" s="3" t="inlineStr">
        <is>
          <t>89% of this dish's available carbohydrate comes from ingredients with a published, measured GI; the rest uses conventional placeholders (see Ingredients sheet)</t>
        </is>
      </c>
      <c r="Z48" s="2" t="n">
        <v>89</v>
      </c>
      <c r="AA48" s="3" t="inlineStr">
        <is>
          <t>vegan, gluten-free, dairy-free, quick</t>
        </is>
      </c>
      <c r="AB48" s="3" t="inlineStr">
        <is>
          <t>1. Toast the bread.
2. Spread with almond butter and top with thin banana slices.
3. Sprinkle with hemp seeds and cinnamon.</t>
        </is>
      </c>
      <c r="AC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0% of this dish's available carbohydrate comes from ingredients with a published, measured GI; the rest uses conventional placeholders (see Ingredients sheet)</t>
        </is>
      </c>
      <c r="Z49" s="2" t="n">
        <v>0</v>
      </c>
      <c r="AA49" s="3" t="inlineStr">
        <is>
          <t>gluten-free, nut-free, low-carb, high-protein, make-ahead</t>
        </is>
      </c>
      <c r="AB49" s="3" t="inlineStr">
        <is>
          <t>1. Preheat oven to 375°F. Sauté onion and asparagus pieces in oil in an ovenproof skillet for 4 minutes; add diced ham.
2. Whisk egg whites and eggs with pepper, pour over and sprinkle with parmesan.
3. Bake 15 minutes until set; slice into wedges.</t>
        </is>
      </c>
      <c r="AC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29% of this dish's available carbohydrate comes from ingredients with a published, measured GI; the rest uses conventional placeholders (see Ingredients sheet)</t>
        </is>
      </c>
      <c r="Z50" s="2" t="n">
        <v>29</v>
      </c>
      <c r="AA50" s="3" t="inlineStr">
        <is>
          <t>vegetarian, gluten-free, low-carb, high-protein, no-cook, quick</t>
        </is>
      </c>
      <c r="AB50" s="3" t="inlineStr">
        <is>
          <t>1. Combine everything in a blender.
2. Blend until creamy and thick.
3. Serve immediately.</t>
        </is>
      </c>
      <c r="AC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0% of this dish's available carbohydrate comes from ingredients with a published, measured GI; the rest uses conventional placeholders (see Ingredients sheet)</t>
        </is>
      </c>
      <c r="Z51" s="2" t="n">
        <v>0</v>
      </c>
      <c r="AA51" s="3" t="inlineStr">
        <is>
          <t>gluten-free, dairy-free, nut-free, low-carb, high-protein, quick</t>
        </is>
      </c>
      <c r="AB51" s="3" t="inlineStr">
        <is>
          <t>1. Cook bacon until crisp; drain and crumble.
2. Fry the eggs in a little of the bacon fat or olive oil.
3. Fill a bowl with arugula, tomatoes and sliced avocado; add eggs and bacon and season.</t>
        </is>
      </c>
      <c r="AC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45</v>
      </c>
      <c r="U52" s="2" t="inlineStr">
        <is>
          <t>low</t>
        </is>
      </c>
      <c r="V52" s="5" t="n">
        <v>15.7</v>
      </c>
      <c r="W52" s="2" t="inlineStr">
        <is>
          <t>medium</t>
        </is>
      </c>
      <c r="X52" s="3" t="inlineStr"/>
      <c r="Y52" s="3" t="inlineStr">
        <is>
          <t>94% of this dish's available carbohydrate comes from ingredients with a published, measured GI; the rest uses conventional placeholders (see Ingredients sheet)</t>
        </is>
      </c>
      <c r="Z52" s="2" t="n">
        <v>94</v>
      </c>
      <c r="AA52" s="3" t="inlineStr">
        <is>
          <t>vegan, gluten-free, dairy-free</t>
        </is>
      </c>
      <c r="AB52" s="3" t="inlineStr">
        <is>
          <t>1. Warm cooked buckwheat with almond milk, cinnamon and vanilla until creamy, 5 minutes.
2. Divide into bowls.
3. Top with pitted cherries and sliced almonds.</t>
        </is>
      </c>
      <c r="AC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0% of this dish's available carbohydrate comes from ingredients with a published, measured GI; the rest uses conventional placeholders (see Ingredients sheet)</t>
        </is>
      </c>
      <c r="Z53" s="2" t="n">
        <v>0</v>
      </c>
      <c r="AA53" s="3" t="inlineStr">
        <is>
          <t>vegetarian, gluten-free, nut-free, low-carb, high-fiber</t>
        </is>
      </c>
      <c r="AB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C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75% of this dish's available carbohydrate comes from ingredients with a published, measured GI; the rest uses conventional placeholders (see Ingredients sheet)</t>
        </is>
      </c>
      <c r="Z54" s="2" t="n">
        <v>75</v>
      </c>
      <c r="AA54" s="3" t="inlineStr">
        <is>
          <t>vegetarian, gluten-free, nut-free, high-fiber</t>
        </is>
      </c>
      <c r="AB54" s="3" t="inlineStr">
        <is>
          <t>1. Sauté kale in olive oil until tender; season and add lemon juice.
2. Fry or poach the eggs.
3. Divide quinoa between bowls, add kale, tomatoes, avocado and feta, and top with eggs.</t>
        </is>
      </c>
      <c r="AC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79% of this dish's available carbohydrate comes from ingredients with a published, measured GI; the rest uses conventional placeholders (see Ingredients sheet)</t>
        </is>
      </c>
      <c r="Z55" s="2" t="n">
        <v>79</v>
      </c>
      <c r="AA55" s="3" t="inlineStr">
        <is>
          <t>pescatarian, nut-free, high-protein, omega-3</t>
        </is>
      </c>
      <c r="AB55" s="3" t="inlineStr">
        <is>
          <t>1. Poach or bake trout fillet (or use smoked trout), then flake.
2. Hard-boil eggs, cool and halve.
3. Arrange trout, eggs, rye bread, cucumber and radish slices on a board with a bowl of yogurt mixed with dill, lemon and pepper.</t>
        </is>
      </c>
      <c r="AC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80% of this dish's available carbohydrate comes from ingredients with a published, measured GI; the rest uses conventional placeholders (see Ingredients sheet)</t>
        </is>
      </c>
      <c r="Z56" s="2" t="n">
        <v>80</v>
      </c>
      <c r="AA56" s="3" t="inlineStr">
        <is>
          <t>vegetarian, quick</t>
        </is>
      </c>
      <c r="AB56" s="3" t="inlineStr">
        <is>
          <t>1. Toast the bread.
2. Spread with cottage cheese and top with thin apple slices.
3. Sprinkle with cinnamon and chopped walnuts.</t>
        </is>
      </c>
      <c r="AC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74% of this dish's available carbohydrate comes from ingredients with a published, measured GI; the rest uses conventional placeholders (see Ingredients sheet)</t>
        </is>
      </c>
      <c r="Z57" s="2" t="n">
        <v>74</v>
      </c>
      <c r="AA57" s="3" t="inlineStr">
        <is>
          <t>vegetarian, gluten-free, nut-free, high-protein, high-fiber, one-pan</t>
        </is>
      </c>
      <c r="AB57" s="3" t="inlineStr">
        <is>
          <t>1. Sauté garlic and red pepper flakes in olive oil 30 seconds, add kale and cook until wilted.
2. Stir in beans, lemon juice and salt; heat through.
3. Make four wells, crack in the eggs, cover and cook 5–6 minutes.
4. Top with parmesan.</t>
        </is>
      </c>
      <c r="AC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53</v>
      </c>
      <c r="U58" s="2" t="inlineStr">
        <is>
          <t>low</t>
        </is>
      </c>
      <c r="V58" s="5" t="n">
        <v>15.2</v>
      </c>
      <c r="W58" s="2" t="inlineStr">
        <is>
          <t>medium</t>
        </is>
      </c>
      <c r="X58" s="3" t="inlineStr"/>
      <c r="Y58" s="3" t="inlineStr">
        <is>
          <t>83% of this dish's available carbohydrate comes from ingredients with a published, measured GI; the rest uses conventional placeholders (see Ingredients sheet)</t>
        </is>
      </c>
      <c r="Z58" s="2" t="n">
        <v>83</v>
      </c>
      <c r="AA58" s="3" t="inlineStr">
        <is>
          <t>gluten-free, dairy-free, nut-free, high-protein, high-fiber, quick</t>
        </is>
      </c>
      <c r="AB58" s="3" t="inlineStr">
        <is>
          <t>1. Toast the bread and fry the egg in olive oil.
2. Spread Dijon on one slice, mash avocado on the other.
3. Layer turkey, tomato and the egg; close the sandwich.</t>
        </is>
      </c>
      <c r="AC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63% of this dish's available carbohydrate comes from ingredients with a published, measured GI; the rest uses conventional placeholders (see Ingredients sheet)</t>
        </is>
      </c>
      <c r="Z59" s="2" t="n">
        <v>63</v>
      </c>
      <c r="AA59" s="3" t="inlineStr">
        <is>
          <t>vegan, gluten-free, dairy-free, low-carb, high-fiber, no-cook, make-ahead</t>
        </is>
      </c>
      <c r="AB59" s="3" t="inlineStr">
        <is>
          <t>1. Whisk almond milk with protein powder, matcha, vanilla and sweetener until no lumps remain.
2. Stir in chia seeds, rest 10 minutes, stir again and refrigerate 4+ hours.
3. Top with diced kiwi.</t>
        </is>
      </c>
      <c r="AC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67% of this dish's available carbohydrate comes from ingredients with a published, measured GI; the rest uses conventional placeholders (see Ingredients sheet)</t>
        </is>
      </c>
      <c r="Z60" s="2" t="n">
        <v>67</v>
      </c>
      <c r="AA60" s="3" t="inlineStr">
        <is>
          <t>vegetarian, gluten-free, nut-free, low-carb, high-protein, quick</t>
        </is>
      </c>
      <c r="AB60" s="3" t="inlineStr">
        <is>
          <t>1. Warm black beans with cumin in olive oil.
2. Add egg whites and stir gently until set.
3. Top with salsa verde, cotija and cilantro.</t>
        </is>
      </c>
      <c r="AC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83% of this dish's available carbohydrate comes from ingredients with a published, measured GI; the rest uses conventional placeholders (see Ingredients sheet)</t>
        </is>
      </c>
      <c r="Z61" s="2" t="n">
        <v>83</v>
      </c>
      <c r="AA61" s="3" t="inlineStr">
        <is>
          <t>pescatarian, dairy-free, nut-free, quick, omega-3</t>
        </is>
      </c>
      <c r="AB61" s="3" t="inlineStr">
        <is>
          <t>1. Toast the rye bread.
2. Mash avocado with lemon juice and spread on the toast.
3. Top with sardines, thin red onion, parsley and pepper flakes.</t>
        </is>
      </c>
      <c r="AC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30</v>
      </c>
      <c r="U62" s="2" t="inlineStr">
        <is>
          <t>low</t>
        </is>
      </c>
      <c r="V62" s="5" t="n">
        <v>5.8</v>
      </c>
      <c r="W62" s="2" t="inlineStr">
        <is>
          <t>low</t>
        </is>
      </c>
      <c r="X62" s="3" t="inlineStr"/>
      <c r="Y62" s="3" t="inlineStr">
        <is>
          <t>59% of this dish's available carbohydrate comes from ingredients with a published, measured GI; the rest uses conventional placeholders (see Ingredients sheet)</t>
        </is>
      </c>
      <c r="Z62" s="2" t="n">
        <v>59</v>
      </c>
      <c r="AA62" s="3" t="inlineStr">
        <is>
          <t>vegetarian, gluten-free, high-protein, no-cook, quick</t>
        </is>
      </c>
      <c r="AB62" s="3" t="inlineStr">
        <is>
          <t>1. Stir stevia into the yogurt if desired.
2. Top with pomegranate arils, pistachios and hemp seeds.
3. Garnish with torn mint.</t>
        </is>
      </c>
      <c r="AC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17% of this dish's available carbohydrate comes from ingredients with a published, measured GI; the rest uses conventional placeholders (see Ingredients sheet)</t>
        </is>
      </c>
      <c r="Z63" s="2" t="n">
        <v>17</v>
      </c>
      <c r="AA63" s="3" t="inlineStr">
        <is>
          <t>gluten-free, nut-free, low-carb, high-protein</t>
        </is>
      </c>
      <c r="AB63" s="3" t="inlineStr">
        <is>
          <t>1. Brown the sausage with pepper and mushrooms in an ovenproof skillet.
2. Pour in whisked eggs with Italian seasoning; cook until the bottom sets.
3. Spread marinara over the top, add mozzarella and broil 3–4 minutes until bubbly.
4. Slice like a pizza.</t>
        </is>
      </c>
      <c r="AC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49</v>
      </c>
      <c r="U64" s="2" t="inlineStr">
        <is>
          <t>low</t>
        </is>
      </c>
      <c r="V64" s="5" t="n">
        <v>15.3</v>
      </c>
      <c r="W64" s="2" t="inlineStr">
        <is>
          <t>medium</t>
        </is>
      </c>
      <c r="X64" s="3" t="inlineStr"/>
      <c r="Y64" s="3" t="inlineStr">
        <is>
          <t>94% of this dish's available carbohydrate comes from ingredients with a published, measured GI; the rest uses conventional placeholders (see Ingredients sheet)</t>
        </is>
      </c>
      <c r="Z64" s="2" t="n">
        <v>94</v>
      </c>
      <c r="AA64" s="3" t="inlineStr">
        <is>
          <t>vegetarian</t>
        </is>
      </c>
      <c r="AB64" s="3" t="inlineStr">
        <is>
          <t>1. Warm cooked farro with almond milk, cinnamon and vanilla for 5 minutes.
2. Divide into bowls and add a spoon of Greek yogurt.
3. Top with diced pear and walnuts.</t>
        </is>
      </c>
      <c r="AC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13% of this dish's available carbohydrate comes from ingredients with a published, measured GI; the rest uses conventional placeholders (see Ingredients sheet)</t>
        </is>
      </c>
      <c r="Z65" s="2" t="n">
        <v>13</v>
      </c>
      <c r="AA65" s="3" t="inlineStr">
        <is>
          <t>gluten-free, nut-free, low-carb, make-ahead</t>
        </is>
      </c>
      <c r="AB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C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92% of this dish's available carbohydrate comes from ingredients with a published, measured GI; the rest uses conventional placeholders (see Ingredients sheet)</t>
        </is>
      </c>
      <c r="Z66" s="2" t="n">
        <v>92</v>
      </c>
      <c r="AA66" s="3" t="inlineStr">
        <is>
          <t>vegetarian, high-fiber, no-cook, make-ahead</t>
        </is>
      </c>
      <c r="AB66" s="3" t="inlineStr">
        <is>
          <t>1. Stir oats, almond milk, yogurt, chia and vanilla in a jar.
2. Refrigerate overnight.
3. Top with sliced strawberries and a drizzle of almond butter.</t>
        </is>
      </c>
      <c r="AC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0% of this dish's available carbohydrate comes from ingredients with a published, measured GI; the rest uses conventional placeholders (see Ingredients sheet)</t>
        </is>
      </c>
      <c r="Z67" s="2" t="n">
        <v>0</v>
      </c>
      <c r="AA67" s="3" t="inlineStr">
        <is>
          <t>pescatarian, gluten-free, dairy-free, nut-free, low-carb, high-protein, quick</t>
        </is>
      </c>
      <c r="AB67" s="3" t="inlineStr">
        <is>
          <t>1. Whisk eggs with Old Bay and cook in olive oil until nearly set.
2. Add crab and green onion to one half, fold and cook 1 minute.
3. Top with sliced avocado and lemon juice.</t>
        </is>
      </c>
      <c r="AC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36% of this dish's available carbohydrate comes from ingredients with a published, measured GI; the rest uses conventional placeholders (see Ingredients sheet)</t>
        </is>
      </c>
      <c r="Z68" s="2" t="n">
        <v>36</v>
      </c>
      <c r="AA68" s="3" t="inlineStr">
        <is>
          <t>vegetarian, gluten-free, nut-free, low-carb, high-fiber, quick</t>
        </is>
      </c>
      <c r="AB68" s="3" t="inlineStr">
        <is>
          <t>1. Mix flaxseed, egg, baking powder, cinnamon, sweetener and melted coconut oil in a mug.
2. Microwave 90 seconds until set.
3. Turn out, split and serve with Greek yogurt and raspberries.</t>
        </is>
      </c>
      <c r="AC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0% of this dish's available carbohydrate comes from ingredients with a published, measured GI; the rest uses conventional placeholders (see Ingredients sheet)</t>
        </is>
      </c>
      <c r="Z69" s="2" t="n">
        <v>0</v>
      </c>
      <c r="AA69" s="3" t="inlineStr">
        <is>
          <t>gluten-free, nut-free, low-carb, high-protein</t>
        </is>
      </c>
      <c r="AB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C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14% of this dish's available carbohydrate comes from ingredients with a published, measured GI; the rest uses conventional placeholders (see Ingredients sheet)</t>
        </is>
      </c>
      <c r="Z70" s="2" t="n">
        <v>14</v>
      </c>
      <c r="AA70" s="3" t="inlineStr">
        <is>
          <t>vegan, dairy-free, nut-free, low-carb, high-fiber</t>
        </is>
      </c>
      <c r="AB70" s="3" t="inlineStr">
        <is>
          <t>1. Slice tempeh thin and marinate 5 minutes in tamari, paprika and maple syrup.
2. Pan-fry in olive oil 3 minutes per side until crisp.
3. Fill tortillas with lettuce, tomato, avocado and tempeh bacon; roll up.</t>
        </is>
      </c>
      <c r="AC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0% of this dish's available carbohydrate comes from ingredients with a published, measured GI; the rest uses conventional placeholders (see Ingredients sheet)</t>
        </is>
      </c>
      <c r="Z71" s="2" t="n">
        <v>0</v>
      </c>
      <c r="AA71" s="3" t="inlineStr">
        <is>
          <t>pescatarian, gluten-free, dairy-free, low-carb, high-protein, omega-3</t>
        </is>
      </c>
      <c r="AB71" s="3" t="inlineStr">
        <is>
          <t>1. Mix salmon, 1 egg, almond flour, green onion, Dijon and lemon juice; form 4 patties.
2. Pan-fry in olive oil 4 minutes per side until golden.
3. Poach the remaining 2 eggs.
4. Serve cakes on arugula topped with a poached egg.</t>
        </is>
      </c>
      <c r="AC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81% of this dish's available carbohydrate comes from ingredients with a published, measured GI; the rest uses conventional placeholders (see Ingredients sheet)</t>
        </is>
      </c>
      <c r="Z72" s="2" t="n">
        <v>81</v>
      </c>
      <c r="AA72" s="3" t="inlineStr">
        <is>
          <t>vegetarian, quick</t>
        </is>
      </c>
      <c r="AB72" s="3" t="inlineStr">
        <is>
          <t>1. Heat pesto in a nonstick pan and crack in the eggs; fry until whites set.
2. Toast the bread.
3. Slide the pesto eggs onto the toast and top with halved tomatoes and parmesan.</t>
        </is>
      </c>
      <c r="AC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0% of this dish's available carbohydrate comes from ingredients with a published, measured GI; the rest uses conventional placeholders (see Ingredients sheet)</t>
        </is>
      </c>
      <c r="Z73" s="2" t="n">
        <v>0</v>
      </c>
      <c r="AA73" s="3" t="inlineStr">
        <is>
          <t>vegetarian</t>
        </is>
      </c>
      <c r="AB73" s="3" t="inlineStr">
        <is>
          <t>1. Blend eggs, egg whites, almond milk, oat flour and vanilla into a thin batter.
2. Cook thin crepes in a lightly oiled pan, 1 minute per side; makes about 6.
3. Mix ricotta with sweetener, fill crepes, fold and top with blackberries.</t>
        </is>
      </c>
      <c r="AC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0% of this dish's available carbohydrate comes from ingredients with a published, measured GI; the rest uses conventional placeholders (see Ingredients sheet)</t>
        </is>
      </c>
      <c r="Z74" s="2" t="n">
        <v>0</v>
      </c>
      <c r="AA74" s="3" t="inlineStr">
        <is>
          <t>vegetarian, dairy-free, nut-free, low-carb, quick</t>
        </is>
      </c>
      <c r="AB74" s="3" t="inlineStr">
        <is>
          <t>1. Bring broth with ginger to a simmer; add cubed tofu and spinach.
2. Whisk miso with a ladle of hot broth and stir back in (do not boil).
3. Slowly pour in beaten eggs while stirring to form ribbons.
4. Top with green onion and torn nori.</t>
        </is>
      </c>
      <c r="AC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81% of this dish's available carbohydrate comes from ingredients with a published, measured GI; the rest uses conventional placeholders (see Ingredients sheet)</t>
        </is>
      </c>
      <c r="Z75" s="2" t="n">
        <v>81</v>
      </c>
      <c r="AA75" s="3" t="inlineStr">
        <is>
          <t>vegetarian, dairy-free</t>
        </is>
      </c>
      <c r="AB75" s="3" t="inlineStr">
        <is>
          <t>1. Simmer oats, grated zucchini and almond milk 5 minutes.
2. Whisk in egg whites while stirring quickly to thicken and add protein; cook 1 minute.
3. Stir in spices, vanilla and sweetener; top with walnuts.</t>
        </is>
      </c>
      <c r="AC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0% of this dish's available carbohydrate comes from ingredients with a published, measured GI; the rest uses conventional placeholders (see Ingredients sheet)</t>
        </is>
      </c>
      <c r="Z76" s="2" t="n">
        <v>0</v>
      </c>
      <c r="AA76" s="3" t="inlineStr">
        <is>
          <t>vegetarian, nut-free, low-carb, high-protein, high-fiber, quick</t>
        </is>
      </c>
      <c r="AB76" s="3" t="inlineStr">
        <is>
          <t>1. Sauté mushrooms and spinach in olive oil 3 minutes.
2. Add egg whites and scramble until set; stir in roasted pepper and feta.
3. Spoon into the warmed tortilla and roll up.</t>
        </is>
      </c>
      <c r="AC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23</v>
      </c>
      <c r="U77" s="2" t="inlineStr">
        <is>
          <t>low</t>
        </is>
      </c>
      <c r="V77" s="5" t="n">
        <v>5.6</v>
      </c>
      <c r="W77" s="2" t="inlineStr">
        <is>
          <t>low</t>
        </is>
      </c>
      <c r="X77" s="3" t="inlineStr"/>
      <c r="Y77" s="3" t="inlineStr">
        <is>
          <t>88% of this dish's available carbohydrate comes from ingredients with a published, measured GI; the rest uses conventional placeholders (see Ingredients sheet)</t>
        </is>
      </c>
      <c r="Z77" s="2" t="n">
        <v>88</v>
      </c>
      <c r="AA77" s="3" t="inlineStr">
        <is>
          <t>vegetarian, gluten-free, high-protein, high-fiber, no-cook, quick</t>
        </is>
      </c>
      <c r="AB77" s="3" t="inlineStr">
        <is>
          <t>1. Blend frozen cherries, yogurt, protein powder, almond milk and vanilla until thick.
2. Spoon into a bowl.
3. Top with chia seeds, sliced almonds and coconut.</t>
        </is>
      </c>
      <c r="AC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0% of this dish's available carbohydrate comes from ingredients with a published, measured GI; the rest uses conventional placeholders (see Ingredients sheet)</t>
        </is>
      </c>
      <c r="Z78" s="2" t="n">
        <v>0</v>
      </c>
      <c r="AA78" s="3" t="inlineStr">
        <is>
          <t>gluten-free, dairy-free, nut-free, low-carb</t>
        </is>
      </c>
      <c r="AB78" s="3" t="inlineStr">
        <is>
          <t>1. Sauté onion, pepper and shredded cabbage in olive oil until softened and browned in spots, 8 minutes.
2. Add shredded cooked beef and Dijon; press down and crisp 4 minutes.
3. Fry eggs and serve on top of the hash.</t>
        </is>
      </c>
      <c r="AC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32</v>
      </c>
      <c r="U79" s="2" t="inlineStr">
        <is>
          <t>low</t>
        </is>
      </c>
      <c r="V79" s="5" t="n">
        <v>4.9</v>
      </c>
      <c r="W79" s="2" t="inlineStr">
        <is>
          <t>low</t>
        </is>
      </c>
      <c r="X79" s="3" t="inlineStr"/>
      <c r="Y79" s="3" t="inlineStr">
        <is>
          <t>75% of this dish's available carbohydrate comes from ingredients with a published, measured GI; the rest uses conventional placeholders (see Ingredients sheet)</t>
        </is>
      </c>
      <c r="Z79" s="2" t="n">
        <v>75</v>
      </c>
      <c r="AA79" s="3" t="inlineStr">
        <is>
          <t>vegetarian, gluten-free, dairy-free, nut-free, quick</t>
        </is>
      </c>
      <c r="AB79" s="3" t="inlineStr">
        <is>
          <t>1. Sauté onion in olive oil with turmeric and cumin for 3 minutes.
2. Add chickpeas and spinach; cook until spinach wilts.
3. Pour in whisked eggs and scramble softly. Season and garnish with cilantro.</t>
        </is>
      </c>
      <c r="AC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0% of this dish's available carbohydrate comes from ingredients with a published, measured GI; the rest uses conventional placeholders (see Ingredients sheet)</t>
        </is>
      </c>
      <c r="Z80" s="2" t="n">
        <v>0</v>
      </c>
      <c r="AA80" s="3" t="inlineStr">
        <is>
          <t>gluten-free, dairy-free, nut-free, low-carb, high-protein, quick</t>
        </is>
      </c>
      <c r="AB80" s="3" t="inlineStr">
        <is>
          <t>1. Cook turkey bacon until crisp and chop.
2. Wilt spinach in olive oil, add egg whites and scramble.
3. Assemble in a bowl with tomatoes and avocado; sprinkle with everything seasoning.</t>
        </is>
      </c>
      <c r="AC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65% of this dish's available carbohydrate comes from ingredients with a published, measured GI; the rest uses conventional placeholders (see Ingredients sheet)</t>
        </is>
      </c>
      <c r="Z81" s="2" t="n">
        <v>65</v>
      </c>
      <c r="AA81" s="3" t="inlineStr">
        <is>
          <t>vegan, gluten-free, dairy-free, low-carb, high-fiber, make-ahead</t>
        </is>
      </c>
      <c r="AB81" s="3" t="inlineStr">
        <is>
          <t>1. Whisk chia, almond milk, sweetener, vanilla and half the cinnamon; refrigerate overnight.
2. Sauté diced apple with the remaining cinnamon and nutmeg for 4 minutes until soft.
3. Top the pudding with warm apple and walnuts.</t>
        </is>
      </c>
      <c r="AC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92% of this dish's available carbohydrate comes from ingredients with a published, measured GI; the rest uses conventional placeholders (see Ingredients sheet)</t>
        </is>
      </c>
      <c r="Z82" s="2" t="n">
        <v>92</v>
      </c>
      <c r="AA82" s="3" t="inlineStr">
        <is>
          <t>vegetarian, nut-free, quick</t>
        </is>
      </c>
      <c r="AB82" s="3" t="inlineStr">
        <is>
          <t>1. Whisk eggs with pepper and cook in butter over low heat, stirring for soft curds.
2. Fold in goat cheese and herbs off the heat.
3. Serve over toasted rye.</t>
        </is>
      </c>
      <c r="AC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43% of this dish's available carbohydrate comes from ingredients with a published, measured GI; the rest uses conventional placeholders (see Ingredients sheet)</t>
        </is>
      </c>
      <c r="Z83" s="2" t="n">
        <v>43</v>
      </c>
      <c r="AA83" s="3" t="inlineStr">
        <is>
          <t>gluten-free, nut-free, high-protein, high-fiber</t>
        </is>
      </c>
      <c r="AB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C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36</v>
      </c>
      <c r="U84" s="2" t="inlineStr">
        <is>
          <t>low</t>
        </is>
      </c>
      <c r="V84" s="5" t="n">
        <v>6.4</v>
      </c>
      <c r="W84" s="2" t="inlineStr">
        <is>
          <t>low</t>
        </is>
      </c>
      <c r="X84" s="3" t="inlineStr"/>
      <c r="Y84" s="3" t="inlineStr">
        <is>
          <t>54% of this dish's available carbohydrate comes from ingredients with a published, measured GI; the rest uses conventional placeholders (see Ingredients sheet)</t>
        </is>
      </c>
      <c r="Z84" s="2" t="n">
        <v>54</v>
      </c>
      <c r="AA84" s="3" t="inlineStr">
        <is>
          <t>vegetarian, gluten-free, no-cook, quick</t>
        </is>
      </c>
      <c r="AB84" s="3" t="inlineStr">
        <is>
          <t>1. Blend all ingredients until smooth.
2. Add ice for a thicker texture.
3. Pour and serve.</t>
        </is>
      </c>
      <c r="AC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25% of this dish's available carbohydrate comes from ingredients with a published, measured GI; the rest uses conventional placeholders (see Ingredients sheet)</t>
        </is>
      </c>
      <c r="Z85" s="2" t="n">
        <v>25</v>
      </c>
      <c r="AA85" s="3" t="inlineStr">
        <is>
          <t>vegetarian, gluten-free, dairy-free, nut-free, low-carb, high-fiber</t>
        </is>
      </c>
      <c r="AB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C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86% of this dish's available carbohydrate comes from ingredients with a published, measured GI; the rest uses conventional placeholders (see Ingredients sheet)</t>
        </is>
      </c>
      <c r="Z86" s="2" t="n">
        <v>86</v>
      </c>
      <c r="AA86" s="3" t="inlineStr">
        <is>
          <t>vegetarian, high-fiber</t>
        </is>
      </c>
      <c r="AB86" s="3" t="inlineStr">
        <is>
          <t>1. Warm cooked bulgur with cinnamon.
2. Divide into bowls and top with Greek yogurt.
3. Add berries, pistachios and a small drizzle of honey.</t>
        </is>
      </c>
      <c r="AC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15% of this dish's available carbohydrate comes from ingredients with a published, measured GI; the rest uses conventional placeholders (see Ingredients sheet)</t>
        </is>
      </c>
      <c r="Z87" s="2" t="n">
        <v>15</v>
      </c>
      <c r="AA87" s="3" t="inlineStr">
        <is>
          <t>gluten-free, nut-free, low-carb, high-protein</t>
        </is>
      </c>
      <c r="AB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C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47</v>
      </c>
      <c r="U88" s="2" t="inlineStr">
        <is>
          <t>low</t>
        </is>
      </c>
      <c r="V88" s="5" t="n">
        <v>8.699999999999999</v>
      </c>
      <c r="W88" s="2" t="inlineStr">
        <is>
          <t>low</t>
        </is>
      </c>
      <c r="X88" s="3" t="inlineStr"/>
      <c r="Y88" s="3" t="inlineStr">
        <is>
          <t>77% of this dish's available carbohydrate comes from ingredients with a published, measured GI; the rest uses conventional placeholders (see Ingredients sheet)</t>
        </is>
      </c>
      <c r="Z88" s="2" t="n">
        <v>77</v>
      </c>
      <c r="AA88" s="3" t="inlineStr">
        <is>
          <t>vegetarian, gluten-free, high-fiber, quick</t>
        </is>
      </c>
      <c r="AB88" s="3" t="inlineStr">
        <is>
          <t>1. Toast the bread.
2. Spread with Greek yogurt and dot with almond butter.
3. Top with raspberries and chia seeds.</t>
        </is>
      </c>
      <c r="AC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89% of this dish's available carbohydrate comes from ingredients with a published, measured GI; the rest uses conventional placeholders (see Ingredients sheet)</t>
        </is>
      </c>
      <c r="Z89" s="2" t="n">
        <v>89</v>
      </c>
      <c r="AA89" s="3" t="inlineStr">
        <is>
          <t>vegetarian, gluten-free, nut-free, high-fiber</t>
        </is>
      </c>
      <c r="AB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C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0% of this dish's available carbohydrate comes from ingredients with a published, measured GI; the rest uses conventional placeholders (see Ingredients sheet)</t>
        </is>
      </c>
      <c r="Z90" s="2" t="n">
        <v>0</v>
      </c>
      <c r="AA90" s="3" t="inlineStr">
        <is>
          <t>vegetarian, gluten-free, nut-free, low-carb, make-ahead</t>
        </is>
      </c>
      <c r="AB90" s="3" t="inlineStr">
        <is>
          <t>1. Preheat oven to 350°F and oil a muffin tin.
2. Blend egg whites with cottage cheese, salt and onion powder.
3. Divide chopped steamed broccoli and cheddar among cups, pour in the mixture.
4. Bake 18–20 minutes.</t>
        </is>
      </c>
      <c r="AC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0% of this dish's available carbohydrate comes from ingredients with a published, measured GI; the rest uses conventional placeholders (see Ingredients sheet)</t>
        </is>
      </c>
      <c r="Z91" s="2" t="n">
        <v>0</v>
      </c>
      <c r="AA91" s="3" t="inlineStr">
        <is>
          <t>vegetarian, gluten-free, nut-free, low-carb</t>
        </is>
      </c>
      <c r="AB91" s="3" t="inlineStr">
        <is>
          <t>1. Soften onion and pepper in olive oil 6 minutes.
2. Add chopped tomatoes and cook down 6 minutes into a thick sauce; season.
3. Pour in beaten eggs and stir slowly until soft-set.
4. Top with feta, parsley and pepper flakes.</t>
        </is>
      </c>
      <c r="AC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89% of this dish's available carbohydrate comes from ingredients with a published, measured GI; the rest uses conventional placeholders (see Ingredients sheet)</t>
        </is>
      </c>
      <c r="Z92" s="2" t="n">
        <v>89</v>
      </c>
      <c r="AA92" s="3" t="inlineStr">
        <is>
          <t>vegan, dairy-free, high-fiber, quick</t>
        </is>
      </c>
      <c r="AB92" s="3" t="inlineStr">
        <is>
          <t>1. Simmer oat bran and almond milk, stirring, 3–4 minutes until thick.
2. Stir in cinnamon and flaxseed.
3. Top with walnuts and blueberries.</t>
        </is>
      </c>
      <c r="AC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87% of this dish's available carbohydrate comes from ingredients with a published, measured GI; the rest uses conventional placeholders (see Ingredients sheet)</t>
        </is>
      </c>
      <c r="Z93" s="2" t="n">
        <v>87</v>
      </c>
      <c r="AA93" s="3" t="inlineStr">
        <is>
          <t>vegetarian, nut-free, high-fiber, quick</t>
        </is>
      </c>
      <c r="AB93" s="3" t="inlineStr">
        <is>
          <t>1. Wilt spinach in olive oil, add whisked eggs with oregano and scramble.
2. Warm the pita and split open.
3. Stuff with eggs, feta, tomato and chopped olives.</t>
        </is>
      </c>
      <c r="AC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51% of this dish's available carbohydrate comes from ingredients with a published, measured GI; the rest uses conventional placeholders (see Ingredients sheet)</t>
        </is>
      </c>
      <c r="Z94" s="2" t="n">
        <v>51</v>
      </c>
      <c r="AA94" s="3" t="inlineStr">
        <is>
          <t>vegetarian, gluten-free, low-carb, make-ahead</t>
        </is>
      </c>
      <c r="AB94" s="3" t="inlineStr">
        <is>
          <t>1. Preheat oven to 350°F and line 12 muffin cups.
2. Whisk eggs, yogurt, melted coconut oil, lemon zest and juice; stir in almond flour, protein, baking powder and sweetener.
3. Fold in blueberries and divide among cups.
4. Bake 20–22 minutes; cool before storing.</t>
        </is>
      </c>
      <c r="AC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0% of this dish's available carbohydrate comes from ingredients with a published, measured GI; the rest uses conventional placeholders (see Ingredients sheet)</t>
        </is>
      </c>
      <c r="Z95" s="2" t="n">
        <v>0</v>
      </c>
      <c r="AA95" s="3" t="inlineStr">
        <is>
          <t>vegetarian, gluten-free, nut-free, low-carb, quick</t>
        </is>
      </c>
      <c r="AB95" s="3" t="inlineStr">
        <is>
          <t>1. Sear mushrooms in olive oil over high heat until browned, 5 minutes; add garlic and thyme.
2. Lower heat, add whisked eggs and scramble gently.
3. Finish with parmesan and salt.</t>
        </is>
      </c>
      <c r="AC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89% of this dish's available carbohydrate comes from ingredients with a published, measured GI; the rest uses conventional placeholders (see Ingredients sheet)</t>
        </is>
      </c>
      <c r="Z96" s="2" t="n">
        <v>89</v>
      </c>
      <c r="AA96" s="3" t="inlineStr">
        <is>
          <t>vegetarian, no-cook, make-ahead</t>
        </is>
      </c>
      <c r="AB96" s="3" t="inlineStr">
        <is>
          <t>1. Stir oats, almond milk, half the yogurt, cinnamon, vanilla and sweetener; refrigerate overnight.
2. Whip cream cheese with the remaining yogurt for a 'frosting'.
3. Swirl the frosting over the oats and top with pecans.</t>
        </is>
      </c>
      <c r="AC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0% of this dish's available carbohydrate comes from ingredients with a published, measured GI; the rest uses conventional placeholders (see Ingredients sheet)</t>
        </is>
      </c>
      <c r="Z97" s="2" t="n">
        <v>0</v>
      </c>
      <c r="AA97" s="3" t="inlineStr">
        <is>
          <t>pescatarian, gluten-free, dairy-free, nut-free, low-carb, high-protein, quick</t>
        </is>
      </c>
      <c r="AB97" s="3" t="inlineStr">
        <is>
          <t>1. Mix eggs with sprouts, green onion, chopped mushrooms, chopped shrimp, tamari and sesame oil.
2. Ladle 1/2-cup portions into a hot oiled skillet and cook 3 minutes per side.
3. Serve with extra tamari.</t>
        </is>
      </c>
      <c r="AC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0% of this dish's available carbohydrate comes from ingredients with a published, measured GI; the rest uses conventional placeholders (see Ingredients sheet)</t>
        </is>
      </c>
      <c r="Z98" s="2" t="n">
        <v>0</v>
      </c>
      <c r="AA98" s="3" t="inlineStr">
        <is>
          <t>vegan, gluten-free, dairy-free, low-carb, high-fiber, quick</t>
        </is>
      </c>
      <c r="AB98" s="3" t="inlineStr">
        <is>
          <t>1. Combine hemp, flax, chia and almond milk in a small pot.
2. Simmer 3–4 minutes, stirring, until thick.
3. Add cinnamon and stevia; top with blackberries.</t>
        </is>
      </c>
      <c r="AC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0% of this dish's available carbohydrate comes from ingredients with a published, measured GI; the rest uses conventional placeholders (see Ingredients sheet)</t>
        </is>
      </c>
      <c r="Z99" s="2" t="n">
        <v>0</v>
      </c>
      <c r="AA99" s="3" t="inlineStr">
        <is>
          <t>gluten-free, nut-free, low-carb, high-protein, quick</t>
        </is>
      </c>
      <c r="AB99" s="3" t="inlineStr">
        <is>
          <t>1. Cook eggs as two thin omelets in olive oil.
2. Spread each with Dijon, layer ham, cheese and spinach.
3. Roll up tightly, slice into pinwheels.</t>
        </is>
      </c>
      <c r="AC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90% of this dish's available carbohydrate comes from ingredients with a published, measured GI; the rest uses conventional placeholders (see Ingredients sheet)</t>
        </is>
      </c>
      <c r="Z100" s="2" t="n">
        <v>90</v>
      </c>
      <c r="AA100" s="3" t="inlineStr">
        <is>
          <t>vegetarian, gluten-free, quick</t>
        </is>
      </c>
      <c r="AB100" s="3" t="inlineStr">
        <is>
          <t>1. Sauté diced apple in butter with cinnamon 4 minutes until tender.
2. Stir vanilla into the yogurt.
3. Top with warm apples and walnuts.</t>
        </is>
      </c>
      <c r="AC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83% of this dish's available carbohydrate comes from ingredients with a published, measured GI; the rest uses conventional placeholders (see Ingredients sheet)</t>
        </is>
      </c>
      <c r="Z101" s="2" t="n">
        <v>83</v>
      </c>
      <c r="AA101" s="3" t="inlineStr">
        <is>
          <t>vegan, gluten-free, dairy-free, nut-free, high-protein, high-fiber</t>
        </is>
      </c>
      <c r="AB101" s="3" t="inlineStr">
        <is>
          <t>1. Crumble tofu and cook in olive oil with taco seasoning 6 minutes until golden.
2. Warm beans and tortillas.
3. Fill tortillas with tofu, beans, avocado, salsa, cilantro and lime.</t>
        </is>
      </c>
      <c r="AC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80% of this dish's available carbohydrate comes from ingredients with a published, measured GI; the rest uses conventional placeholders (see Ingredients sheet)</t>
        </is>
      </c>
      <c r="Z102" s="2" t="n">
        <v>80</v>
      </c>
      <c r="AA102" s="3" t="inlineStr">
        <is>
          <t>vegetarian, dairy-free, high-fiber, quick</t>
        </is>
      </c>
      <c r="AB102" s="3" t="inlineStr">
        <is>
          <t>1. Cook oats in almond milk 4 minutes.
2. Whisk in egg whites vigorously and cook 2 more minutes until fluffy.
3. Top with almond butter, cinnamon and raspberries.</t>
        </is>
      </c>
      <c r="AC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0% of this dish's available carbohydrate comes from ingredients with a published, measured GI; the rest uses conventional placeholders (see Ingredients sheet)</t>
        </is>
      </c>
      <c r="Z103" s="2" t="n">
        <v>0</v>
      </c>
      <c r="AA103" s="3" t="inlineStr">
        <is>
          <t>gluten-free, nut-free, low-carb</t>
        </is>
      </c>
      <c r="AB103" s="3" t="inlineStr">
        <is>
          <t>1. Preheat oven to 400°F. Toss asparagus with olive oil in a baking dish and roast 8 minutes.
2. Nestle in torn prosciutto, crack eggs over the top and sprinkle with parmesan.
3. Bake 7–8 minutes until whites set; finish with pepper and lemon zest.</t>
        </is>
      </c>
      <c r="AC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0% of this dish's available carbohydrate comes from ingredients with a published, measured GI; the rest uses conventional placeholders (see Ingredients sheet)</t>
        </is>
      </c>
      <c r="Z104" s="2" t="n">
        <v>0</v>
      </c>
      <c r="AA104" s="3" t="inlineStr">
        <is>
          <t>vegetarian, gluten-free, nut-free, low-carb, make-ahead, meal-prep</t>
        </is>
      </c>
      <c r="AB104" s="3" t="inlineStr">
        <is>
          <t>1. Preheat oven to 350°F and oil 12 muffin cups.
2. Whisk egg whites and eggs with salt; stir in grated zucchini, halved tomatoes, spinach, feta and basil.
3. Fill cups and bake 18–20 minutes until set.</t>
        </is>
      </c>
      <c r="AC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81% of this dish's available carbohydrate comes from ingredients with a published, measured GI; the rest uses conventional placeholders (see Ingredients sheet)</t>
        </is>
      </c>
      <c r="Z105" s="2" t="n">
        <v>81</v>
      </c>
      <c r="AA105" s="3" t="inlineStr">
        <is>
          <t>vegetarian, high-fiber, no-cook, make-ahead</t>
        </is>
      </c>
      <c r="AB105" s="3" t="inlineStr">
        <is>
          <t>1. Stir oats, chia, almond milk, cocoa, sweetener and yogurt in a jar.
2. Refrigerate overnight.
3. Top with coconut and chopped almonds.</t>
        </is>
      </c>
      <c r="AC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0% of this dish's available carbohydrate comes from ingredients with a published, measured GI; the rest uses conventional placeholders (see Ingredients sheet)</t>
        </is>
      </c>
      <c r="Z106" s="2" t="n">
        <v>0</v>
      </c>
      <c r="AA106" s="3" t="inlineStr">
        <is>
          <t>pescatarian, gluten-free, nut-free, low-carb, high-protein, quick</t>
        </is>
      </c>
      <c r="AB106" s="3" t="inlineStr">
        <is>
          <t>1. Sauté shrimp and pepper with Cajun seasoning in olive oil 3 minutes; remove.
2. Cook whisked eggs until nearly set, add shrimp mix and cheese, fold.
3. Garnish with green onion.</t>
        </is>
      </c>
      <c r="AC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21</v>
      </c>
      <c r="U107" s="2" t="inlineStr">
        <is>
          <t>low</t>
        </is>
      </c>
      <c r="V107" s="5" t="n">
        <v>5.2</v>
      </c>
      <c r="W107" s="2" t="inlineStr">
        <is>
          <t>low</t>
        </is>
      </c>
      <c r="X107" s="3" t="inlineStr"/>
      <c r="Y107" s="3" t="inlineStr">
        <is>
          <t>57% of this dish's available carbohydrate comes from ingredients with a published, measured GI; the rest uses conventional placeholders (see Ingredients sheet)</t>
        </is>
      </c>
      <c r="Z107" s="2" t="n">
        <v>57</v>
      </c>
      <c r="AA107" s="3" t="inlineStr">
        <is>
          <t>vegetarian, gluten-free, high-protein, no-cook, quick</t>
        </is>
      </c>
      <c r="AB107" s="3" t="inlineStr">
        <is>
          <t>1. Spoon cottage cheese into a bowl.
2. Top with sliced pear, walnuts and hemp seeds.
3. Dust with cinnamon.</t>
        </is>
      </c>
      <c r="AC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15% of this dish's available carbohydrate comes from ingredients with a published, measured GI; the rest uses conventional placeholders (see Ingredients sheet)</t>
        </is>
      </c>
      <c r="Z108" s="2" t="n">
        <v>15</v>
      </c>
      <c r="AA108" s="3" t="inlineStr">
        <is>
          <t>vegetarian, gluten-free, nut-free, low-carb, make-ahead</t>
        </is>
      </c>
      <c r="AB108" s="3" t="inlineStr">
        <is>
          <t>1. Preheat oven to 375°F and oil a baking dish.
2. Whisk eggs, milk, softened cream cheese, garlic and salt.
3. Stir in chopped spinach, artichokes and mozzarella; pour into the dish.
4. Bake 30–35 minutes until set.</t>
        </is>
      </c>
      <c r="AC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0% of this dish's available carbohydrate comes from ingredients with a published, measured GI; the rest uses conventional placeholders (see Ingredients sheet)</t>
        </is>
      </c>
      <c r="Z109" s="2" t="n">
        <v>0</v>
      </c>
      <c r="AA109" s="3" t="inlineStr">
        <is>
          <t>gluten-free, dairy-free, nut-free, low-carb, high-protein</t>
        </is>
      </c>
      <c r="AB109" s="3" t="inlineStr">
        <is>
          <t>1. Brown sausage; remove. Sauté cauliflower rice and kale in olive oil 5 minutes; season.
2. Fry the eggs.
3. Bowl the cauliflower-kale, sausage, eggs, avocado and hot sauce.</t>
        </is>
      </c>
      <c r="AC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34% of this dish's available carbohydrate comes from ingredients with a published, measured GI; the rest uses conventional placeholders (see Ingredients sheet)</t>
        </is>
      </c>
      <c r="Z110" s="2" t="n">
        <v>34</v>
      </c>
      <c r="AA110" s="3" t="inlineStr">
        <is>
          <t>vegetarian, gluten-free, low-carb, high-protein</t>
        </is>
      </c>
      <c r="AB110" s="3" t="inlineStr">
        <is>
          <t>1. Whisk eggs, yogurt and vanilla; stir in almond flour, protein and baking powder.
2. Cook small pancakes in coconut oil 2–3 minutes per side.
3. Top with raspberries.</t>
        </is>
      </c>
      <c r="AC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0% of this dish's available carbohydrate comes from ingredients with a published, measured GI; the rest uses conventional placeholders (see Ingredients sheet)</t>
        </is>
      </c>
      <c r="Z111" s="2" t="n">
        <v>0</v>
      </c>
      <c r="AA111" s="3" t="inlineStr">
        <is>
          <t>pescatarian, gluten-free, nut-free, low-carb, no-cook, quick</t>
        </is>
      </c>
      <c r="AB111" s="3" t="inlineStr">
        <is>
          <t>1. Slice cucumber into thick rounds.
2. Top each with cream cheese and a piece of smoked salmon.
3. Sprinkle with everything seasoning and chives.</t>
        </is>
      </c>
      <c r="AC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0% of this dish's available carbohydrate comes from ingredients with a published, measured GI; the rest uses conventional placeholders (see Ingredients sheet)</t>
        </is>
      </c>
      <c r="Z112" s="2" t="n">
        <v>0</v>
      </c>
      <c r="AA112" s="3" t="inlineStr">
        <is>
          <t>vegetarian, gluten-free, nut-free, low-carb, quick</t>
        </is>
      </c>
      <c r="AB112" s="3" t="inlineStr">
        <is>
          <t>1. Sauté jalapeño and green onion in olive oil 2 minutes.
2. Add whisked eggs, cook until half set, stir in tomato and cheddar.
3. Finish under the broiler 2 minutes; top with cilantro.</t>
        </is>
      </c>
      <c r="AC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28</v>
      </c>
      <c r="U113" s="2" t="inlineStr">
        <is>
          <t>low</t>
        </is>
      </c>
      <c r="V113" s="5" t="n">
        <v>5.9</v>
      </c>
      <c r="W113" s="2" t="inlineStr">
        <is>
          <t>low</t>
        </is>
      </c>
      <c r="X113" s="3" t="inlineStr"/>
      <c r="Y113" s="3" t="inlineStr">
        <is>
          <t>97% of this dish's available carbohydrate comes from ingredients with a published, measured GI; the rest uses conventional placeholders (see Ingredients sheet)</t>
        </is>
      </c>
      <c r="Z113" s="2" t="n">
        <v>97</v>
      </c>
      <c r="AA113" s="3" t="inlineStr">
        <is>
          <t>vegetarian, gluten-free, high-protein, no-cook, quick</t>
        </is>
      </c>
      <c r="AB113" s="3" t="inlineStr">
        <is>
          <t>1. Stir cardamom into the yogurt.
2. Top with orange segments, pistachios and chia.
3. Garnish with mint.</t>
        </is>
      </c>
      <c r="AC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32</v>
      </c>
      <c r="U114" s="2" t="inlineStr">
        <is>
          <t>low</t>
        </is>
      </c>
      <c r="V114" s="5" t="n">
        <v>5.9</v>
      </c>
      <c r="W114" s="2" t="inlineStr">
        <is>
          <t>low</t>
        </is>
      </c>
      <c r="X114" s="3" t="inlineStr"/>
      <c r="Y114" s="3" t="inlineStr">
        <is>
          <t>89% of this dish's available carbohydrate comes from ingredients with a published, measured GI; the rest uses conventional placeholders (see Ingredients sheet)</t>
        </is>
      </c>
      <c r="Z114" s="2" t="n">
        <v>89</v>
      </c>
      <c r="AA114" s="3" t="inlineStr">
        <is>
          <t>vegetarian, gluten-free, nut-free, high-protein, high-fiber</t>
        </is>
      </c>
      <c r="AB114" s="3" t="inlineStr">
        <is>
          <t>1. Warm lentils with cumin, olive oil, lemon and salt; stir in spinach until wilted.
2. Fry or poach the eggs.
3. Serve lentils topped with eggs, yogurt and parsley.</t>
        </is>
      </c>
      <c r="AC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83% of this dish's available carbohydrate comes from ingredients with a published, measured GI; the rest uses conventional placeholders (see Ingredients sheet)</t>
        </is>
      </c>
      <c r="Z115" s="2" t="n">
        <v>83</v>
      </c>
      <c r="AA115" s="3" t="inlineStr">
        <is>
          <t>vegan, dairy-free, high-fiber, no-cook, make-ahead</t>
        </is>
      </c>
      <c r="AB115" s="3" t="inlineStr">
        <is>
          <t>1. Mix oats, almond milk, cocoa, chia and sweetener in a jar.
2. Refrigerate overnight.
3. Top with peanut butter and sliced strawberries.</t>
        </is>
      </c>
      <c r="AC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0% of this dish's available carbohydrate comes from ingredients with a published, measured GI; the rest uses conventional placeholders (see Ingredients sheet)</t>
        </is>
      </c>
      <c r="Z116" s="2" t="n">
        <v>0</v>
      </c>
      <c r="AA116" s="3" t="inlineStr">
        <is>
          <t>gluten-free, nut-free, low-carb, high-protein, one-pan</t>
        </is>
      </c>
      <c r="AB116" s="3" t="inlineStr">
        <is>
          <t>1. Brown sliced sausage in olive oil; add zucchini and cook 4 minutes.
2. Add tomatoes, olives and oregano; cook 2 minutes.
3. Crack eggs over, cover and cook 5 minutes; top with feta.</t>
        </is>
      </c>
      <c r="AC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88% of this dish's available carbohydrate comes from ingredients with a published, measured GI; the rest uses conventional placeholders (see Ingredients sheet)</t>
        </is>
      </c>
      <c r="Z117" s="2" t="n">
        <v>88</v>
      </c>
      <c r="AA117" s="3" t="inlineStr">
        <is>
          <t>vegan, gluten-free, dairy-free</t>
        </is>
      </c>
      <c r="AB117" s="3" t="inlineStr">
        <is>
          <t>1. Warm cooked quinoa with coconut milk, cinnamon and stevia 5 minutes.
2. Toast coconut in a dry pan.
3. Top porridge with blueberries, almonds and coconut.</t>
        </is>
      </c>
      <c r="AC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0% of this dish's available carbohydrate comes from ingredients with a published, measured GI; the rest uses conventional placeholders (see Ingredients sheet)</t>
        </is>
      </c>
      <c r="Z118" s="2" t="n">
        <v>0</v>
      </c>
      <c r="AA118" s="3" t="inlineStr">
        <is>
          <t>gluten-free, dairy-free, nut-free, low-carb, high-protein, one-pan</t>
        </is>
      </c>
      <c r="AB118" s="3" t="inlineStr">
        <is>
          <t>1. Cook bacon until crisp; remove and crumble.
2. Sauté shredded sprouts and onion in the pan with olive oil until browned, 8 minutes; add vinegar.
3. Make wells, crack in eggs, cover and cook 5 minutes; top with bacon.</t>
        </is>
      </c>
      <c r="AC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0% of this dish's available carbohydrate comes from ingredients with a published, measured GI; the rest uses conventional placeholders (see Ingredients sheet)</t>
        </is>
      </c>
      <c r="Z119" s="2" t="n">
        <v>0</v>
      </c>
      <c r="AA119" s="3" t="inlineStr">
        <is>
          <t>pescatarian, gluten-free, dairy-free, nut-free, low-carb, high-protein, high-fiber, no-cook, omega-3</t>
        </is>
      </c>
      <c r="AB119" s="3" t="inlineStr">
        <is>
          <t>1. Season cooled cauliflower rice with rice vinegar.
2. Top with salmon, avocado, cucumber, torn nori and a halved soft-boiled egg.
3. Sprinkle sesame seeds and drizzle with tamari.</t>
        </is>
      </c>
      <c r="AC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89% of this dish's available carbohydrate comes from ingredients with a published, measured GI; the rest uses conventional placeholders (see Ingredients sheet)</t>
        </is>
      </c>
      <c r="Z120" s="2" t="n">
        <v>89</v>
      </c>
      <c r="AA120" s="3" t="inlineStr">
        <is>
          <t>vegetarian, dairy-free, make-ahead</t>
        </is>
      </c>
      <c r="AB120" s="3" t="inlineStr">
        <is>
          <t>1. Preheat oven to 350°F; oil an 8x8 dish.
2. Whisk eggs, almond milk, orange zest and juice, vanilla and sweetener; stir in oats, baking powder, cinnamon, cranberries and pecans.
3. Bake 30–35 minutes until golden. Cut into squares.</t>
        </is>
      </c>
      <c r="AC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21% of this dish's available carbohydrate comes from ingredients with a published, measured GI; the rest uses conventional placeholders (see Ingredients sheet)</t>
        </is>
      </c>
      <c r="Z121" s="2" t="n">
        <v>21</v>
      </c>
      <c r="AA121" s="3" t="inlineStr">
        <is>
          <t>vegetarian, gluten-free, nut-free, low-carb, high-protein, quick</t>
        </is>
      </c>
      <c r="AB121" s="3" t="inlineStr">
        <is>
          <t>1. Sauté mushrooms and pepper in olive oil.
2. Pour in egg whites with Italian seasoning; cook until set.
3. Spread marinara on top, add mozzarella and broil 2 minutes.</t>
        </is>
      </c>
      <c r="AC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18% of this dish's available carbohydrate comes from ingredients with a published, measured GI; the rest uses conventional placeholders (see Ingredients sheet)</t>
        </is>
      </c>
      <c r="Z122" s="2" t="n">
        <v>18</v>
      </c>
      <c r="AA122" s="3" t="inlineStr">
        <is>
          <t>vegetarian, gluten-free, low-carb, high-fiber</t>
        </is>
      </c>
      <c r="AB122" s="3" t="inlineStr">
        <is>
          <t>1. Whisk eggs, almond milk, melted butter, vanilla and sweetener; stir in almond flour and baking powder.
2. Cook in a hot waffle iron 4 minutes until crisp.
3. Top with yogurt and blackberries.</t>
        </is>
      </c>
      <c r="AC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56% of this dish's available carbohydrate comes from ingredients with a published, measured GI; the rest uses conventional placeholders (see Ingredients sheet)</t>
        </is>
      </c>
      <c r="Z123" s="2" t="n">
        <v>56</v>
      </c>
      <c r="AA123" s="3" t="inlineStr">
        <is>
          <t>vegetarian, gluten-free, nut-free, low-carb, quick</t>
        </is>
      </c>
      <c r="AB123" s="3" t="inlineStr">
        <is>
          <t>1. Char poblano and onion in olive oil 5 minutes; add corn and cook 2 minutes.
2. Add whisked eggs and scramble softly.
3. Top with cotija, cilantro and lime.</t>
        </is>
      </c>
      <c r="AC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0% of this dish's available carbohydrate comes from ingredients with a published, measured GI; the rest uses conventional placeholders (see Ingredients sheet)</t>
        </is>
      </c>
      <c r="Z124" s="2" t="n">
        <v>0</v>
      </c>
      <c r="AA124" s="3" t="inlineStr">
        <is>
          <t>vegetarian, gluten-free, dairy-free, nut-free, low-carb, probiotic</t>
        </is>
      </c>
      <c r="AB124" s="3" t="inlineStr">
        <is>
          <t>1. Stir-fry cauliflower rice in avocado oil 4 minutes; add chopped kimchi and tamari and cook 3 minutes.
2. Push aside, scramble 2 eggs in the pan and mix through; add sesame oil.
3. Fry remaining 2 eggs and serve on top with green onion and sesame seeds.</t>
        </is>
      </c>
      <c r="AC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90% of this dish's available carbohydrate comes from ingredients with a published, measured GI; the rest uses conventional placeholders (see Ingredients sheet)</t>
        </is>
      </c>
      <c r="Z125" s="2" t="n">
        <v>90</v>
      </c>
      <c r="AA125" s="3" t="inlineStr">
        <is>
          <t>vegetarian, high-protein, high-fiber, quick</t>
        </is>
      </c>
      <c r="AB125" s="3" t="inlineStr">
        <is>
          <t>1. Cook oats in almond milk 5 minutes.
2. Off heat stir in protein powder and chia.
3. Top with sliced banana, peanut butter and cinnamon.</t>
        </is>
      </c>
      <c r="AC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0% of this dish's available carbohydrate comes from ingredients with a published, measured GI; the rest uses conventional placeholders (see Ingredients sheet)</t>
        </is>
      </c>
      <c r="Z126" s="2" t="n">
        <v>0</v>
      </c>
      <c r="AA126" s="3" t="inlineStr">
        <is>
          <t>gluten-free, nut-free, low-carb, make-ahead, meal-prep</t>
        </is>
      </c>
      <c r="AB126" s="3" t="inlineStr">
        <is>
          <t>1. Brown crumbled sausage with pepper and onion.
2. Divide among 12 oiled muffin cups with mozzarella.
3. Pour in whisked eggs with seasoning and bake at 350°F for 20 minutes.</t>
        </is>
      </c>
      <c r="AC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31</v>
      </c>
      <c r="U127" s="2" t="inlineStr">
        <is>
          <t>low</t>
        </is>
      </c>
      <c r="V127" s="5" t="n">
        <v>6.3</v>
      </c>
      <c r="W127" s="2" t="inlineStr">
        <is>
          <t>low</t>
        </is>
      </c>
      <c r="X127" s="3" t="inlineStr"/>
      <c r="Y127" s="3" t="inlineStr">
        <is>
          <t>76% of this dish's available carbohydrate comes from ingredients with a published, measured GI; the rest uses conventional placeholders (see Ingredients sheet)</t>
        </is>
      </c>
      <c r="Z127" s="2" t="n">
        <v>76</v>
      </c>
      <c r="AA127" s="3" t="inlineStr">
        <is>
          <t>vegetarian, gluten-free, nut-free, no-cook, quick</t>
        </is>
      </c>
      <c r="AB127" s="3" t="inlineStr">
        <is>
          <t>1. Blend everything with ice until smooth.
2. Let sit 5 minutes so chia thickens.
3. Serve cold.</t>
        </is>
      </c>
      <c r="AC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0% of this dish's available carbohydrate comes from ingredients with a published, measured GI; the rest uses conventional placeholders (see Ingredients sheet)</t>
        </is>
      </c>
      <c r="Z128" s="2" t="n">
        <v>0</v>
      </c>
      <c r="AA128" s="3" t="inlineStr">
        <is>
          <t>vegetarian, gluten-free, dairy-free, nut-free, low-carb, quick</t>
        </is>
      </c>
      <c r="AB128" s="3" t="inlineStr">
        <is>
          <t>1. Sauté onion, mushrooms and chopped broccoli 5 minutes.
2. Add whisked eggs with salt and cook until set; add tomato, fold.
3. Top with sliced avocado.</t>
        </is>
      </c>
      <c r="AC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62% of this dish's available carbohydrate comes from ingredients with a published, measured GI; the rest uses conventional placeholders (see Ingredients sheet)</t>
        </is>
      </c>
      <c r="Z129" s="2" t="n">
        <v>62</v>
      </c>
      <c r="AA129" s="3" t="inlineStr">
        <is>
          <t>vegetarian, nut-free, quick</t>
        </is>
      </c>
      <c r="AB129" s="3" t="inlineStr">
        <is>
          <t>1. Toast the bread and spread with cottage cheese.
2. Top with tomato slices and basil.
3. Drizzle with olive oil and pepper.</t>
        </is>
      </c>
      <c r="AC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73% of this dish's available carbohydrate comes from ingredients with a published, measured GI; the rest uses conventional placeholders (see Ingredients sheet)</t>
        </is>
      </c>
      <c r="Z130" s="2" t="n">
        <v>73</v>
      </c>
      <c r="AA130" s="3" t="inlineStr">
        <is>
          <t>vegetarian, gluten-free, nut-free, high-fiber</t>
        </is>
      </c>
      <c r="AB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C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66% of this dish's available carbohydrate comes from ingredients with a published, measured GI; the rest uses conventional placeholders (see Ingredients sheet)</t>
        </is>
      </c>
      <c r="Z131" s="2" t="n">
        <v>66</v>
      </c>
      <c r="AA131" s="3" t="inlineStr">
        <is>
          <t>vegetarian, gluten-free, nut-free, quick</t>
        </is>
      </c>
      <c r="AB131" s="3" t="inlineStr">
        <is>
          <t>1. Simmer broth with garlic; add beans and kale and cook 5 minutes.
2. Crack eggs into the soup and poach 4 minutes.
3. Serve with parmesan, olive oil and lemon.</t>
        </is>
      </c>
      <c r="AC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87% of this dish's available carbohydrate comes from ingredients with a published, measured GI; the rest uses conventional placeholders (see Ingredients sheet)</t>
        </is>
      </c>
      <c r="Z132" s="2" t="n">
        <v>87</v>
      </c>
      <c r="AA132" s="3" t="inlineStr">
        <is>
          <t>vegetarian, gluten-free, high-protein, no-cook, quick</t>
        </is>
      </c>
      <c r="AB132" s="3" t="inlineStr">
        <is>
          <t>1. Combine all ingredients in a blender.
2. Blend until smooth.
3. Serve immediately.</t>
        </is>
      </c>
      <c r="AC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0% of this dish's available carbohydrate comes from ingredients with a published, measured GI; the rest uses conventional placeholders (see Ingredients sheet)</t>
        </is>
      </c>
      <c r="Z133" s="2" t="n">
        <v>0</v>
      </c>
      <c r="AA133" s="3" t="inlineStr">
        <is>
          <t>vegetarian, gluten-free, nut-free, low-carb, quick</t>
        </is>
      </c>
      <c r="AB133" s="3" t="inlineStr">
        <is>
          <t>1. Wilt spinach and mix with ricotta, parmesan and nutmeg.
2. Cook eggs as a thin omelet in olive oil.
3. Spread with the ricotta mix and roll up.</t>
        </is>
      </c>
      <c r="AC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85% of this dish's available carbohydrate comes from ingredients with a published, measured GI; the rest uses conventional placeholders (see Ingredients sheet)</t>
        </is>
      </c>
      <c r="Z134" s="2" t="n">
        <v>85</v>
      </c>
      <c r="AA134" s="3" t="inlineStr">
        <is>
          <t>pescatarian, gluten-free, nut-free, high-protein</t>
        </is>
      </c>
      <c r="AB134" s="3" t="inlineStr">
        <is>
          <t>1. Coat tilapia in Cajun seasoning and sear in olive oil 3 minutes per side; flake.
2. Scramble eggs.
3. Toss slaw with yogurt and lime juice.
4. Fill warm tortillas with fish, egg, slaw and cilantro.</t>
        </is>
      </c>
      <c r="AC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30</v>
      </c>
      <c r="U135" s="2" t="inlineStr">
        <is>
          <t>low</t>
        </is>
      </c>
      <c r="V135" s="5" t="n">
        <v>6.1</v>
      </c>
      <c r="W135" s="2" t="inlineStr">
        <is>
          <t>low</t>
        </is>
      </c>
      <c r="X135" s="3" t="inlineStr"/>
      <c r="Y135" s="3" t="inlineStr">
        <is>
          <t>75% of this dish's available carbohydrate comes from ingredients with a published, measured GI; the rest uses conventional placeholders (see Ingredients sheet)</t>
        </is>
      </c>
      <c r="Z135" s="2" t="n">
        <v>75</v>
      </c>
      <c r="AA135" s="3" t="inlineStr">
        <is>
          <t>vegetarian, gluten-free, nut-free, high-fiber</t>
        </is>
      </c>
      <c r="AB135" s="3" t="inlineStr">
        <is>
          <t>1. Warm lentils with olive oil, lemon and salt.
2. Toss with tomatoes, cucumber and parsley.
3. Top with feta and halved soft-boiled eggs.</t>
        </is>
      </c>
      <c r="AC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0% of this dish's available carbohydrate comes from ingredients with a published, measured GI; the rest uses conventional placeholders (see Ingredients sheet)</t>
        </is>
      </c>
      <c r="Z136" s="2" t="n">
        <v>0</v>
      </c>
      <c r="AA136" s="3" t="inlineStr">
        <is>
          <t>gluten-free, nut-free, low-carb, quick</t>
        </is>
      </c>
      <c r="AB136" s="3" t="inlineStr">
        <is>
          <t>1. Line 6 muffin cups with prosciutto slices.
2. Add a little chopped spinach, crack in an egg, top with parmesan and pepper.
3. Bake at 400°F for 12–15 minutes.</t>
        </is>
      </c>
      <c r="AC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91% of this dish's available carbohydrate comes from ingredients with a published, measured GI; the rest uses conventional placeholders (see Ingredients sheet)</t>
        </is>
      </c>
      <c r="Z137" s="2" t="n">
        <v>91</v>
      </c>
      <c r="AA137" s="3" t="inlineStr">
        <is>
          <t>vegetarian, high-fiber, no-cook, make-ahead</t>
        </is>
      </c>
      <c r="AB137" s="3" t="inlineStr">
        <is>
          <t>1. Mix oats, grated carrot, almond milk, yogurt, spices, vanilla and sweetener.
2. Refrigerate overnight.
3. Top with walnuts.</t>
        </is>
      </c>
      <c r="AC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30</v>
      </c>
      <c r="U138" s="2" t="inlineStr">
        <is>
          <t>low</t>
        </is>
      </c>
      <c r="V138" s="5" t="n">
        <v>7.7</v>
      </c>
      <c r="W138" s="2" t="inlineStr">
        <is>
          <t>low</t>
        </is>
      </c>
      <c r="X138" s="3" t="inlineStr"/>
      <c r="Y138" s="3" t="inlineStr">
        <is>
          <t>79% of this dish's available carbohydrate comes from ingredients with a published, measured GI; the rest uses conventional placeholders (see Ingredients sheet)</t>
        </is>
      </c>
      <c r="Z138" s="2" t="n">
        <v>79</v>
      </c>
      <c r="AA138" s="3" t="inlineStr">
        <is>
          <t>vegetarian, gluten-free, nut-free, high-protein, high-fiber, quick</t>
        </is>
      </c>
      <c r="AB138" s="3" t="inlineStr">
        <is>
          <t>1. Warm beans with cumin and mash lightly.
2. Fry the eggs in olive oil.
3. Layer beans, eggs, cheddar, salsa, avocado and green onion in a bowl.</t>
        </is>
      </c>
      <c r="AC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54</v>
      </c>
      <c r="U139" s="2" t="inlineStr">
        <is>
          <t>low</t>
        </is>
      </c>
      <c r="V139" s="5" t="n">
        <v>7.7</v>
      </c>
      <c r="W139" s="2" t="inlineStr">
        <is>
          <t>low</t>
        </is>
      </c>
      <c r="X139" s="3" t="inlineStr"/>
      <c r="Y139" s="3" t="inlineStr">
        <is>
          <t>83% of this dish's available carbohydrate comes from ingredients with a published, measured GI; the rest uses conventional placeholders (see Ingredients sheet)</t>
        </is>
      </c>
      <c r="Z139" s="2" t="n">
        <v>83</v>
      </c>
      <c r="AA139" s="3" t="inlineStr">
        <is>
          <t>vegetarian, gluten-free, dairy-free, nut-free, low-carb, high-fiber, quick</t>
        </is>
      </c>
      <c r="AB139" s="3" t="inlineStr">
        <is>
          <t>1. Mash avocado with lemon juice and salt.
2. Chop hard-boiled eggs and fold in with chives.
3. Pile onto toasted bread; sprinkle pepper flakes.</t>
        </is>
      </c>
      <c r="AC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0% of this dish's available carbohydrate comes from ingredients with a published, measured GI; the rest uses conventional placeholders (see Ingredients sheet)</t>
        </is>
      </c>
      <c r="Z140" s="2" t="n">
        <v>0</v>
      </c>
      <c r="AA140" s="3" t="inlineStr">
        <is>
          <t>vegetarian, gluten-free, dairy-free, low-carb, high-fiber</t>
        </is>
      </c>
      <c r="AB140" s="3" t="inlineStr">
        <is>
          <t>1. Simmer cauliflower rice in almond milk 5 minutes until tender.
2. Whisk in egg whites and flaxseed; cook 2 minutes stirring until thick.
3. Add cinnamon, vanilla, sweetener; top with pecans and raspberries.</t>
        </is>
      </c>
      <c r="AC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0% of this dish's available carbohydrate comes from ingredients with a published, measured GI; the rest uses conventional placeholders (see Ingredients sheet)</t>
        </is>
      </c>
      <c r="Z141" s="2" t="n">
        <v>0</v>
      </c>
      <c r="AA141" s="3" t="inlineStr">
        <is>
          <t>gluten-free, dairy-free, nut-free, low-carb, high-protein, quick</t>
        </is>
      </c>
      <c r="AB141" s="3" t="inlineStr">
        <is>
          <t>1. Cook turkey bacon until crisp.
2. Spread romaine leaves with mayo; layer turkey, bacon, sliced egg, tomato and avocado.
3. Roll and eat.</t>
        </is>
      </c>
      <c r="AC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42</v>
      </c>
      <c r="U142" s="2" t="inlineStr">
        <is>
          <t>low</t>
        </is>
      </c>
      <c r="V142" s="5" t="n">
        <v>14.7</v>
      </c>
      <c r="W142" s="2" t="inlineStr">
        <is>
          <t>medium</t>
        </is>
      </c>
      <c r="X142" s="3" t="inlineStr"/>
      <c r="Y142" s="3" t="inlineStr">
        <is>
          <t>95% of this dish's available carbohydrate comes from ingredients with a published, measured GI; the rest uses conventional placeholders (see Ingredients sheet)</t>
        </is>
      </c>
      <c r="Z142" s="2" t="n">
        <v>95</v>
      </c>
      <c r="AA142" s="3" t="inlineStr">
        <is>
          <t>vegetarian, high-fiber</t>
        </is>
      </c>
      <c r="AB142" s="3" t="inlineStr">
        <is>
          <t>1. Simmer steel-cut oats in water 20–25 minutes, stirring occasionally.
2. Stir in almond milk, cardamom and cinnamon.
3. Top with diced pear, almonds and yogurt.</t>
        </is>
      </c>
      <c r="AC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42% of this dish's available carbohydrate comes from ingredients with a published, measured GI; the rest uses conventional placeholders (see Ingredients sheet)</t>
        </is>
      </c>
      <c r="Z143" s="2" t="n">
        <v>42</v>
      </c>
      <c r="AA143" s="3" t="inlineStr">
        <is>
          <t>vegetarian, nut-free, high-protein, high-fiber, quick</t>
        </is>
      </c>
      <c r="AB143" s="3" t="inlineStr">
        <is>
          <t>1. Crisp the tortilla in a skillet with olive oil.
2. Scramble egg whites, spread over the tortilla with beans and salsa.
3. Top with cheese, broil 2 minutes, add green onion and slice.</t>
        </is>
      </c>
      <c r="AC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67% of this dish's available carbohydrate comes from ingredients with a published, measured GI; the rest uses conventional placeholders (see Ingredients sheet)</t>
        </is>
      </c>
      <c r="Z144" s="2" t="n">
        <v>67</v>
      </c>
      <c r="AA144" s="3" t="inlineStr">
        <is>
          <t>nut-free, low-carb, high-protein</t>
        </is>
      </c>
      <c r="AB144" s="3" t="inlineStr">
        <is>
          <t>1. Season chicken, grill 6 minutes per side, rest and slice.
2. Whisk yogurt, lemon, Dijon, mashed anchovies, garlic and olive oil into a dressing.
3. Toss romaine with dressing, top with chicken, parmesan, pepper and crumbled crackers.</t>
        </is>
      </c>
      <c r="AC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32</v>
      </c>
      <c r="U145" s="2" t="inlineStr">
        <is>
          <t>low</t>
        </is>
      </c>
      <c r="V145" s="5" t="n">
        <v>8</v>
      </c>
      <c r="W145" s="2" t="inlineStr">
        <is>
          <t>low</t>
        </is>
      </c>
      <c r="X145" s="3" t="inlineStr"/>
      <c r="Y145" s="3" t="inlineStr">
        <is>
          <t>77% of this dish's available carbohydrate comes from ingredients with a published, measured GI; the rest uses conventional placeholders (see Ingredients sheet)</t>
        </is>
      </c>
      <c r="Z145" s="2" t="n">
        <v>77</v>
      </c>
      <c r="AA145" s="3" t="inlineStr">
        <is>
          <t>vegetarian, gluten-free, nut-free, high-fiber, make-ahead, no-cook</t>
        </is>
      </c>
      <c r="AB145" s="3" t="inlineStr">
        <is>
          <t>1. Combine chickpeas, diced cucumber, halved tomatoes, thin red onion, olives and parsley.
2. Whisk olive oil, lemon juice, oregano and salt; toss with the salad.
3. Fold in feta and chill 20 minutes before serving.</t>
        </is>
      </c>
      <c r="AC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20% of this dish's available carbohydrate comes from ingredients with a published, measured GI; the rest uses conventional placeholders (see Ingredients sheet)</t>
        </is>
      </c>
      <c r="Z146" s="2" t="n">
        <v>20</v>
      </c>
      <c r="AA146" s="3" t="inlineStr">
        <is>
          <t>gluten-free, nut-free, low-carb, high-protein</t>
        </is>
      </c>
      <c r="AB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C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41</v>
      </c>
      <c r="U147" s="2" t="inlineStr">
        <is>
          <t>low</t>
        </is>
      </c>
      <c r="V147" s="5" t="n">
        <v>14</v>
      </c>
      <c r="W147" s="2" t="inlineStr">
        <is>
          <t>medium</t>
        </is>
      </c>
      <c r="X147" s="3" t="inlineStr"/>
      <c r="Y147" s="3" t="inlineStr">
        <is>
          <t>78% of this dish's available carbohydrate comes from ingredients with a published, measured GI; the rest uses conventional placeholders (see Ingredients sheet)</t>
        </is>
      </c>
      <c r="Z147" s="2" t="n">
        <v>78</v>
      </c>
      <c r="AA147" s="3" t="inlineStr">
        <is>
          <t>vegan, gluten-free, dairy-free, nut-free, high-fiber, make-ahead</t>
        </is>
      </c>
      <c r="AB147" s="3" t="inlineStr">
        <is>
          <t>1. Massage chopped kale with a pinch of salt for 1 minute to soften.
2. Whisk tahini, lemon juice, garlic, water and salt into a smooth dressing.
3. Toss kale with quinoa, chickpeas, shredded carrot and cabbage; drizzle dressing and top with pumpkin seeds.</t>
        </is>
      </c>
      <c r="AC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47</v>
      </c>
      <c r="U148" s="2" t="inlineStr">
        <is>
          <t>low</t>
        </is>
      </c>
      <c r="V148" s="5" t="n">
        <v>8.9</v>
      </c>
      <c r="W148" s="2" t="inlineStr">
        <is>
          <t>low</t>
        </is>
      </c>
      <c r="X148" s="3" t="inlineStr"/>
      <c r="Y148" s="3" t="inlineStr">
        <is>
          <t>58% of this dish's available carbohydrate comes from ingredients with a published, measured GI; the rest uses conventional placeholders (see Ingredients sheet)</t>
        </is>
      </c>
      <c r="Z148" s="2" t="n">
        <v>58</v>
      </c>
      <c r="AA148" s="3" t="inlineStr">
        <is>
          <t>pescatarian, gluten-free, dairy-free, nut-free, high-protein</t>
        </is>
      </c>
      <c r="AB148" s="3" t="inlineStr">
        <is>
          <t>1. Boil potatoes until tender; blanch green beans 3 minutes; hard-boil eggs.
2. Whisk olive oil, vinegar, Dijon and mashed anchovy.
3. Arrange greens, tuna, potatoes, beans, eggs, tomatoes and olives; drizzle with dressing.</t>
        </is>
      </c>
      <c r="AC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20% of this dish's available carbohydrate comes from ingredients with a published, measured GI; the rest uses conventional placeholders (see Ingredients sheet)</t>
        </is>
      </c>
      <c r="Z149" s="2" t="n">
        <v>20</v>
      </c>
      <c r="AA149" s="3" t="inlineStr">
        <is>
          <t>gluten-free, dairy-free, low-carb, high-protein, no-cook</t>
        </is>
      </c>
      <c r="AB149" s="3" t="inlineStr">
        <is>
          <t>1. Whisk tamari, rice vinegar, sesame oil, grated ginger and peanut butter into a dressing.
2. Toss shredded chicken, cabbages, carrot, edamame, green onion and cilantro.
3. Dress just before serving and top with sliced almonds.</t>
        </is>
      </c>
      <c r="AC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0% of this dish's available carbohydrate comes from ingredients with a published, measured GI; the rest uses conventional placeholders (see Ingredients sheet)</t>
        </is>
      </c>
      <c r="Z150" s="2" t="n">
        <v>0</v>
      </c>
      <c r="AA150" s="3" t="inlineStr">
        <is>
          <t>pescatarian, gluten-free, nut-free, low-carb, high-protein</t>
        </is>
      </c>
      <c r="AB150" s="3" t="inlineStr">
        <is>
          <t>1. Toss shrimp with oregano and half the olive oil; grill 2–3 minutes per side.
2. Combine romaine, cucumber, tomato, onion and olives.
3. Dress with remaining oil and vinegar; top with feta and shrimp.</t>
        </is>
      </c>
      <c r="AC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80% of this dish's available carbohydrate comes from ingredients with a published, measured GI; the rest uses conventional placeholders (see Ingredients sheet)</t>
        </is>
      </c>
      <c r="Z151" s="2" t="n">
        <v>80</v>
      </c>
      <c r="AA151" s="3" t="inlineStr">
        <is>
          <t>vegan, gluten-free, dairy-free, nut-free, high-fiber, no-cook, make-ahead</t>
        </is>
      </c>
      <c r="AB151" s="3" t="inlineStr">
        <is>
          <t>1. Combine beans, corn, diced pepper, tomatoes, red onion and cilantro.
2. Whisk lime juice, olive oil, cumin, chili powder and salt.
3. Toss, fold in diced avocado just before serving.</t>
        </is>
      </c>
      <c r="AC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19% of this dish's available carbohydrate comes from ingredients with a published, measured GI; the rest uses conventional placeholders (see Ingredients sheet)</t>
        </is>
      </c>
      <c r="Z152" s="2" t="n">
        <v>19</v>
      </c>
      <c r="AA152" s="3" t="inlineStr">
        <is>
          <t>pescatarian, gluten-free, nut-free, low-carb, high-protein, omega-3</t>
        </is>
      </c>
      <c r="AB152" s="3" t="inlineStr">
        <is>
          <t>1. Season salmon and roast at 400°F for 12 minutes; flake.
2. Whisk yogurt, dill, lemon juice and salt for the dressing.
3. Toss greens, cucumber and radish with olive oil; top with salmon, avocado and dressing.</t>
        </is>
      </c>
      <c r="AC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29</v>
      </c>
      <c r="U153" s="2" t="inlineStr">
        <is>
          <t>low</t>
        </is>
      </c>
      <c r="V153" s="5" t="n">
        <v>3.9</v>
      </c>
      <c r="W153" s="2" t="inlineStr">
        <is>
          <t>low</t>
        </is>
      </c>
      <c r="X153" s="3" t="inlineStr"/>
      <c r="Y153" s="3" t="inlineStr">
        <is>
          <t>68% of this dish's available carbohydrate comes from ingredients with a published, measured GI; the rest uses conventional placeholders (see Ingredients sheet)</t>
        </is>
      </c>
      <c r="Z153" s="2" t="n">
        <v>68</v>
      </c>
      <c r="AA153" s="3" t="inlineStr">
        <is>
          <t>vegan, gluten-free, dairy-free, nut-free, low-carb, high-fiber, no-cook, make-ahead</t>
        </is>
      </c>
      <c r="AB153" s="3" t="inlineStr">
        <is>
          <t>1. Finely chop parsley, mint, tomato, cucumber and green onion.
2. Combine with cooked lentils.
3. Dress with lemon juice, olive oil and salt; rest 15 minutes.</t>
        </is>
      </c>
      <c r="AC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54% of this dish's available carbohydrate comes from ingredients with a published, measured GI; the rest uses conventional placeholders (see Ingredients sheet)</t>
        </is>
      </c>
      <c r="Z154" s="2" t="n">
        <v>54</v>
      </c>
      <c r="AA154" s="3" t="inlineStr">
        <is>
          <t>gluten-free, nut-free, low-carb, high-protein</t>
        </is>
      </c>
      <c r="AB154" s="3" t="inlineStr">
        <is>
          <t>1. Sear chicken in olive oil, slice and toss with hot sauce melted with butter.
2. Mix yogurt, crumbled blue cheese and lemon juice into a dressing.
3. Serve chicken over romaine, celery and carrot with the dressing.</t>
        </is>
      </c>
      <c r="AC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73% of this dish's available carbohydrate comes from ingredients with a published, measured GI; the rest uses conventional placeholders (see Ingredients sheet)</t>
        </is>
      </c>
      <c r="Z155" s="2" t="n">
        <v>73</v>
      </c>
      <c r="AA155" s="3" t="inlineStr">
        <is>
          <t>vegetarian, gluten-free, nut-free, high-protein, high-fiber, no-cook</t>
        </is>
      </c>
      <c r="AB155" s="3" t="inlineStr">
        <is>
          <t>1. Slice tomatoes and mozzarella; arrange on a platter with white beans.
2. Tuck basil leaves between slices.
3. Drizzle with olive oil and balsamic; season.</t>
        </is>
      </c>
      <c r="AC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0% of this dish's available carbohydrate comes from ingredients with a published, measured GI; the rest uses conventional placeholders (see Ingredients sheet)</t>
        </is>
      </c>
      <c r="Z156" s="2" t="n">
        <v>0</v>
      </c>
      <c r="AA156" s="3" t="inlineStr">
        <is>
          <t>gluten-free, dairy-free, nut-free, low-carb, high-protein</t>
        </is>
      </c>
      <c r="AB156" s="3" t="inlineStr">
        <is>
          <t>1. Season steak and grill 4–5 minutes per side; rest 5 minutes and slice thin.
2. Blend parsley, cilantro, garlic, vinegar, olive oil, pepper flakes and salt into chimichurri.
3. Toss arugula, tomatoes and onion; top with steak and chimichurri.</t>
        </is>
      </c>
      <c r="AC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5% of this dish's available carbohydrate comes from ingredients with a published, measured GI; the rest uses conventional placeholders (see Ingredients sheet)</t>
        </is>
      </c>
      <c r="Z157" s="2" t="n">
        <v>5</v>
      </c>
      <c r="AA157" s="3" t="inlineStr">
        <is>
          <t>vegan, gluten-free, dairy-free, low-carb, no-cook</t>
        </is>
      </c>
      <c r="AB157" s="3" t="inlineStr">
        <is>
          <t>1. Whisk peanut butter, lime juice, tamari, sesame oil, ginger and water until smooth.
2. Toss slaw, cabbage, edamame, pepper, green onion and cilantro.
3. Dress and top with chopped peanuts.</t>
        </is>
      </c>
      <c r="AC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14% of this dish's available carbohydrate comes from ingredients with a published, measured GI; the rest uses conventional placeholders (see Ingredients sheet)</t>
        </is>
      </c>
      <c r="Z158" s="2" t="n">
        <v>14</v>
      </c>
      <c r="AA158" s="3" t="inlineStr">
        <is>
          <t>pescatarian, gluten-free, nut-free, low-carb, high-protein</t>
        </is>
      </c>
      <c r="AB158" s="3" t="inlineStr">
        <is>
          <t>1. Poach shrimp 3 minutes; chill.
2. Mix yogurt, mayo, tomato paste, lemon juice and hot sauce for Louie dressing.
3. Plate lettuce, shrimp, quartered eggs, tomato, cucumber and avocado; spoon dressing over.</t>
        </is>
      </c>
      <c r="AC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76% of this dish's available carbohydrate comes from ingredients with a published, measured GI; the rest uses conventional placeholders (see Ingredients sheet)</t>
        </is>
      </c>
      <c r="Z159" s="2" t="n">
        <v>76</v>
      </c>
      <c r="AA159" s="3" t="inlineStr">
        <is>
          <t>vegetarian, nut-free, make-ahead</t>
        </is>
      </c>
      <c r="AB159" s="3" t="inlineStr">
        <is>
          <t>1. Roast zucchini, pepper and onion tossed with half the oil at 425°F for 20 minutes.
2. Combine farro, roasted vegetables, tomatoes and arugula.
3. Dress with remaining oil, balsamic and salt; top with feta and basil.</t>
        </is>
      </c>
      <c r="AC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78% of this dish's available carbohydrate comes from ingredients with a published, measured GI; the rest uses conventional placeholders (see Ingredients sheet)</t>
        </is>
      </c>
      <c r="Z160" s="2" t="n">
        <v>78</v>
      </c>
      <c r="AA160" s="3" t="inlineStr">
        <is>
          <t>gluten-free, low-carb, high-protein, no-cook</t>
        </is>
      </c>
      <c r="AB160" s="3" t="inlineStr">
        <is>
          <t>1. Dice chicken, apple and celery.
2. Mix yogurt, lemon juice, Dijon and salt; fold in chicken mix and walnuts.
3. Serve in butter lettuce cups.</t>
        </is>
      </c>
      <c r="AC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77% of this dish's available carbohydrate comes from ingredients with a published, measured GI; the rest uses conventional placeholders (see Ingredients sheet)</t>
        </is>
      </c>
      <c r="Z161" s="2" t="n">
        <v>77</v>
      </c>
      <c r="AA161" s="3" t="inlineStr">
        <is>
          <t>vegetarian, gluten-free, low-carb</t>
        </is>
      </c>
      <c r="AB161" s="3" t="inlineStr">
        <is>
          <t>1. Wrap beets in foil and roast at 400°F for 45 minutes; peel and slice.
2. Toss arugula with olive oil, balsamic and salt.
3. Top with beets, orange segments, goat cheese and walnuts.</t>
        </is>
      </c>
      <c r="AC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87% of this dish's available carbohydrate comes from ingredients with a published, measured GI; the rest uses conventional placeholders (see Ingredients sheet)</t>
        </is>
      </c>
      <c r="Z162" s="2" t="n">
        <v>87</v>
      </c>
      <c r="AA162" s="3" t="inlineStr">
        <is>
          <t>pescatarian, gluten-free, dairy-free, nut-free, high-protein, high-fiber, no-cook</t>
        </is>
      </c>
      <c r="AB162" s="3" t="inlineStr">
        <is>
          <t>1. Flake tuna and combine with beans, onion, celery, parsley and capers.
2. Dress with olive oil and lemon juice.
3. Serve over arugula.</t>
        </is>
      </c>
      <c r="AC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43% of this dish's available carbohydrate comes from ingredients with a published, measured GI; the rest uses conventional placeholders (see Ingredients sheet)</t>
        </is>
      </c>
      <c r="Z163" s="2" t="n">
        <v>43</v>
      </c>
      <c r="AA163" s="3" t="inlineStr">
        <is>
          <t>gluten-free, low-carb, high-protein</t>
        </is>
      </c>
      <c r="AB163" s="3" t="inlineStr">
        <is>
          <t>1. Grill seasoned chicken 6 minutes per side; slice.
2. Whisk olive oil, balsamic and Dijon.
3. Toss spinach, strawberries and onion with dressing; top with chicken, goat cheese and almonds.</t>
        </is>
      </c>
      <c r="AC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0% of this dish's available carbohydrate comes from ingredients with a published, measured GI; the rest uses conventional placeholders (see Ingredients sheet)</t>
        </is>
      </c>
      <c r="Z164" s="2" t="n">
        <v>0</v>
      </c>
      <c r="AA164" s="3" t="inlineStr">
        <is>
          <t>gluten-free, dairy-free, nut-free, low-carb</t>
        </is>
      </c>
      <c r="AB164" s="3" t="inlineStr">
        <is>
          <t>1. Hard-boil eggs; crisp turkey bacon.
2. Chop everything into small dice.
3. Toss with olive oil, lemon, Dijon and chives.</t>
        </is>
      </c>
      <c r="AC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37</v>
      </c>
      <c r="U165" s="2" t="inlineStr">
        <is>
          <t>low</t>
        </is>
      </c>
      <c r="V165" s="5" t="n">
        <v>7.8</v>
      </c>
      <c r="W165" s="2" t="inlineStr">
        <is>
          <t>low</t>
        </is>
      </c>
      <c r="X165" s="3" t="inlineStr"/>
      <c r="Y165" s="3" t="inlineStr">
        <is>
          <t>93% of this dish's available carbohydrate comes from ingredients with a published, measured GI; the rest uses conventional placeholders (see Ingredients sheet)</t>
        </is>
      </c>
      <c r="Z165" s="2" t="n">
        <v>93</v>
      </c>
      <c r="AA165" s="3" t="inlineStr">
        <is>
          <t>vegan, gluten-free, dairy-free, high-fiber, no-cook</t>
        </is>
      </c>
      <c r="AB165" s="3" t="inlineStr">
        <is>
          <t>1. Shred carrots and combine with chickpeas, cilantro and mint.
2. Whisk lemon juice, olive oil, cumin, coriander, cinnamon and salt.
3. Toss and top with toasted almonds.</t>
        </is>
      </c>
      <c r="AC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0% of this dish's available carbohydrate comes from ingredients with a published, measured GI; the rest uses conventional placeholders (see Ingredients sheet)</t>
        </is>
      </c>
      <c r="Z166" s="2" t="n">
        <v>0</v>
      </c>
      <c r="AA166" s="3" t="inlineStr">
        <is>
          <t>pescatarian, gluten-free, dairy-free, nut-free, low-carb, high-protein, high-fiber</t>
        </is>
      </c>
      <c r="AB166" s="3" t="inlineStr">
        <is>
          <t>1. Coat tuna in sesame seeds and sear in avocado oil 1 minute per side; slice.
2. Whisk tamari, rice vinegar, grated ginger and sesame oil.
3. Plate greens, cucumber, avocado and edamame; top with tuna and dressing.</t>
        </is>
      </c>
      <c r="AC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14% of this dish's available carbohydrate comes from ingredients with a published, measured GI; the rest uses conventional placeholders (see Ingredients sheet)</t>
        </is>
      </c>
      <c r="Z167" s="2" t="n">
        <v>14</v>
      </c>
      <c r="AA167" s="3" t="inlineStr">
        <is>
          <t>gluten-free, nut-free, low-carb, make-ahead</t>
        </is>
      </c>
      <c r="AB167" s="3" t="inlineStr">
        <is>
          <t>1. Cook turkey bacon until crisp; chop.
2. Mix yogurt, mayo, vinegar and sweetener.
3. Toss chopped raw broccoli, onion, seeds, cheddar and bacon with the dressing; chill 30 minutes.</t>
        </is>
      </c>
      <c r="AC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0% of this dish's available carbohydrate comes from ingredients with a published, measured GI; the rest uses conventional placeholders (see Ingredients sheet)</t>
        </is>
      </c>
      <c r="Z168" s="2" t="n">
        <v>0</v>
      </c>
      <c r="AA168" s="3" t="inlineStr">
        <is>
          <t>vegetarian, gluten-free, nut-free, low-carb</t>
        </is>
      </c>
      <c r="AB168" s="3" t="inlineStr">
        <is>
          <t>1. Sear thick feta slices in a dry nonstick pan 2 minutes per side until golden.
2. Toss cucumber, tomatoes, olives and mint with olive oil, lemon and oregano.
3. Top with warm feta.</t>
        </is>
      </c>
      <c r="AC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9% of this dish's available carbohydrate comes from ingredients with a published, measured GI; the rest uses conventional placeholders (see Ingredients sheet)</t>
        </is>
      </c>
      <c r="Z169" s="2" t="n">
        <v>9</v>
      </c>
      <c r="AA169" s="3" t="inlineStr">
        <is>
          <t>gluten-free, nut-free, low-carb, high-protein</t>
        </is>
      </c>
      <c r="AB169" s="3" t="inlineStr">
        <is>
          <t>1. Marinate chicken in spices, garlic, half the lemon and oil for 15 minutes; sear 6 minutes per side and slice.
2. Whisk tahini, yogurt, remaining lemon and water to a sauce.
3. Serve chicken over romaine, tomato, cucumber and onion with sauce and parsley.</t>
        </is>
      </c>
      <c r="AC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6% of this dish's available carbohydrate comes from ingredients with a published, measured GI; the rest uses conventional placeholders (see Ingredients sheet)</t>
        </is>
      </c>
      <c r="Z170" s="2" t="n">
        <v>6</v>
      </c>
      <c r="AA170" s="3" t="inlineStr">
        <is>
          <t>vegan, gluten-free, dairy-free, make-ahead</t>
        </is>
      </c>
      <c r="AB170" s="3" t="inlineStr">
        <is>
          <t>1. Combine wild rice, chopped cranberries, pecans, celery, green onion and parsley.
2. Whisk orange juice, zest, olive oil, vinegar and salt.
3. Toss and serve at room temperature.</t>
        </is>
      </c>
      <c r="AC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18% of this dish's available carbohydrate comes from ingredients with a published, measured GI; the rest uses conventional placeholders (see Ingredients sheet)</t>
        </is>
      </c>
      <c r="Z171" s="2" t="n">
        <v>18</v>
      </c>
      <c r="AA171" s="3" t="inlineStr">
        <is>
          <t>pescatarian, gluten-free, nut-free, low-carb, high-protein, no-cook</t>
        </is>
      </c>
      <c r="AB171" s="3" t="inlineStr">
        <is>
          <t>1. Gently mix crab with celery, onion, yogurt, Dijon, lemon and Old Bay.
2. Fold in diced avocado.
3. Serve in lettuce cups with chives.</t>
        </is>
      </c>
      <c r="AC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34</v>
      </c>
      <c r="U172" s="2" t="inlineStr">
        <is>
          <t>low</t>
        </is>
      </c>
      <c r="V172" s="5" t="n">
        <v>8.6</v>
      </c>
      <c r="W172" s="2" t="inlineStr">
        <is>
          <t>low</t>
        </is>
      </c>
      <c r="X172" s="3" t="inlineStr"/>
      <c r="Y172" s="3" t="inlineStr">
        <is>
          <t>64% of this dish's available carbohydrate comes from ingredients with a published, measured GI; the rest uses conventional placeholders (see Ingredients sheet)</t>
        </is>
      </c>
      <c r="Z172" s="2" t="n">
        <v>64</v>
      </c>
      <c r="AA172" s="3" t="inlineStr">
        <is>
          <t>vegan, gluten-free, dairy-free, nut-free, high-fiber</t>
        </is>
      </c>
      <c r="AB172" s="3" t="inlineStr">
        <is>
          <t>1. Toss cauliflower and chickpeas with oil, cumin and paprika; roast at 425°F for 25 minutes.
2. Whisk tahini, lemon, garlic and water.
3. Serve warm over arugula with tahini sauce, parsley and pomegranate.</t>
        </is>
      </c>
      <c r="AC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59% of this dish's available carbohydrate comes from ingredients with a published, measured GI; the rest uses conventional placeholders (see Ingredients sheet)</t>
        </is>
      </c>
      <c r="Z173" s="2" t="n">
        <v>59</v>
      </c>
      <c r="AA173" s="3" t="inlineStr">
        <is>
          <t>gluten-free, nut-free, low-carb, high-protein, high-fiber</t>
        </is>
      </c>
      <c r="AB173" s="3" t="inlineStr">
        <is>
          <t>1. Brown turkey in olive oil with taco seasoning, 8 minutes.
2. Layer romaine, beans, tomatoes and turkey in bowls.
3. Top with cheddar, avocado, salsa, yogurt and cilantro.</t>
        </is>
      </c>
      <c r="AC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21% of this dish's available carbohydrate comes from ingredients with a published, measured GI; the rest uses conventional placeholders (see Ingredients sheet)</t>
        </is>
      </c>
      <c r="Z174" s="2" t="n">
        <v>21</v>
      </c>
      <c r="AA174" s="3" t="inlineStr">
        <is>
          <t>pescatarian, gluten-free, nut-free, low-carb, high-protein, no-cook, omega-3</t>
        </is>
      </c>
      <c r="AB174" s="3" t="inlineStr">
        <is>
          <t>1. Mix salmon with yogurt, dill, onion, lemon juice and capers.
2. Slice cucumber thin and toss with pepper.
3. Serve salmon salad over greens and cucumber.</t>
        </is>
      </c>
      <c r="AC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25</v>
      </c>
      <c r="U175" s="2" t="inlineStr">
        <is>
          <t>low</t>
        </is>
      </c>
      <c r="V175" s="5" t="n">
        <v>4.4</v>
      </c>
      <c r="W175" s="2" t="inlineStr">
        <is>
          <t>low</t>
        </is>
      </c>
      <c r="X175" s="3" t="inlineStr"/>
      <c r="Y175" s="3" t="inlineStr">
        <is>
          <t>55% of this dish's available carbohydrate comes from ingredients with a published, measured GI; the rest uses conventional placeholders (see Ingredients sheet)</t>
        </is>
      </c>
      <c r="Z175" s="2" t="n">
        <v>55</v>
      </c>
      <c r="AA175" s="3" t="inlineStr">
        <is>
          <t>gluten-free, nut-free, high-fiber, no-cook</t>
        </is>
      </c>
      <c r="AB175" s="3" t="inlineStr">
        <is>
          <t>1. Chop romaine, turkey, mozzarella, artichokes and peppers.
2. Toss with olives and chickpeas.
3. Dress with olive oil, vinegar and oregano.</t>
        </is>
      </c>
      <c r="AC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0% of this dish's available carbohydrate comes from ingredients with a published, measured GI; the rest uses conventional placeholders (see Ingredients sheet)</t>
        </is>
      </c>
      <c r="Z176" s="2" t="n">
        <v>0</v>
      </c>
      <c r="AA176" s="3" t="inlineStr">
        <is>
          <t>gluten-free, low-carb</t>
        </is>
      </c>
      <c r="AB176" s="3" t="inlineStr">
        <is>
          <t>1. Cook bacon until crisp; crumble. Sauté shallot and shredded sprouts in the pan with olive oil 6 minutes.
2. Whisk vinegar and Dijon into the pan.
3. Toss with pecans, bacon and parmesan.</t>
        </is>
      </c>
      <c r="AC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16% of this dish's available carbohydrate comes from ingredients with a published, measured GI; the rest uses conventional placeholders (see Ingredients sheet)</t>
        </is>
      </c>
      <c r="Z177" s="2" t="n">
        <v>16</v>
      </c>
      <c r="AA177" s="3" t="inlineStr">
        <is>
          <t>gluten-free, nut-free, low-carb, high-protein, no-cook</t>
        </is>
      </c>
      <c r="AB177" s="3" t="inlineStr">
        <is>
          <t>1. Mash half the avocado with lime juice, yogurt and salt.
2. Fold in shredded chicken, diced avocado, onion, jalapeño and cilantro.
3. Serve over romaine.</t>
        </is>
      </c>
      <c r="AC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76% of this dish's available carbohydrate comes from ingredients with a published, measured GI; the rest uses conventional placeholders (see Ingredients sheet)</t>
        </is>
      </c>
      <c r="Z178" s="2" t="n">
        <v>76</v>
      </c>
      <c r="AA178" s="3" t="inlineStr">
        <is>
          <t>vegetarian, gluten-free, nut-free, make-ahead</t>
        </is>
      </c>
      <c r="AB178" s="3" t="inlineStr">
        <is>
          <t>1. Combine quinoa, cucumber, tomatoes, onion, olives and parsley.
2. Dress with olive oil, lemon, oregano and salt.
3. Fold in feta; chill.</t>
        </is>
      </c>
      <c r="AC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15% of this dish's available carbohydrate comes from ingredients with a published, measured GI; the rest uses conventional placeholders (see Ingredients sheet)</t>
        </is>
      </c>
      <c r="Z179" s="2" t="n">
        <v>15</v>
      </c>
      <c r="AA179" s="3" t="inlineStr">
        <is>
          <t>pescatarian, gluten-free, nut-free, low-carb, high-protein</t>
        </is>
      </c>
      <c r="AB179" s="3" t="inlineStr">
        <is>
          <t>1. Toss shrimp in Cajun seasoning and sear in half the oil 2 minutes per side.
2. Whisk yogurt, lemon, Dijon, garlic and remaining oil; massage into chopped kale.
3. Top with shrimp, parmesan and pumpkin seeds.</t>
        </is>
      </c>
      <c r="AC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24</v>
      </c>
      <c r="U180" s="2" t="inlineStr">
        <is>
          <t>low</t>
        </is>
      </c>
      <c r="V180" s="5" t="n">
        <v>2.8</v>
      </c>
      <c r="W180" s="2" t="inlineStr">
        <is>
          <t>low</t>
        </is>
      </c>
      <c r="X180" s="3" t="inlineStr"/>
      <c r="Y180" s="3" t="inlineStr">
        <is>
          <t>76% of this dish's available carbohydrate comes from ingredients with a published, measured GI; the rest uses conventional placeholders (see Ingredients sheet)</t>
        </is>
      </c>
      <c r="Z180" s="2" t="n">
        <v>76</v>
      </c>
      <c r="AA180" s="3" t="inlineStr">
        <is>
          <t>gluten-free, low-carb, high-protein</t>
        </is>
      </c>
      <c r="AB180" s="3" t="inlineStr">
        <is>
          <t>1. Season and pan-sear chicken 6 minutes per side; slice.
2. Whisk oil, vinegar and Dijon.
3. Toss arugula and sliced pear with dressing; top with chicken, walnuts and blue cheese.</t>
        </is>
      </c>
      <c r="AC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0% of this dish's available carbohydrate comes from ingredients with a published, measured GI; the rest uses conventional placeholders (see Ingredients sheet)</t>
        </is>
      </c>
      <c r="Z181" s="2" t="n">
        <v>0</v>
      </c>
      <c r="AA181" s="3" t="inlineStr">
        <is>
          <t>vegan, gluten-free, dairy-free, nut-free, low-carb, no-cook</t>
        </is>
      </c>
      <c r="AB181" s="3" t="inlineStr">
        <is>
          <t>1. Slice cucumber and radish thin.
2. Whisk rice vinegar, tamari, sesame oil and ginger.
3. Toss with edamame and green onion; sprinkle sesame seeds.</t>
        </is>
      </c>
      <c r="AC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75% of this dish's available carbohydrate comes from ingredients with a published, measured GI; the rest uses conventional placeholders (see Ingredients sheet)</t>
        </is>
      </c>
      <c r="Z182" s="2" t="n">
        <v>75</v>
      </c>
      <c r="AA182" s="3" t="inlineStr">
        <is>
          <t>gluten-free, nut-free, high-protein, high-fiber</t>
        </is>
      </c>
      <c r="AB182" s="3" t="inlineStr">
        <is>
          <t>1. Mix tomato paste, vinegar, paprika and sweetener into a quick BBQ sauce; brush over chicken and grill 6 minutes per side; slice.
2. Mix yogurt with ranch seasoning.
3. Toss romaine, beans, corn, tomatoes and cheddar; top with chicken and ranch.</t>
        </is>
      </c>
      <c r="AC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71% of this dish's available carbohydrate comes from ingredients with a published, measured GI; the rest uses conventional placeholders (see Ingredients sheet)</t>
        </is>
      </c>
      <c r="Z183" s="2" t="n">
        <v>71</v>
      </c>
      <c r="AA183" s="3" t="inlineStr">
        <is>
          <t>pescatarian, gluten-free, nut-free, low-carb, omega-3, no-cook</t>
        </is>
      </c>
      <c r="AB183" s="3" t="inlineStr">
        <is>
          <t>1. Flake mackerel and slice cooked beets.
2. Mix yogurt, dill and lemon.
3. Arrange greens, beets, onion and mackerel; drizzle yogurt and olive oil.</t>
        </is>
      </c>
      <c r="AC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30</v>
      </c>
      <c r="U184" s="2" t="inlineStr">
        <is>
          <t>low</t>
        </is>
      </c>
      <c r="V184" s="5" t="n">
        <v>4.2</v>
      </c>
      <c r="W184" s="2" t="inlineStr">
        <is>
          <t>low</t>
        </is>
      </c>
      <c r="X184" s="3" t="inlineStr"/>
      <c r="Y184" s="3" t="inlineStr">
        <is>
          <t>69% of this dish's available carbohydrate comes from ingredients with a published, measured GI; the rest uses conventional placeholders (see Ingredients sheet)</t>
        </is>
      </c>
      <c r="Z184" s="2" t="n">
        <v>69</v>
      </c>
      <c r="AA184" s="3" t="inlineStr">
        <is>
          <t>gluten-free, nut-free, low-carb, high-protein</t>
        </is>
      </c>
      <c r="AB184" s="3" t="inlineStr">
        <is>
          <t>1. Season and grill chicken; dice.
2. Chop romaine, cucumber, tomatoes and mozzarella.
3. Toss with chickpeas, basil and the oil-vinegar-seasoning dressing.</t>
        </is>
      </c>
      <c r="AC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0% of this dish's available carbohydrate comes from ingredients with a published, measured GI; the rest uses conventional placeholders (see Ingredients sheet)</t>
        </is>
      </c>
      <c r="Z185" s="2" t="n">
        <v>0</v>
      </c>
      <c r="AA185" s="3" t="inlineStr">
        <is>
          <t>pescatarian, gluten-free, dairy-free, nut-free, low-carb, high-protein, no-cook</t>
        </is>
      </c>
      <c r="AB185" s="3" t="inlineStr">
        <is>
          <t>1. Dice tuna and toss with tamari, sesame oil, sriracha and mayo.
2. Arrange greens, cucumber, avocado and edamame in bowls.
3. Top with tuna, green onion, sesame seeds and torn nori.</t>
        </is>
      </c>
      <c r="AC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56</v>
      </c>
      <c r="U186" s="2" t="inlineStr">
        <is>
          <t>medium</t>
        </is>
      </c>
      <c r="V186" s="5" t="n">
        <v>17.4</v>
      </c>
      <c r="W186" s="2" t="inlineStr">
        <is>
          <t>medium</t>
        </is>
      </c>
      <c r="X186" s="3" t="inlineStr">
        <is>
          <t>Medium-GI dish: keep to the stated portion and pair with the protein/fat in the recipe; GL per serving is the better guide.</t>
        </is>
      </c>
      <c r="Y186" s="3" t="inlineStr">
        <is>
          <t>87% of this dish's available carbohydrate comes from ingredients with a published, measured GI; the rest uses conventional placeholders (see Ingredients sheet)</t>
        </is>
      </c>
      <c r="Z186" s="2" t="n">
        <v>87</v>
      </c>
      <c r="AA186" s="3" t="inlineStr">
        <is>
          <t>vegetarian, gluten-free, nut-free, high-fiber</t>
        </is>
      </c>
      <c r="AB186" s="3" t="inlineStr">
        <is>
          <t>1. Roast diced sweet potato with half the oil, cinnamon and salt at 425°F for 22 minutes.
2. Massage kale with remaining oil, vinegar and Dijon.
3. Toss with sweet potato, chickpeas, pumpkin seeds and goat cheese.</t>
        </is>
      </c>
      <c r="AC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25% of this dish's available carbohydrate comes from ingredients with a published, measured GI; the rest uses conventional placeholders (see Ingredients sheet)</t>
        </is>
      </c>
      <c r="Z187" s="2" t="n">
        <v>25</v>
      </c>
      <c r="AA187" s="3" t="inlineStr">
        <is>
          <t>gluten-free, dairy-free, low-carb, high-protein, no-cook</t>
        </is>
      </c>
      <c r="AB187" s="3" t="inlineStr">
        <is>
          <t>1. Shred cabbage and carrot; slice green onion.
2. Whisk vinegar, oil, Dijon and sweetener.
3. Toss with chicken, almonds and seeds.</t>
        </is>
      </c>
      <c r="AC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29</v>
      </c>
      <c r="U188" s="2" t="inlineStr">
        <is>
          <t>low</t>
        </is>
      </c>
      <c r="V188" s="5" t="n">
        <v>5.5</v>
      </c>
      <c r="W188" s="2" t="inlineStr">
        <is>
          <t>low</t>
        </is>
      </c>
      <c r="X188" s="3" t="inlineStr"/>
      <c r="Y188" s="3" t="inlineStr">
        <is>
          <t>61% of this dish's available carbohydrate comes from ingredients with a published, measured GI; the rest uses conventional placeholders (see Ingredients sheet)</t>
        </is>
      </c>
      <c r="Z188" s="2" t="n">
        <v>61</v>
      </c>
      <c r="AA188" s="3" t="inlineStr">
        <is>
          <t>pescatarian, gluten-free, nut-free, high-protein</t>
        </is>
      </c>
      <c r="AB188" s="3" t="inlineStr">
        <is>
          <t>1. Sauté shrimp with garlic in half the oil 3 minutes; cool slightly.
2. Toss cucumber, tomatoes, chickpeas, herbs with lemon and remaining oil.
3. Add shrimp and feta.</t>
        </is>
      </c>
      <c r="AC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72% of this dish's available carbohydrate comes from ingredients with a published, measured GI; the rest uses conventional placeholders (see Ingredients sheet)</t>
        </is>
      </c>
      <c r="Z189" s="2" t="n">
        <v>72</v>
      </c>
      <c r="AA189" s="3" t="inlineStr">
        <is>
          <t>gluten-free, low-carb, high-protein</t>
        </is>
      </c>
      <c r="AB189" s="3" t="inlineStr">
        <is>
          <t>1. Grill chicken; slice.
2. Whisk oil, vinegar and Dijon.
3. Toss greens, apple, onion with dressing; top with chicken, pecans and cheddar.</t>
        </is>
      </c>
      <c r="AC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0% of this dish's available carbohydrate comes from ingredients with a published, measured GI; the rest uses conventional placeholders (see Ingredients sheet)</t>
        </is>
      </c>
      <c r="Z190" s="2" t="n">
        <v>0</v>
      </c>
      <c r="AA190" s="3" t="inlineStr">
        <is>
          <t>vegan, gluten-free, dairy-free, nut-free, low-carb</t>
        </is>
      </c>
      <c r="AB190" s="3" t="inlineStr">
        <is>
          <t>1. Smash cucumbers with the flat of a knife, cut into chunks and salt 5 minutes; drain.
2. Pan-fry tofu cubes in avocado oil until golden.
3. Toss cucumber and tofu with garlic, vinegar, tamari, sesame oil, chili crisp and cilantro.</t>
        </is>
      </c>
      <c r="AC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19% of this dish's available carbohydrate comes from ingredients with a published, measured GI; the rest uses conventional placeholders (see Ingredients sheet)</t>
        </is>
      </c>
      <c r="Z191" s="2" t="n">
        <v>19</v>
      </c>
      <c r="AA191" s="3" t="inlineStr">
        <is>
          <t>gluten-free, low-carb, no-cook</t>
        </is>
      </c>
      <c r="AB191" s="3" t="inlineStr">
        <is>
          <t>1. Whisk olive oil, orange juice and vinegar.
2. Toss greens, celery, chopped cranberries with dressing.
3. Top with turkey, walnuts and goat cheese.</t>
        </is>
      </c>
      <c r="AC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78% of this dish's available carbohydrate comes from ingredients with a published, measured GI; the rest uses conventional placeholders (see Ingredients sheet)</t>
        </is>
      </c>
      <c r="Z192" s="2" t="n">
        <v>78</v>
      </c>
      <c r="AA192" s="3" t="inlineStr">
        <is>
          <t>gluten-free, nut-free, low-carb, high-protein</t>
        </is>
      </c>
      <c r="AB192" s="3" t="inlineStr">
        <is>
          <t>1. Grill chicken; dice. Char corn in a dry skillet 4 minutes.
2. Mix yogurt, mayo, lime, chili powder.
3. Toss romaine, chicken, corn, jalapeño, cilantro with dressing; top with cotija.</t>
        </is>
      </c>
      <c r="AC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22% of this dish's available carbohydrate comes from ingredients with a published, measured GI; the rest uses conventional placeholders (see Ingredients sheet)</t>
        </is>
      </c>
      <c r="Z193" s="2" t="n">
        <v>22</v>
      </c>
      <c r="AA193" s="3" t="inlineStr">
        <is>
          <t>pescatarian, gluten-free, dairy-free, nut-free, low-carb, high-protein, high-fiber, omega-3</t>
        </is>
      </c>
      <c r="AB193" s="3" t="inlineStr">
        <is>
          <t>1. Roast salmon at 400°F 12 minutes; flake.
2. Whisk rice vinegar, tamari, sesame oil and ginger.
3. Toss greens, cucumber, avocado, carrot, edamame; top with salmon, nori strips and sesame.</t>
        </is>
      </c>
      <c r="AC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33</v>
      </c>
      <c r="U194" s="2" t="inlineStr">
        <is>
          <t>low</t>
        </is>
      </c>
      <c r="V194" s="5" t="n">
        <v>7</v>
      </c>
      <c r="W194" s="2" t="inlineStr">
        <is>
          <t>low</t>
        </is>
      </c>
      <c r="X194" s="3" t="inlineStr"/>
      <c r="Y194" s="3" t="inlineStr">
        <is>
          <t>85% of this dish's available carbohydrate comes from ingredients with a published, measured GI; the rest uses conventional placeholders (see Ingredients sheet)</t>
        </is>
      </c>
      <c r="Z194" s="2" t="n">
        <v>85</v>
      </c>
      <c r="AA194" s="3" t="inlineStr">
        <is>
          <t>vegan, gluten-free, dairy-free, nut-free, high-fiber, make-ahead</t>
        </is>
      </c>
      <c r="AB194" s="3" t="inlineStr">
        <is>
          <t>1. Blanch green beans 3 minutes; cool.
2. Whisk vinegar, oil, Dijon, sweetener and salt.
3. Toss all beans, onion and parsley with dressing; marinate 1 hour.</t>
        </is>
      </c>
      <c r="AC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31</v>
      </c>
      <c r="U195" s="2" t="inlineStr">
        <is>
          <t>low</t>
        </is>
      </c>
      <c r="V195" s="5" t="n">
        <v>8.300000000000001</v>
      </c>
      <c r="W195" s="2" t="inlineStr">
        <is>
          <t>low</t>
        </is>
      </c>
      <c r="X195" s="3" t="inlineStr"/>
      <c r="Y195" s="3" t="inlineStr">
        <is>
          <t>72% of this dish's available carbohydrate comes from ingredients with a published, measured GI; the rest uses conventional placeholders (see Ingredients sheet)</t>
        </is>
      </c>
      <c r="Z195" s="2" t="n">
        <v>72</v>
      </c>
      <c r="AA195" s="3" t="inlineStr">
        <is>
          <t>vegetarian, gluten-free, nut-free, high-fiber</t>
        </is>
      </c>
      <c r="AB195" s="3" t="inlineStr">
        <is>
          <t>1. Sear feta slices 2 minutes per side.
2. Toss chickpeas, arugula, tomatoes, cucumber and mint with lemon, oil and sumac.
3. Top with feta.</t>
        </is>
      </c>
      <c r="AC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19% of this dish's available carbohydrate comes from ingredients with a published, measured GI; the rest uses conventional placeholders (see Ingredients sheet)</t>
        </is>
      </c>
      <c r="Z196" s="2" t="n">
        <v>19</v>
      </c>
      <c r="AA196" s="3" t="inlineStr">
        <is>
          <t>vegan, gluten-free, dairy-free, low-carb, high-protein, high-fiber</t>
        </is>
      </c>
      <c r="AB196" s="3" t="inlineStr">
        <is>
          <t>1. Pan-fry tofu cubes in avocado oil until crisp.
2. Whisk tamari, vinegar, sesame oil and ginger.
3. Toss vegetables with dressing; top with tofu and almonds.</t>
        </is>
      </c>
      <c r="AC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0% of this dish's available carbohydrate comes from ingredients with a published, measured GI; the rest uses conventional placeholders (see Ingredients sheet)</t>
        </is>
      </c>
      <c r="Z197" s="2" t="n">
        <v>0</v>
      </c>
      <c r="AA197" s="3" t="inlineStr">
        <is>
          <t>gluten-free, low-carb, high-protein</t>
        </is>
      </c>
      <c r="AB197" s="3" t="inlineStr">
        <is>
          <t>1. Sear chicken in olive oil; slice.
2. Toss raw zoodles with pesto.
3. Add tomatoes, mozzarella, chicken and pine nuts.</t>
        </is>
      </c>
      <c r="AC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17% of this dish's available carbohydrate comes from ingredients with a published, measured GI; the rest uses conventional placeholders (see Ingredients sheet)</t>
        </is>
      </c>
      <c r="Z198" s="2" t="n">
        <v>17</v>
      </c>
      <c r="AA198" s="3" t="inlineStr">
        <is>
          <t>gluten-free, nut-free, low-carb, high-protein, no-cook</t>
        </is>
      </c>
      <c r="AB198" s="3" t="inlineStr">
        <is>
          <t>1. Whisk yogurt, lemon, Dijon, mashed anchovy, garlic and oil.
2. Massage dressing into chopped kale.
3. Top with chicken, parmesan and hemp seeds.</t>
        </is>
      </c>
      <c r="AC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52% of this dish's available carbohydrate comes from ingredients with a published, measured GI; the rest uses conventional placeholders (see Ingredients sheet)</t>
        </is>
      </c>
      <c r="Z199" s="2" t="n">
        <v>52</v>
      </c>
      <c r="AA199" s="3" t="inlineStr">
        <is>
          <t>pescatarian, gluten-free, dairy-free, nut-free, low-carb, omega-3, no-cook</t>
        </is>
      </c>
      <c r="AB199" s="3" t="inlineStr">
        <is>
          <t>1. Shave fennel thin; segment orange.
2. Toss with olives, onion, olive oil, lemon and parsley.
3. Top with sardines and pepper.</t>
        </is>
      </c>
      <c r="AC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16% of this dish's available carbohydrate comes from ingredients with a published, measured GI; the rest uses conventional placeholders (see Ingredients sheet)</t>
        </is>
      </c>
      <c r="Z200" s="2" t="n">
        <v>16</v>
      </c>
      <c r="AA200" s="3" t="inlineStr">
        <is>
          <t>vegetarian, gluten-free, nut-free, low-carb, make-ahead</t>
        </is>
      </c>
      <c r="AB200" s="3" t="inlineStr">
        <is>
          <t>1. Steam cauliflower florets 6–8 minutes until just tender; cool completely.
2. Mix yogurt, mayo, Dijon and salt.
3. Fold in cauliflower, chopped eggs, celery, onion and pickle; top with paprika and chives. Chill 1 hour.</t>
        </is>
      </c>
      <c r="AC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62% of this dish's available carbohydrate comes from ingredients with a published, measured GI; the rest uses conventional placeholders (see Ingredients sheet)</t>
        </is>
      </c>
      <c r="Z201" s="2" t="n">
        <v>62</v>
      </c>
      <c r="AA201" s="3" t="inlineStr">
        <is>
          <t>dairy-free, nut-free, high-protein</t>
        </is>
      </c>
      <c r="AB201" s="3" t="inlineStr">
        <is>
          <t>1. Grill seasoned chicken; slice. Toast pita until crisp and break into shards.
2. Whisk oil, lemon, sumac and garlic.
3. Toss lettuce, cucumber, tomato, radish, herbs with dressing; add chicken and pita.</t>
        </is>
      </c>
      <c r="AC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32</v>
      </c>
      <c r="U202" s="2" t="inlineStr">
        <is>
          <t>low</t>
        </is>
      </c>
      <c r="V202" s="5" t="n">
        <v>3.5</v>
      </c>
      <c r="W202" s="2" t="inlineStr">
        <is>
          <t>low</t>
        </is>
      </c>
      <c r="X202" s="3" t="inlineStr"/>
      <c r="Y202" s="3" t="inlineStr">
        <is>
          <t>62% of this dish's available carbohydrate comes from ingredients with a published, measured GI; the rest uses conventional placeholders (see Ingredients sheet)</t>
        </is>
      </c>
      <c r="Z202" s="2" t="n">
        <v>62</v>
      </c>
      <c r="AA202" s="3" t="inlineStr">
        <is>
          <t>pescatarian, gluten-free, dairy-free, nut-free, low-carb, high-protein</t>
        </is>
      </c>
      <c r="AB202" s="3" t="inlineStr">
        <is>
          <t>1. Sauté shrimp with cumin 3 minutes; cool.
2. Toss mango, avocado, onion, jalapeño, cilantro with lime and oil.
3. Serve with shrimp over greens.</t>
        </is>
      </c>
      <c r="AC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31</v>
      </c>
      <c r="U203" s="2" t="inlineStr">
        <is>
          <t>low</t>
        </is>
      </c>
      <c r="V203" s="5" t="n">
        <v>6.1</v>
      </c>
      <c r="W203" s="2" t="inlineStr">
        <is>
          <t>low</t>
        </is>
      </c>
      <c r="X203" s="3" t="inlineStr"/>
      <c r="Y203" s="3" t="inlineStr">
        <is>
          <t>76% of this dish's available carbohydrate comes from ingredients with a published, measured GI; the rest uses conventional placeholders (see Ingredients sheet)</t>
        </is>
      </c>
      <c r="Z203" s="2" t="n">
        <v>76</v>
      </c>
      <c r="AA203" s="3" t="inlineStr">
        <is>
          <t>pescatarian, gluten-free, dairy-free, nut-free, high-protein, high-fiber, omega-3</t>
        </is>
      </c>
      <c r="AB203" s="3" t="inlineStr">
        <is>
          <t>1. Roast salmon at 400°F for 12 minutes.
2. Whisk lemon, olive oil and Dijon; toss with lentils, tomatoes, onion and parsley.
3. Serve on arugula with flaked salmon.</t>
        </is>
      </c>
      <c r="AC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0% of this dish's available carbohydrate comes from ingredients with a published, measured GI; the rest uses conventional placeholders (see Ingredients sheet)</t>
        </is>
      </c>
      <c r="Z204" s="2" t="n">
        <v>0</v>
      </c>
      <c r="AA204" s="3" t="inlineStr">
        <is>
          <t>gluten-free, dairy-free, nut-free, low-carb</t>
        </is>
      </c>
      <c r="AB204" s="3" t="inlineStr">
        <is>
          <t>1. Brown chicken in avocado oil, breaking it up, 8 minutes.
2. Off heat toss with shallot, lime juice, fish sauce, herbs, green onion and pepper flakes.
3. Serve in lettuce cups with cucumber.</t>
        </is>
      </c>
      <c r="AC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17% of this dish's available carbohydrate comes from ingredients with a published, measured GI; the rest uses conventional placeholders (see Ingredients sheet)</t>
        </is>
      </c>
      <c r="Z205" s="2" t="n">
        <v>17</v>
      </c>
      <c r="AA205" s="3" t="inlineStr">
        <is>
          <t>vegetarian, gluten-free, nut-free, low-carb, no-cook</t>
        </is>
      </c>
      <c r="AB205" s="3" t="inlineStr">
        <is>
          <t>1. Shred hearts of palm with a fork.
2. Mix with celery, onion, yogurt, mayo, Dijon, Old Bay and lemon.
3. Serve in lettuce cups.</t>
        </is>
      </c>
      <c r="AC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0% of this dish's available carbohydrate comes from ingredients with a published, measured GI; the rest uses conventional placeholders (see Ingredients sheet)</t>
        </is>
      </c>
      <c r="Z206" s="2" t="n">
        <v>0</v>
      </c>
      <c r="AA206" s="3" t="inlineStr">
        <is>
          <t>pescatarian, gluten-free, dairy-free, nut-free, low-carb, no-cook</t>
        </is>
      </c>
      <c r="AB206" s="3" t="inlineStr">
        <is>
          <t>1. Mash avocado with lemon and Dijon; fold in tuna, celery and onion.
2. Hollow out tomatoes.
3. Fill with tuna salad and top with chives.</t>
        </is>
      </c>
      <c r="AC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33</v>
      </c>
      <c r="U207" s="2" t="inlineStr">
        <is>
          <t>low</t>
        </is>
      </c>
      <c r="V207" s="5" t="n">
        <v>4.2</v>
      </c>
      <c r="W207" s="2" t="inlineStr">
        <is>
          <t>low</t>
        </is>
      </c>
      <c r="X207" s="3" t="inlineStr"/>
      <c r="Y207" s="3" t="inlineStr">
        <is>
          <t>13% of this dish's available carbohydrate comes from ingredients with a published, measured GI; the rest uses conventional placeholders (see Ingredients sheet)</t>
        </is>
      </c>
      <c r="Z207" s="2" t="n">
        <v>13</v>
      </c>
      <c r="AA207" s="3" t="inlineStr">
        <is>
          <t>gluten-free, low-carb, high-protein</t>
        </is>
      </c>
      <c r="AB207" s="3" t="inlineStr">
        <is>
          <t>1. Grill chicken; slice.
2. Massage kale with oil, lemon, Dijon and honey.
3. Top with chicken, pomegranate, walnuts and feta.</t>
        </is>
      </c>
      <c r="AC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71% of this dish's available carbohydrate comes from ingredients with a published, measured GI; the rest uses conventional placeholders (see Ingredients sheet)</t>
        </is>
      </c>
      <c r="Z208" s="2" t="n">
        <v>71</v>
      </c>
      <c r="AA208" s="3" t="inlineStr">
        <is>
          <t>vegetarian, gluten-free, no-cook</t>
        </is>
      </c>
      <c r="AB208" s="3" t="inlineStr">
        <is>
          <t>1. Shave zucchini into ribbons with a peeler.
2. Toss with lemon, olive oil, beans and basil.
3. Top with parmesan shavings, pine nuts and pepper.</t>
        </is>
      </c>
      <c r="AC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26</v>
      </c>
      <c r="U209" s="2" t="inlineStr">
        <is>
          <t>low</t>
        </is>
      </c>
      <c r="V209" s="5" t="n">
        <v>4</v>
      </c>
      <c r="W209" s="2" t="inlineStr">
        <is>
          <t>low</t>
        </is>
      </c>
      <c r="X209" s="3" t="inlineStr"/>
      <c r="Y209" s="3" t="inlineStr">
        <is>
          <t>61% of this dish's available carbohydrate comes from ingredients with a published, measured GI; the rest uses conventional placeholders (see Ingredients sheet)</t>
        </is>
      </c>
      <c r="Z209" s="2" t="n">
        <v>61</v>
      </c>
      <c r="AA209" s="3" t="inlineStr">
        <is>
          <t>gluten-free, nut-free, high-protein, high-fiber</t>
        </is>
      </c>
      <c r="AB209" s="3" t="inlineStr">
        <is>
          <t>1. Brown beef with taco seasoning, drain.
2. Layer romaine, beans, tomato and beef.
3. Top with cheddar, avocado, salsa, yogurt and green onion.</t>
        </is>
      </c>
      <c r="AC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0% of this dish's available carbohydrate comes from ingredients with a published, measured GI; the rest uses conventional placeholders (see Ingredients sheet)</t>
        </is>
      </c>
      <c r="Z210" s="2" t="n">
        <v>0</v>
      </c>
      <c r="AA210" s="3" t="inlineStr">
        <is>
          <t>vegetarian, gluten-free, nut-free, low-carb, no-cook</t>
        </is>
      </c>
      <c r="AB210" s="3" t="inlineStr">
        <is>
          <t>1. Chop cucumber and tomato; slice onion thin.
2. Toss with olives, oil, vinegar and oregano.
3. Top with feta.</t>
        </is>
      </c>
      <c r="AC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91% of this dish's available carbohydrate comes from ingredients with a published, measured GI; the rest uses conventional placeholders (see Ingredients sheet)</t>
        </is>
      </c>
      <c r="Z211" s="2" t="n">
        <v>91</v>
      </c>
      <c r="AA211" s="3" t="inlineStr">
        <is>
          <t>high-protein</t>
        </is>
      </c>
      <c r="AB211" s="3" t="inlineStr">
        <is>
          <t>1. Grill chicken and dice.
2. Whisk oil, vinegar and Dijon; massage into chopped kale.
3. Toss with farro, apple, pecans, goat cheese and chicken.</t>
        </is>
      </c>
      <c r="AC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35</v>
      </c>
      <c r="U212" s="2" t="inlineStr">
        <is>
          <t>low</t>
        </is>
      </c>
      <c r="V212" s="5" t="n">
        <v>11.6</v>
      </c>
      <c r="W212" s="2" t="inlineStr">
        <is>
          <t>medium</t>
        </is>
      </c>
      <c r="X212" s="3" t="inlineStr"/>
      <c r="Y212" s="3" t="inlineStr">
        <is>
          <t>88% of this dish's available carbohydrate comes from ingredients with a published, measured GI; the rest uses conventional placeholders (see Ingredients sheet)</t>
        </is>
      </c>
      <c r="Z212" s="2" t="n">
        <v>88</v>
      </c>
      <c r="AA212" s="3" t="inlineStr">
        <is>
          <t>vegan, gluten-free, dairy-free, nut-free, high-fiber, no-cook</t>
        </is>
      </c>
      <c r="AB212" s="3" t="inlineStr">
        <is>
          <t>1. Mash chickpeas and avocado together roughly.
2. Stir in lemon, hot sauce, cumin, celery, onion and cilantro.
3. Serve over romaine.</t>
        </is>
      </c>
      <c r="AC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60% of this dish's available carbohydrate comes from ingredients with a published, measured GI; the rest uses conventional placeholders (see Ingredients sheet)</t>
        </is>
      </c>
      <c r="Z213" s="2" t="n">
        <v>60</v>
      </c>
      <c r="AA213" s="3" t="inlineStr">
        <is>
          <t>pescatarian, gluten-free, dairy-free, nut-free, low-carb, high-protein</t>
        </is>
      </c>
      <c r="AB213" s="3" t="inlineStr">
        <is>
          <t>1. Pat scallops dry, sear in avocado oil 90 seconds per side.
2. Whisk olive oil, orange juice and Dijon.
3. Toss greens with dressing; top with grapefruit segments, avocado, scallops and chives.</t>
        </is>
      </c>
      <c r="AC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18% of this dish's available carbohydrate comes from ingredients with a published, measured GI; the rest uses conventional placeholders (see Ingredients sheet)</t>
        </is>
      </c>
      <c r="Z214" s="2" t="n">
        <v>18</v>
      </c>
      <c r="AA214" s="3" t="inlineStr">
        <is>
          <t>vegetarian, gluten-free, nut-free, low-carb, high-fiber</t>
        </is>
      </c>
      <c r="AB214" s="3" t="inlineStr">
        <is>
          <t>1. Hard-boil and chop eggs.
2. Mix with yogurt, Dijon, celery, chives and salt.
3. Halve avocados and fill; dust with paprika.</t>
        </is>
      </c>
      <c r="AC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11% of this dish's available carbohydrate comes from ingredients with a published, measured GI; the rest uses conventional placeholders (see Ingredients sheet)</t>
        </is>
      </c>
      <c r="Z215" s="2" t="n">
        <v>11</v>
      </c>
      <c r="AA215" s="3" t="inlineStr">
        <is>
          <t>gluten-free, nut-free, low-carb, high-protein</t>
        </is>
      </c>
      <c r="AB215" s="3" t="inlineStr">
        <is>
          <t>1. Crisp turkey bacon; chop.
2. Mix yogurt, mayo, lemon and chives.
3. Toss romaine, tomato, turkey, bacon and avocado with dressing.</t>
        </is>
      </c>
      <c r="AC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51% of this dish's available carbohydrate comes from ingredients with a published, measured GI; the rest uses conventional placeholders (see Ingredients sheet)</t>
        </is>
      </c>
      <c r="Z216" s="2" t="n">
        <v>51</v>
      </c>
      <c r="AA216" s="3" t="inlineStr">
        <is>
          <t>pescatarian, gluten-free, dairy-free, nut-free, low-carb, high-protein, omega-3</t>
        </is>
      </c>
      <c r="AB216" s="3" t="inlineStr">
        <is>
          <t>1. Roast salmon at 400°F for 12 minutes.
2. Shave fennel and segment orange.
3. Toss arugula, fennel, orange and olives with oil and lemon; top with salmon.</t>
        </is>
      </c>
      <c r="AC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29% of this dish's available carbohydrate comes from ingredients with a published, measured GI; the rest uses conventional placeholders (see Ingredients sheet)</t>
        </is>
      </c>
      <c r="Z217" s="2" t="n">
        <v>29</v>
      </c>
      <c r="AA217" s="3" t="inlineStr">
        <is>
          <t>gluten-free, nut-free, low-carb, high-protein</t>
        </is>
      </c>
      <c r="AB217" s="3" t="inlineStr">
        <is>
          <t>1. Toss cauliflower in oil and half the hot sauce; roast at 425°F 22 minutes.
2. Mix yogurt, blue cheese, lemon and remaining hot sauce.
3. Toss romaine, celery, carrot, chicken and cauliflower with dressing.</t>
        </is>
      </c>
      <c r="AC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6% of this dish's available carbohydrate comes from ingredients with a published, measured GI; the rest uses conventional placeholders (see Ingredients sheet)</t>
        </is>
      </c>
      <c r="Z218" s="2" t="n">
        <v>6</v>
      </c>
      <c r="AA218" s="3" t="inlineStr">
        <is>
          <t>gluten-free, dairy-free, low-carb, high-protein</t>
        </is>
      </c>
      <c r="AB218" s="3" t="inlineStr">
        <is>
          <t>1. Grill steak 4 minutes per side; rest and slice thin.
2. Whisk lime, fish sauce and pepper flakes.
3. Toss greens, cucumber, tomato, onion, herbs and steak with dressing; top with peanuts.</t>
        </is>
      </c>
      <c r="AC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0% of this dish's available carbohydrate comes from ingredients with a published, measured GI; the rest uses conventional placeholders (see Ingredients sheet)</t>
        </is>
      </c>
      <c r="Z219" s="2" t="n">
        <v>0</v>
      </c>
      <c r="AA219" s="3" t="inlineStr">
        <is>
          <t>gluten-free, nut-free, low-carb, high-protein</t>
        </is>
      </c>
      <c r="AB219" s="3" t="inlineStr">
        <is>
          <t>1. Grill chicken; slice.
2. Arrange greens, tomato, mozzarella and chicken.
3. Drizzle oil and balsamic; scatter basil.</t>
        </is>
      </c>
      <c r="AC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84% of this dish's available carbohydrate comes from ingredients with a published, measured GI; the rest uses conventional placeholders (see Ingredients sheet)</t>
        </is>
      </c>
      <c r="Z220" s="2" t="n">
        <v>84</v>
      </c>
      <c r="AA220" s="3" t="inlineStr">
        <is>
          <t>dairy-free, nut-free, high-protein</t>
        </is>
      </c>
      <c r="AB220" s="3" t="inlineStr">
        <is>
          <t>1. Poach or grill chicken; shred.
2. Whisk tamari, vinegar, sesame oil and ginger.
3. Toss cold soba with chicken, vegetables and dressing; sprinkle sesame.</t>
        </is>
      </c>
      <c r="AC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57% of this dish's available carbohydrate comes from ingredients with a published, measured GI; the rest uses conventional placeholders (see Ingredients sheet)</t>
        </is>
      </c>
      <c r="Z221" s="2" t="n">
        <v>57</v>
      </c>
      <c r="AA221" s="3" t="inlineStr">
        <is>
          <t>pescatarian, gluten-free, dairy-free, nut-free, low-carb, high-protein</t>
        </is>
      </c>
      <c r="AB221" s="3" t="inlineStr">
        <is>
          <t>1. Sauté shrimp in oil with Cajun seasoning 3 minutes.
2. Char corn 3 minutes in the same pan.
3. Toss with avocado, tomato, onion, cilantro, lime; serve over romaine.</t>
        </is>
      </c>
      <c r="AC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29</v>
      </c>
      <c r="U222" s="2" t="inlineStr">
        <is>
          <t>low</t>
        </is>
      </c>
      <c r="V222" s="5" t="n">
        <v>5</v>
      </c>
      <c r="W222" s="2" t="inlineStr">
        <is>
          <t>low</t>
        </is>
      </c>
      <c r="X222" s="3" t="inlineStr"/>
      <c r="Y222" s="3" t="inlineStr">
        <is>
          <t>70% of this dish's available carbohydrate comes from ingredients with a published, measured GI; the rest uses conventional placeholders (see Ingredients sheet)</t>
        </is>
      </c>
      <c r="Z222" s="2" t="n">
        <v>70</v>
      </c>
      <c r="AA222" s="3" t="inlineStr">
        <is>
          <t>vegetarian, gluten-free, nut-free, high-fiber, make-ahead, no-cook</t>
        </is>
      </c>
      <c r="AB222" s="3" t="inlineStr">
        <is>
          <t>1. Combine lentils, cucumber, tomatoes, onion, olives and parsley.
2. Dress with oil, vinegar and oregano.
3. Fold in feta.</t>
        </is>
      </c>
      <c r="AC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21% of this dish's available carbohydrate comes from ingredients with a published, measured GI; the rest uses conventional placeholders (see Ingredients sheet)</t>
        </is>
      </c>
      <c r="Z223" s="2" t="n">
        <v>21</v>
      </c>
      <c r="AA223" s="3" t="inlineStr">
        <is>
          <t>gluten-free, nut-free, low-carb, high-protein</t>
        </is>
      </c>
      <c r="AB223" s="3" t="inlineStr">
        <is>
          <t>1. Grill chicken and crisp bacon; chop.
2. Whisk yogurt, ranch seasoning and lemon.
3. Toss everything with the dressing.</t>
        </is>
      </c>
      <c r="AC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31</v>
      </c>
      <c r="U224" s="2" t="inlineStr">
        <is>
          <t>low</t>
        </is>
      </c>
      <c r="V224" s="5" t="n">
        <v>7.3</v>
      </c>
      <c r="W224" s="2" t="inlineStr">
        <is>
          <t>low</t>
        </is>
      </c>
      <c r="X224" s="3" t="inlineStr"/>
      <c r="Y224" s="3" t="inlineStr">
        <is>
          <t>69% of this dish's available carbohydrate comes from ingredients with a published, measured GI; the rest uses conventional placeholders (see Ingredients sheet)</t>
        </is>
      </c>
      <c r="Z224" s="2" t="n">
        <v>69</v>
      </c>
      <c r="AA224" s="3" t="inlineStr">
        <is>
          <t>vegetarian, gluten-free, high-fiber</t>
        </is>
      </c>
      <c r="AB224" s="3" t="inlineStr">
        <is>
          <t>1. Roast broccoli and chickpeas with oil, garlic and pepper flakes at 425°F 20 minutes.
2. Toss with lemon juice.
3. Top with parmesan and almonds; serve warm.</t>
        </is>
      </c>
      <c r="AC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0% of this dish's available carbohydrate comes from ingredients with a published, measured GI; the rest uses conventional placeholders (see Ingredients sheet)</t>
        </is>
      </c>
      <c r="Z225" s="2" t="n">
        <v>0</v>
      </c>
      <c r="AA225" s="3" t="inlineStr">
        <is>
          <t>gluten-free, nut-free, low-carb, high-protein</t>
        </is>
      </c>
      <c r="AB225" s="3" t="inlineStr">
        <is>
          <t>1. Sauté shrimp 3 minutes; crisp bacon; boil eggs.
2. Whisk oil, vinegar and Dijon.
3. Arrange all over romaine; drizzle dressing.</t>
        </is>
      </c>
      <c r="AC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67% of this dish's available carbohydrate comes from ingredients with a published, measured GI; the rest uses conventional placeholders (see Ingredients sheet)</t>
        </is>
      </c>
      <c r="Z226" s="2" t="n">
        <v>67</v>
      </c>
      <c r="AA226" s="3" t="inlineStr">
        <is>
          <t>gluten-free, nut-free, low-carb, high-protein</t>
        </is>
      </c>
      <c r="AB226" s="3" t="inlineStr">
        <is>
          <t>1. Season pork and roast at 425°F 18–20 minutes; rest and slice.
2. Whisk yogurt, Dijon and vinegar.
3. Toss shredded cabbage, apple and carrot with dressing; serve with pork.</t>
        </is>
      </c>
      <c r="AC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0% of this dish's available carbohydrate comes from ingredients with a published, measured GI; the rest uses conventional placeholders (see Ingredients sheet)</t>
        </is>
      </c>
      <c r="Z227" s="2" t="n">
        <v>0</v>
      </c>
      <c r="AA227" s="3" t="inlineStr">
        <is>
          <t>pescatarian, dairy-free, nut-free, low-carb, high-protein, omega-3</t>
        </is>
      </c>
      <c r="AB227" s="3" t="inlineStr">
        <is>
          <t>1. Whisk miso, ginger, vinegar and sesame oil; brush half on salmon and roast at 400°F 12 minutes.
2. Toss greens, cucumber, edamame and radish with remaining dressing.
3. Top with salmon and sesame seeds.</t>
        </is>
      </c>
      <c r="AC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91% of this dish's available carbohydrate comes from ingredients with a published, measured GI; the rest uses conventional placeholders (see Ingredients sheet)</t>
        </is>
      </c>
      <c r="Z228" s="2" t="n">
        <v>91</v>
      </c>
      <c r="AA228" s="3" t="inlineStr">
        <is>
          <t>gluten-free, dairy-free, nut-free, high-protein, high-fiber</t>
        </is>
      </c>
      <c r="AB228" s="3" t="inlineStr">
        <is>
          <t>1. Grill chicken; dice.
2. Whisk lime, oil and cumin.
3. Toss quinoa, beans, pepper, corn, cilantro with dressing; top with chicken and avocado.</t>
        </is>
      </c>
      <c r="AC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0% of this dish's available carbohydrate comes from ingredients with a published, measured GI; the rest uses conventional placeholders (see Ingredients sheet)</t>
        </is>
      </c>
      <c r="Z229" s="2" t="n">
        <v>0</v>
      </c>
      <c r="AA229" s="3" t="inlineStr">
        <is>
          <t>vegan, gluten-free, dairy-free, nut-free, low-carb, no-cook</t>
        </is>
      </c>
      <c r="AB229" s="3" t="inlineStr">
        <is>
          <t>1. Chop tomato and cucumber; slice onion.
2. Toss with oil, vinegar, dill and salt.
3. Sprinkle hemp seeds.</t>
        </is>
      </c>
      <c r="AC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12% of this dish's available carbohydrate comes from ingredients with a published, measured GI; the rest uses conventional placeholders (see Ingredients sheet)</t>
        </is>
      </c>
      <c r="Z230" s="2" t="n">
        <v>12</v>
      </c>
      <c r="AA230" s="3" t="inlineStr">
        <is>
          <t>gluten-free, nut-free, low-carb, high-protein</t>
        </is>
      </c>
      <c r="AB230" s="3" t="inlineStr">
        <is>
          <t>1. Marinate chicken in lemon, oregano, garlic and half the oil; grill 6 minutes per side and slice.
2. Mix yogurt, dill and grated cucumber (a little) for tzatziki.
3. Toss salad vegetables with remaining oil; top with chicken, feta and tzatziki.</t>
        </is>
      </c>
      <c r="AC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30</v>
      </c>
      <c r="U231" s="2" t="inlineStr">
        <is>
          <t>low</t>
        </is>
      </c>
      <c r="V231" s="5" t="n">
        <v>4.5</v>
      </c>
      <c r="W231" s="2" t="inlineStr">
        <is>
          <t>low</t>
        </is>
      </c>
      <c r="X231" s="3" t="inlineStr"/>
      <c r="Y231" s="3" t="inlineStr">
        <is>
          <t>80% of this dish's available carbohydrate comes from ingredients with a published, measured GI; the rest uses conventional placeholders (see Ingredients sheet)</t>
        </is>
      </c>
      <c r="Z231" s="2" t="n">
        <v>80</v>
      </c>
      <c r="AA231" s="3" t="inlineStr">
        <is>
          <t>pescatarian, gluten-free, dairy-free, high-protein, high-fiber</t>
        </is>
      </c>
      <c r="AB231" s="3" t="inlineStr">
        <is>
          <t>1. Sauté shrimp 3 minutes; cool.
2. Segment citrus.
3. Toss greens with oil and lime; top with citrus, avocado, onion, shrimp, pistachios and mint.</t>
        </is>
      </c>
      <c r="AC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31</v>
      </c>
      <c r="U232" s="2" t="inlineStr">
        <is>
          <t>low</t>
        </is>
      </c>
      <c r="V232" s="5" t="n">
        <v>5.8</v>
      </c>
      <c r="W232" s="2" t="inlineStr">
        <is>
          <t>low</t>
        </is>
      </c>
      <c r="X232" s="3" t="inlineStr"/>
      <c r="Y232" s="3" t="inlineStr">
        <is>
          <t>69% of this dish's available carbohydrate comes from ingredients with a published, measured GI; the rest uses conventional placeholders (see Ingredients sheet)</t>
        </is>
      </c>
      <c r="Z232" s="2" t="n">
        <v>69</v>
      </c>
      <c r="AA232" s="3" t="inlineStr">
        <is>
          <t>gluten-free, nut-free, high-protein, high-fiber</t>
        </is>
      </c>
      <c r="AB232" s="3" t="inlineStr">
        <is>
          <t>1. Roast chickpeas with half the oil and paprika at 425°F 22 minutes.
2. Grill chicken; slice.
3. Massage kale with remaining oil, lemon and garlic; toss with tomatoes, chicken, chickpeas and parmesan.</t>
        </is>
      </c>
      <c r="AC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0% of this dish's available carbohydrate comes from ingredients with a published, measured GI; the rest uses conventional placeholders (see Ingredients sheet)</t>
        </is>
      </c>
      <c r="Z233" s="2" t="n">
        <v>0</v>
      </c>
      <c r="AA233" s="3" t="inlineStr">
        <is>
          <t>pescatarian, gluten-free, dairy-free, nut-free, low-carb, high-protein</t>
        </is>
      </c>
      <c r="AB233" s="3" t="inlineStr">
        <is>
          <t>1. Sauté shrimp 3 minutes; cool.
2. Whisk tahini, tamari, vinegar, sesame oil, garlic, ginger and a little water.
3. Toss zoodles and cucumber with sauce; top with shrimp, green onion and sesame.</t>
        </is>
      </c>
      <c r="AC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0% of this dish's available carbohydrate comes from ingredients with a published, measured GI; the rest uses conventional placeholders (see Ingredients sheet)</t>
        </is>
      </c>
      <c r="Z234" s="2" t="n">
        <v>0</v>
      </c>
      <c r="AA234" s="3" t="inlineStr">
        <is>
          <t>vegetarian, gluten-free, nut-free, high-protein, no-cook</t>
        </is>
      </c>
      <c r="AB234" s="3" t="inlineStr">
        <is>
          <t>1. Chop vegetables.
2. Spoon cottage cheese into a bowl and surround with vegetables.
3. Drizzle oil, add seeds, dill and pepper.</t>
        </is>
      </c>
      <c r="AC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43% of this dish's available carbohydrate comes from ingredients with a published, measured GI; the rest uses conventional placeholders (see Ingredients sheet)</t>
        </is>
      </c>
      <c r="Z235" s="2" t="n">
        <v>43</v>
      </c>
      <c r="AA235" s="3" t="inlineStr">
        <is>
          <t>gluten-free, high-protein, no-cook</t>
        </is>
      </c>
      <c r="AB235" s="3" t="inlineStr">
        <is>
          <t>1. Whisk oil, vinegar and Dijon; massage into kale.
2. Add sliced apple, turkey and cheddar.
3. Top with walnuts.</t>
        </is>
      </c>
      <c r="AC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28</v>
      </c>
      <c r="U236" s="2" t="inlineStr">
        <is>
          <t>low</t>
        </is>
      </c>
      <c r="V236" s="5" t="n">
        <v>5.6</v>
      </c>
      <c r="W236" s="2" t="inlineStr">
        <is>
          <t>low</t>
        </is>
      </c>
      <c r="X236" s="3" t="inlineStr"/>
      <c r="Y236" s="3" t="inlineStr">
        <is>
          <t>58% of this dish's available carbohydrate comes from ingredients with a published, measured GI; the rest uses conventional placeholders (see Ingredients sheet)</t>
        </is>
      </c>
      <c r="Z236" s="2" t="n">
        <v>58</v>
      </c>
      <c r="AA236" s="3" t="inlineStr">
        <is>
          <t>pescatarian, gluten-free, nut-free, high-protein, high-fiber, no-cook</t>
        </is>
      </c>
      <c r="AB236" s="3" t="inlineStr">
        <is>
          <t>1. Mix tuna, chickpeas, cucumber, olives, feta, parsley with oil and lemon.
2. Halve and seed peppers.
3. Fill with the tuna mixture.</t>
        </is>
      </c>
      <c r="AC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0% of this dish's available carbohydrate comes from ingredients with a published, measured GI; the rest uses conventional placeholders (see Ingredients sheet)</t>
        </is>
      </c>
      <c r="Z237" s="2" t="n">
        <v>0</v>
      </c>
      <c r="AA237" s="3" t="inlineStr">
        <is>
          <t>gluten-free, high-protein, high-fiber, make-ahead</t>
        </is>
      </c>
      <c r="AB237" s="3" t="inlineStr">
        <is>
          <t>1. Cook pasta al dente; rinse cool.
2. Grill chicken; dice.
3. Toss pasta, chicken, tomatoes, mozzarella and arugula with pesto and lemon.</t>
        </is>
      </c>
      <c r="AC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50% of this dish's available carbohydrate comes from ingredients with a published, measured GI; the rest uses conventional placeholders (see Ingredients sheet)</t>
        </is>
      </c>
      <c r="Z238" s="2" t="n">
        <v>50</v>
      </c>
      <c r="AA238" s="3" t="inlineStr">
        <is>
          <t>vegan, gluten-free, dairy-free, nut-free, low-carb, high-fiber, no-cook</t>
        </is>
      </c>
      <c r="AB238" s="3" t="inlineStr">
        <is>
          <t>1. Shred carrot; slice cucumber.
2. Whisk ginger, vinegar, tamari and sesame oil.
3. Toss with edamame and green onion; top with sesame.</t>
        </is>
      </c>
      <c r="AC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55% of this dish's available carbohydrate comes from ingredients with a published, measured GI; the rest uses conventional placeholders (see Ingredients sheet)</t>
        </is>
      </c>
      <c r="Z239" s="2" t="n">
        <v>55</v>
      </c>
      <c r="AA239" s="3" t="inlineStr">
        <is>
          <t>nut-free, high-protein</t>
        </is>
      </c>
      <c r="AB239" s="3" t="inlineStr">
        <is>
          <t>1. Season chicken with oregano, garlic, lemon and oil; sear and slice.
2. Make tzatziki with yogurt, dill and grated cucumber.
3. Bowl romaine, tomato, cucumber, onion, chicken and tzatziki; serve with toasted pita half.</t>
        </is>
      </c>
      <c r="AC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77% of this dish's available carbohydrate comes from ingredients with a published, measured GI; the rest uses conventional placeholders (see Ingredients sheet)</t>
        </is>
      </c>
      <c r="Z240" s="2" t="n">
        <v>77</v>
      </c>
      <c r="AA240" s="3" t="inlineStr">
        <is>
          <t>vegetarian, gluten-free, nut-free</t>
        </is>
      </c>
      <c r="AB240" s="3" t="inlineStr">
        <is>
          <t>1. Sauté mushrooms with garlic and thyme in oil 6 minutes.
2. Toss warm mushrooms with beans, balsamic and parsley.
3. Serve over arugula with parmesan.</t>
        </is>
      </c>
      <c r="AC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0% of this dish's available carbohydrate comes from ingredients with a published, measured GI; the rest uses conventional placeholders (see Ingredients sheet)</t>
        </is>
      </c>
      <c r="Z241" s="2" t="n">
        <v>0</v>
      </c>
      <c r="AA241" s="3" t="inlineStr">
        <is>
          <t>gluten-free, nut-free, low-carb, high-protein, high-fiber</t>
        </is>
      </c>
      <c r="AB241" s="3" t="inlineStr">
        <is>
          <t>1. Rub steak with chili powder; sear 4 minutes per side; rest, slice.
2. Toss romaine, tomato, onion with lime and oil.
3. Top with steak, avocado, cotija, cilantro.</t>
        </is>
      </c>
      <c r="AC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31% of this dish's available carbohydrate comes from ingredients with a published, measured GI; the rest uses conventional placeholders (see Ingredients sheet)</t>
        </is>
      </c>
      <c r="Z242" s="2" t="n">
        <v>31</v>
      </c>
      <c r="AA242" s="3" t="inlineStr">
        <is>
          <t>pescatarian, gluten-free, nut-free, low-carb, high-protein, omega-3</t>
        </is>
      </c>
      <c r="AB242" s="3" t="inlineStr">
        <is>
          <t>1. Roast salmon at 400°F 12 minutes.
2. Whisk yogurt, lemon, Dijon, anchovy, garlic and oil.
3. Toss romaine with dressing; top with salmon, parmesan and capers.</t>
        </is>
      </c>
      <c r="AC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64% of this dish's available carbohydrate comes from ingredients with a published, measured GI; the rest uses conventional placeholders (see Ingredients sheet)</t>
        </is>
      </c>
      <c r="Z243" s="2" t="n">
        <v>64</v>
      </c>
      <c r="AA243" s="3" t="inlineStr">
        <is>
          <t>pescatarian, nut-free, low-carb, high-protein, omega-3</t>
        </is>
      </c>
      <c r="AB243" s="3" t="inlineStr">
        <is>
          <t>1. Slice radish and cucumber thin.
2. Mix yogurt, dill, lemon and oil.
3. Toss vegetables in dressing; top with flaked trout and rye croutons.</t>
        </is>
      </c>
      <c r="AC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34</v>
      </c>
      <c r="U244" s="2" t="inlineStr">
        <is>
          <t>low</t>
        </is>
      </c>
      <c r="V244" s="5" t="n">
        <v>10.9</v>
      </c>
      <c r="W244" s="2" t="inlineStr">
        <is>
          <t>medium</t>
        </is>
      </c>
      <c r="X244" s="3" t="inlineStr"/>
      <c r="Y244" s="3" t="inlineStr">
        <is>
          <t>75% of this dish's available carbohydrate comes from ingredients with a published, measured GI; the rest uses conventional placeholders (see Ingredients sheet)</t>
        </is>
      </c>
      <c r="Z244" s="2" t="n">
        <v>75</v>
      </c>
      <c r="AA244" s="3" t="inlineStr">
        <is>
          <t>vegan, gluten-free, dairy-free, nut-free, high-fiber, no-cook</t>
        </is>
      </c>
      <c r="AB244" s="3" t="inlineStr">
        <is>
          <t>1. Whisk tahini, lemon, garlic and water.
2. Toss spinach, chickpeas, cucumber, tomato and onion.
3. Drizzle with dressing; sprinkle sumac.</t>
        </is>
      </c>
      <c r="AC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41</v>
      </c>
      <c r="U245" s="2" t="inlineStr">
        <is>
          <t>low</t>
        </is>
      </c>
      <c r="V245" s="5" t="n">
        <v>3.9</v>
      </c>
      <c r="W245" s="2" t="inlineStr">
        <is>
          <t>low</t>
        </is>
      </c>
      <c r="X245" s="3" t="inlineStr"/>
      <c r="Y245" s="3" t="inlineStr">
        <is>
          <t>63% of this dish's available carbohydrate comes from ingredients with a published, measured GI; the rest uses conventional placeholders (see Ingredients sheet)</t>
        </is>
      </c>
      <c r="Z245" s="2" t="n">
        <v>63</v>
      </c>
      <c r="AA245" s="3" t="inlineStr">
        <is>
          <t>gluten-free, nut-free, low-carb, no-cook</t>
        </is>
      </c>
      <c r="AB245" s="3" t="inlineStr">
        <is>
          <t>1. Slice peach and mozzarella.
2. Arrange with prosciutto over arugula.
3. Drizzle oil and balsamic; add basil and pepper.</t>
        </is>
      </c>
      <c r="AC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0% of this dish's available carbohydrate comes from ingredients with a published, measured GI; the rest uses conventional placeholders (see Ingredients sheet)</t>
        </is>
      </c>
      <c r="Z246" s="2" t="n">
        <v>0</v>
      </c>
      <c r="AA246" s="3" t="inlineStr">
        <is>
          <t>gluten-free, dairy-free, nut-free, low-carb, high-protein</t>
        </is>
      </c>
      <c r="AB246" s="3" t="inlineStr">
        <is>
          <t>1. Grill chicken; dice.
2. Pulse raw cauliflower rice with parsley, mint, tomato, cucumber and green onion.
3. Dress with lemon, oil and salt; fold in chicken.</t>
        </is>
      </c>
      <c r="AC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43</v>
      </c>
      <c r="U247" s="2" t="inlineStr">
        <is>
          <t>low</t>
        </is>
      </c>
      <c r="V247" s="5" t="n">
        <v>9.300000000000001</v>
      </c>
      <c r="W247" s="2" t="inlineStr">
        <is>
          <t>low</t>
        </is>
      </c>
      <c r="X247" s="3" t="inlineStr"/>
      <c r="Y247" s="3" t="inlineStr">
        <is>
          <t>91% of this dish's available carbohydrate comes from ingredients with a published, measured GI; the rest uses conventional placeholders (see Ingredients sheet)</t>
        </is>
      </c>
      <c r="Z247" s="2" t="n">
        <v>91</v>
      </c>
      <c r="AA247" s="3" t="inlineStr">
        <is>
          <t>vegetarian, gluten-free, nut-free, high-fiber</t>
        </is>
      </c>
      <c r="AB247" s="3" t="inlineStr">
        <is>
          <t>1. Roast diced squash with half the oil, cinnamon and salt at 425°F 22 minutes.
2. Toss arugula and chickpeas with remaining oil and balsamic.
3. Top with squash, seeds and goat cheese.</t>
        </is>
      </c>
      <c r="AC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0% of this dish's available carbohydrate comes from ingredients with a published, measured GI; the rest uses conventional placeholders (see Ingredients sheet)</t>
        </is>
      </c>
      <c r="Z248" s="2" t="n">
        <v>0</v>
      </c>
      <c r="AA248" s="3" t="inlineStr">
        <is>
          <t>pescatarian, gluten-free, dairy-free, nut-free, low-carb, high-protein</t>
        </is>
      </c>
      <c r="AB248" s="3" t="inlineStr">
        <is>
          <t>1. Poach shrimp 3 minutes, chop and chill.
2. Toss with hearts of palm, tomato, onion, cilantro, jalapeño, lime and salt; marinate 20 minutes.
3. Fold in avocado and oil.</t>
        </is>
      </c>
      <c r="AC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23% of this dish's available carbohydrate comes from ingredients with a published, measured GI; the rest uses conventional placeholders (see Ingredients sheet)</t>
        </is>
      </c>
      <c r="Z249" s="2" t="n">
        <v>23</v>
      </c>
      <c r="AA249" s="3" t="inlineStr">
        <is>
          <t>gluten-free, dairy-free, nut-free, low-carb, high-protein, make-ahead</t>
        </is>
      </c>
      <c r="AB249" s="3" t="inlineStr">
        <is>
          <t>1. Sauté onion, carrot and celery in olive oil 6 minutes; add garlic.
2. Add broth, chicken, thyme, bay leaf and salt; simmer 20 minutes; remove chicken and shred.
3. Add green beans and zucchini, simmer 6 minutes; return chicken and finish with parsley.</t>
        </is>
      </c>
      <c r="AC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31</v>
      </c>
      <c r="U250" s="2" t="inlineStr">
        <is>
          <t>low</t>
        </is>
      </c>
      <c r="V250" s="5" t="n">
        <v>8.800000000000001</v>
      </c>
      <c r="W250" s="2" t="inlineStr">
        <is>
          <t>low</t>
        </is>
      </c>
      <c r="X250" s="3" t="inlineStr"/>
      <c r="Y250" s="3" t="inlineStr">
        <is>
          <t>60% of this dish's available carbohydrate comes from ingredients with a published, measured GI; the rest uses conventional placeholders (see Ingredients sheet)</t>
        </is>
      </c>
      <c r="Z250" s="2" t="n">
        <v>60</v>
      </c>
      <c r="AA250" s="3" t="inlineStr">
        <is>
          <t>gluten-free, dairy-free, nut-free, high-protein, high-fiber, make-ahead, freezer</t>
        </is>
      </c>
      <c r="AB250" s="3" t="inlineStr">
        <is>
          <t>1. Brown turkey in olive oil with onion and pepper, 8 minutes; add garlic and spices.
2. Add tomatoes, beans, broth and salt; simmer uncovered 35 minutes, stirring occasionally.
3. Serve with Greek yogurt and cilantro if desired.</t>
        </is>
      </c>
      <c r="AC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19</v>
      </c>
      <c r="U251" s="2" t="inlineStr">
        <is>
          <t>low</t>
        </is>
      </c>
      <c r="V251" s="5" t="n">
        <v>5.8</v>
      </c>
      <c r="W251" s="2" t="inlineStr">
        <is>
          <t>low</t>
        </is>
      </c>
      <c r="X251" s="3" t="inlineStr"/>
      <c r="Y251" s="3" t="inlineStr">
        <is>
          <t>75% of this dish's available carbohydrate comes from ingredients with a published, measured GI; the rest uses conventional placeholders (see Ingredients sheet)</t>
        </is>
      </c>
      <c r="Z251" s="2" t="n">
        <v>75</v>
      </c>
      <c r="AA251" s="3" t="inlineStr">
        <is>
          <t>vegan, gluten-free, dairy-free, nut-free, high-fiber, make-ahead</t>
        </is>
      </c>
      <c r="AB251" s="3" t="inlineStr">
        <is>
          <t>1. Sauté onion and carrot in oil 6 minutes; add garlic, cumin and turmeric.
2. Add dry lentils and broth; simmer 25 minutes until soft.
3. Blend partially, stir in lemon juice and salt; garnish with cilantro.</t>
        </is>
      </c>
      <c r="AC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18% of this dish's available carbohydrate comes from ingredients with a published, measured GI; the rest uses conventional placeholders (see Ingredients sheet)</t>
        </is>
      </c>
      <c r="Z252" s="2" t="n">
        <v>18</v>
      </c>
      <c r="AA252" s="3" t="inlineStr">
        <is>
          <t>vegetarian, gluten-free, nut-free, low-carb</t>
        </is>
      </c>
      <c r="AB252" s="3" t="inlineStr">
        <is>
          <t>1. Sauté onion and garlic in oil; add broccoli, cauliflower and broth; simmer 15 minutes.
2. Blend two-thirds of the soup until smooth (cauliflower replaces flour as thickener).
3. Stir in milk, cheddar, Dijon and salt; heat gently without boiling.</t>
        </is>
      </c>
      <c r="AC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37</v>
      </c>
      <c r="U253" s="2" t="inlineStr">
        <is>
          <t>low</t>
        </is>
      </c>
      <c r="V253" s="5" t="n">
        <v>8.5</v>
      </c>
      <c r="W253" s="2" t="inlineStr">
        <is>
          <t>low</t>
        </is>
      </c>
      <c r="X253" s="3" t="inlineStr"/>
      <c r="Y253" s="3" t="inlineStr">
        <is>
          <t>77% of this dish's available carbohydrate comes from ingredients with a published, measured GI; the rest uses conventional placeholders (see Ingredients sheet)</t>
        </is>
      </c>
      <c r="Z253" s="2" t="n">
        <v>77</v>
      </c>
      <c r="AA253" s="3" t="inlineStr">
        <is>
          <t>dairy-free, nut-free, make-ahead, freezer</t>
        </is>
      </c>
      <c r="AB253" s="3" t="inlineStr">
        <is>
          <t>1. Brown cubed beef in oil; remove. Sauté onion, carrot, celery and mushrooms 8 minutes.
2. Add tomato paste, garlic, broth, beef, thyme and bay leaf; simmer 60 minutes.
3. Add dry barley and simmer 30 minutes more until tender; season.</t>
        </is>
      </c>
      <c r="AC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69% of this dish's available carbohydrate comes from ingredients with a published, measured GI; the rest uses conventional placeholders (see Ingredients sheet)</t>
        </is>
      </c>
      <c r="Z254" s="2" t="n">
        <v>69</v>
      </c>
      <c r="AA254" s="3" t="inlineStr">
        <is>
          <t>gluten-free, nut-free, high-protein, high-fiber, make-ahead</t>
        </is>
      </c>
      <c r="AB254" s="3" t="inlineStr">
        <is>
          <t>1. Brown sliced sausage in oil; add onion, carrot and garlic and cook 5 minutes.
2. Add tomatoes, broth, beans and rosemary; simmer 15 minutes.
3. Stir in kale until wilted; serve with parmesan.</t>
        </is>
      </c>
      <c r="AC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0% of this dish's available carbohydrate comes from ingredients with a published, measured GI; the rest uses conventional placeholders (see Ingredients sheet)</t>
        </is>
      </c>
      <c r="Z255" s="2" t="n">
        <v>0</v>
      </c>
      <c r="AA255" s="3" t="inlineStr">
        <is>
          <t>gluten-free, dairy-free, nut-free, low-carb, high-protein</t>
        </is>
      </c>
      <c r="AB255" s="3" t="inlineStr">
        <is>
          <t>1. Simmer broth with ginger, lemongrass and curry paste 10 minutes.
2. Add sliced chicken and mushrooms; cook 8 minutes.
3. Add coconut milk, fish sauce and lime; heat through. Top with cilantro, green onion and chili.</t>
        </is>
      </c>
      <c r="AC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78% of this dish's available carbohydrate comes from ingredients with a published, measured GI; the rest uses conventional placeholders (see Ingredients sheet)</t>
        </is>
      </c>
      <c r="Z256" s="2" t="n">
        <v>78</v>
      </c>
      <c r="AA256" s="3" t="inlineStr">
        <is>
          <t>vegetarian, gluten-free, nut-free, high-fiber, make-ahead</t>
        </is>
      </c>
      <c r="AB256" s="3" t="inlineStr">
        <is>
          <t>1. Sauté onion, pepper and garlic in oil with cumin and chili powder 6 minutes.
2. Add beans and broth; simmer 20 minutes.
3. Blend half the soup, stir back in with lime and salt; top with yogurt and cilantro.</t>
        </is>
      </c>
      <c r="AC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43% of this dish's available carbohydrate comes from ingredients with a published, measured GI; the rest uses conventional placeholders (see Ingredients sheet)</t>
        </is>
      </c>
      <c r="Z257" s="2" t="n">
        <v>43</v>
      </c>
      <c r="AA257" s="3" t="inlineStr">
        <is>
          <t>gluten-free, nut-free, high-protein, high-fiber</t>
        </is>
      </c>
      <c r="AB257" s="3" t="inlineStr">
        <is>
          <t>1. Sauté onion, pepper, jalapeño and garlic with spices in oil 5 minutes.
2. Add broth, tomatoes and chicken; simmer 20 minutes; shred the chicken.
3. Add beans and heat; serve with avocado, cheddar, cilantro and lime.</t>
        </is>
      </c>
      <c r="AC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13% of this dish's available carbohydrate comes from ingredients with a published, measured GI; the rest uses conventional placeholders (see Ingredients sheet)</t>
        </is>
      </c>
      <c r="Z258" s="2" t="n">
        <v>13</v>
      </c>
      <c r="AA258" s="3" t="inlineStr">
        <is>
          <t>vegetarian, gluten-free, nut-free, low-carb</t>
        </is>
      </c>
      <c r="AB258" s="3" t="inlineStr">
        <is>
          <t>1. Sauté onion and garlic in oil 5 minutes.
2. Add cauliflower and broth; simmer 15 minutes.
3. Blend smooth with milk, nutmeg and salt; garnish with parmesan and chives.</t>
        </is>
      </c>
      <c r="AC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29</v>
      </c>
      <c r="U259" s="2" t="inlineStr">
        <is>
          <t>low</t>
        </is>
      </c>
      <c r="V259" s="5" t="n">
        <v>7.2</v>
      </c>
      <c r="W259" s="2" t="inlineStr">
        <is>
          <t>low</t>
        </is>
      </c>
      <c r="X259" s="3" t="inlineStr"/>
      <c r="Y259" s="3" t="inlineStr">
        <is>
          <t>64% of this dish's available carbohydrate comes from ingredients with a published, measured GI; the rest uses conventional placeholders (see Ingredients sheet)</t>
        </is>
      </c>
      <c r="Z259" s="2" t="n">
        <v>64</v>
      </c>
      <c r="AA259" s="3" t="inlineStr">
        <is>
          <t>vegan, gluten-free, dairy-free, nut-free, high-fiber, make-ahead, freezer</t>
        </is>
      </c>
      <c r="AB259" s="3" t="inlineStr">
        <is>
          <t>1. Sauté onion, carrot and celery in oil 7 minutes; add garlic and spices.
2. Add dry lentils, tomatoes and broth; simmer 30 minutes.
3. Stir in spinach and vinegar; season.</t>
        </is>
      </c>
      <c r="AC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23% of this dish's available carbohydrate comes from ingredients with a published, measured GI; the rest uses conventional placeholders (see Ingredients sheet)</t>
        </is>
      </c>
      <c r="Z260" s="2" t="n">
        <v>23</v>
      </c>
      <c r="AA260" s="3" t="inlineStr">
        <is>
          <t>gluten-free, low-carb, high-protein</t>
        </is>
      </c>
      <c r="AB260" s="3" t="inlineStr">
        <is>
          <t>1. Mix turkey, egg, half the parmesan, almond flour and seasoning; roll into small meatballs.
2. Sauté onion, carrot, celery, garlic in oil; add broth and simmer.
3. Drop in meatballs, cook 12 minutes; add spinach and remaining parmesan.</t>
        </is>
      </c>
      <c r="AC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29</v>
      </c>
      <c r="U261" s="2" t="inlineStr">
        <is>
          <t>low</t>
        </is>
      </c>
      <c r="V261" s="5" t="n">
        <v>7.3</v>
      </c>
      <c r="W261" s="2" t="inlineStr">
        <is>
          <t>low</t>
        </is>
      </c>
      <c r="X261" s="3" t="inlineStr"/>
      <c r="Y261" s="3" t="inlineStr">
        <is>
          <t>82% of this dish's available carbohydrate comes from ingredients with a published, measured GI; the rest uses conventional placeholders (see Ingredients sheet)</t>
        </is>
      </c>
      <c r="Z261" s="2" t="n">
        <v>82</v>
      </c>
      <c r="AA261" s="3" t="inlineStr">
        <is>
          <t>gluten-free, dairy-free, nut-free, high-fiber, make-ahead, freezer</t>
        </is>
      </c>
      <c r="AB261" s="3" t="inlineStr">
        <is>
          <t>1. Sauté onion, carrot and celery in oil 6 minutes; add garlic.
2. Add dry split peas, ham, broth, bay leaf and thyme; simmer 60–70 minutes until peas break down.
3. Remove bay leaf; season with pepper.</t>
        </is>
      </c>
      <c r="AC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0% of this dish's available carbohydrate comes from ingredients with a published, measured GI; the rest uses conventional placeholders (see Ingredients sheet)</t>
        </is>
      </c>
      <c r="Z262" s="2" t="n">
        <v>0</v>
      </c>
      <c r="AA262" s="3" t="inlineStr">
        <is>
          <t>vegetarian, gluten-free, dairy-free, nut-free, low-carb, quick</t>
        </is>
      </c>
      <c r="AB262" s="3" t="inlineStr">
        <is>
          <t>1. Simmer broth with ginger and tamari; add tofu cubes.
2. Drizzle in beaten eggs while stirring slowly to make ribbons.
3. Add spinach, sesame oil and green onion.</t>
        </is>
      </c>
      <c r="AC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36% of this dish's available carbohydrate comes from ingredients with a published, measured GI; the rest uses conventional placeholders (see Ingredients sheet)</t>
        </is>
      </c>
      <c r="Z263" s="2" t="n">
        <v>36</v>
      </c>
      <c r="AA263" s="3" t="inlineStr">
        <is>
          <t>pescatarian, gluten-free, nut-free, low-carb, high-protein, omega-3</t>
        </is>
      </c>
      <c r="AB263" s="3" t="inlineStr">
        <is>
          <t>1. Sauté onion, celery, carrot and garlic in oil 6 minutes.
2. Add cauliflower and broth; simmer 12 minutes. Blend half for creaminess.
3. Add salmon chunks and milk; simmer 6 minutes; finish with dill and lemon.</t>
        </is>
      </c>
      <c r="AC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27</v>
      </c>
      <c r="U264" s="2" t="inlineStr">
        <is>
          <t>low</t>
        </is>
      </c>
      <c r="V264" s="5" t="n">
        <v>9.300000000000001</v>
      </c>
      <c r="W264" s="2" t="inlineStr">
        <is>
          <t>low</t>
        </is>
      </c>
      <c r="X264" s="3" t="inlineStr"/>
      <c r="Y264" s="3" t="inlineStr">
        <is>
          <t>46% of this dish's available carbohydrate comes from ingredients with a published, measured GI; the rest uses conventional placeholders (see Ingredients sheet)</t>
        </is>
      </c>
      <c r="Z264" s="2" t="n">
        <v>46</v>
      </c>
      <c r="AA264" s="3" t="inlineStr">
        <is>
          <t>vegetarian, gluten-free, nut-free, high-fiber, make-ahead</t>
        </is>
      </c>
      <c r="AB264" s="3" t="inlineStr">
        <is>
          <t>1. Sauté onion, carrot, celery in oil 7 minutes; add garlic and seasoning.
2. Add tomatoes, broth, beans; simmer 15 minutes; add zucchini and green beans for 6 minutes.
3. Cook pasta separately and add to bowls; top with parmesan.</t>
        </is>
      </c>
      <c r="AC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20% of this dish's available carbohydrate comes from ingredients with a published, measured GI; the rest uses conventional placeholders (see Ingredients sheet)</t>
        </is>
      </c>
      <c r="Z265" s="2" t="n">
        <v>20</v>
      </c>
      <c r="AA265" s="3" t="inlineStr">
        <is>
          <t>gluten-free, dairy-free, nut-free, low-carb, high-protein</t>
        </is>
      </c>
      <c r="AB265" s="3" t="inlineStr">
        <is>
          <t>1. Sauté onion, carrot, celery in oil; add garlic and thyme.
2. Add broth and chicken; simmer 20 minutes; shred chicken.
3. Add zoodles for 2 minutes; finish with parsley and lemon.</t>
        </is>
      </c>
      <c r="AC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33</v>
      </c>
      <c r="U266" s="2" t="inlineStr">
        <is>
          <t>low</t>
        </is>
      </c>
      <c r="V266" s="5" t="n">
        <v>12.3</v>
      </c>
      <c r="W266" s="2" t="inlineStr">
        <is>
          <t>medium</t>
        </is>
      </c>
      <c r="X266" s="3" t="inlineStr"/>
      <c r="Y266" s="3" t="inlineStr">
        <is>
          <t>71% of this dish's available carbohydrate comes from ingredients with a published, measured GI; the rest uses conventional placeholders (see Ingredients sheet)</t>
        </is>
      </c>
      <c r="Z266" s="2" t="n">
        <v>71</v>
      </c>
      <c r="AA266" s="3" t="inlineStr">
        <is>
          <t>vegan, gluten-free, dairy-free, nut-free, high-fiber, make-ahead</t>
        </is>
      </c>
      <c r="AB266" s="3" t="inlineStr">
        <is>
          <t>1. Sauté onion and carrot in oil 6 minutes; add garlic and spices 1 minute.
2. Add tomatoes, broth, chickpeas and harissa; simmer 20 minutes.
3. Add zucchini for 8 minutes; finish with lemon and cilantro.</t>
        </is>
      </c>
      <c r="AC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44% of this dish's available carbohydrate comes from ingredients with a published, measured GI; the rest uses conventional placeholders (see Ingredients sheet)</t>
        </is>
      </c>
      <c r="Z267" s="2" t="n">
        <v>44</v>
      </c>
      <c r="AA267" s="3" t="inlineStr">
        <is>
          <t>gluten-free, dairy-free, nut-free, low-carb, high-protein, make-ahead, freezer</t>
        </is>
      </c>
      <c r="AB267" s="3" t="inlineStr">
        <is>
          <t>1. Brown beef cubes in oil in batches; remove.
2. Sauté onion, celery, mushrooms; add tomato paste, garlic, wine and reduce 2 minutes.
3. Return beef with broth, thyme, bay leaf; simmer covered 90 minutes. Add carrot and turnip; cook 30 minutes more.</t>
        </is>
      </c>
      <c r="AC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0% of this dish's available carbohydrate comes from ingredients with a published, measured GI; the rest uses conventional placeholders (see Ingredients sheet)</t>
        </is>
      </c>
      <c r="Z268" s="2" t="n">
        <v>0</v>
      </c>
      <c r="AA268" s="3" t="inlineStr">
        <is>
          <t>vegan, gluten-free, dairy-free, nut-free, low-carb, no-cook, make-ahead</t>
        </is>
      </c>
      <c r="AB268" s="3" t="inlineStr">
        <is>
          <t>1. Roughly chop vegetables.
2. Blend with garlic, oil, vinegar, salt and cumin until smooth.
3. Chill 2 hours; serve cold.</t>
        </is>
      </c>
      <c r="AC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78% of this dish's available carbohydrate comes from ingredients with a published, measured GI; the rest uses conventional placeholders (see Ingredients sheet)</t>
        </is>
      </c>
      <c r="Z269" s="2" t="n">
        <v>78</v>
      </c>
      <c r="AA269" s="3" t="inlineStr">
        <is>
          <t>gluten-free, nut-free, high-protein, make-ahead</t>
        </is>
      </c>
      <c r="AB269" s="3" t="inlineStr">
        <is>
          <t>1. Sauté onion and garlic with spices in oil 5 minutes.
2. Add broth, chicken, beans and chiles; simmer 25 minutes; shred chicken.
3. Mash a few beans to thicken; stir in yogurt, lime, cilantro and salt.</t>
        </is>
      </c>
      <c r="AC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0% of this dish's available carbohydrate comes from ingredients with a published, measured GI; the rest uses conventional placeholders (see Ingredients sheet)</t>
        </is>
      </c>
      <c r="Z270" s="2" t="n">
        <v>0</v>
      </c>
      <c r="AA270" s="3" t="inlineStr">
        <is>
          <t>vegan, dairy-free, nut-free, low-carb, quick</t>
        </is>
      </c>
      <c r="AB270" s="3" t="inlineStr">
        <is>
          <t>1. Simmer broth with sliced shiitake 5 minutes; add tofu and wakame.
2. Remove from heat; whisk miso with a little broth and stir in.
3. Top with green onion.</t>
        </is>
      </c>
      <c r="AC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44% of this dish's available carbohydrate comes from ingredients with a published, measured GI; the rest uses conventional placeholders (see Ingredients sheet)</t>
        </is>
      </c>
      <c r="Z271" s="2" t="n">
        <v>44</v>
      </c>
      <c r="AA271" s="3" t="inlineStr">
        <is>
          <t>vegan, gluten-free, dairy-free, nut-free, make-ahead</t>
        </is>
      </c>
      <c r="AB271" s="3" t="inlineStr">
        <is>
          <t>1. Roast halved tomatoes, onion and garlic with oil at 400°F for 35 minutes.
2. Blend with broth, white beans (for body and protein) and basil.
3. Simmer 5 minutes; season.</t>
        </is>
      </c>
      <c r="AC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0% of this dish's available carbohydrate comes from ingredients with a published, measured GI; the rest uses conventional placeholders (see Ingredients sheet)</t>
        </is>
      </c>
      <c r="Z272" s="2" t="n">
        <v>0</v>
      </c>
      <c r="AA272" s="3" t="inlineStr">
        <is>
          <t>gluten-free, dairy-free, nut-free, low-carb, high-protein</t>
        </is>
      </c>
      <c r="AB272" s="3" t="inlineStr">
        <is>
          <t>1. Brown sausage in oil; add onion, pepper, celery and cook 8 minutes; add garlic.
2. Add tomatoes, broth, okra, Cajun seasoning and bay leaf; simmer 25 minutes.
3. Add shrimp for 4 minutes; serve over sautéed cauliflower rice with green onion.</t>
        </is>
      </c>
      <c r="AC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13% of this dish's available carbohydrate comes from ingredients with a published, measured GI; the rest uses conventional placeholders (see Ingredients sheet)</t>
        </is>
      </c>
      <c r="Z273" s="2" t="n">
        <v>13</v>
      </c>
      <c r="AA273" s="3" t="inlineStr">
        <is>
          <t>vegetarian, gluten-free, nut-free</t>
        </is>
      </c>
      <c r="AB273" s="3" t="inlineStr">
        <is>
          <t>1. Sauté mushrooms in oil until browned; add onion, carrot, celery and garlic 5 minutes.
2. Add broth, thyme; simmer 15 minutes.
3. Stir in cooked wild rice and milk; heat; serve with parmesan.</t>
        </is>
      </c>
      <c r="AC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0% of this dish's available carbohydrate comes from ingredients with a published, measured GI; the rest uses conventional placeholders (see Ingredients sheet)</t>
        </is>
      </c>
      <c r="Z274" s="2" t="n">
        <v>0</v>
      </c>
      <c r="AA274" s="3" t="inlineStr">
        <is>
          <t>gluten-free, dairy-free, nut-free, low-carb, high-protein</t>
        </is>
      </c>
      <c r="AB274" s="3" t="inlineStr">
        <is>
          <t>1. Simmer broth with ginger, star anise, cinnamon and fish sauce 15 minutes; poach chicken in it 10 minutes; slice.
2. Strain broth over zoodles in bowls.
3. Top with chicken, sprouts, herbs, lime, jalapeño and green onion.</t>
        </is>
      </c>
      <c r="AC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28</v>
      </c>
      <c r="U275" s="2" t="inlineStr">
        <is>
          <t>low</t>
        </is>
      </c>
      <c r="V275" s="5" t="n">
        <v>9.199999999999999</v>
      </c>
      <c r="W275" s="2" t="inlineStr">
        <is>
          <t>low</t>
        </is>
      </c>
      <c r="X275" s="3" t="inlineStr"/>
      <c r="Y275" s="3" t="inlineStr">
        <is>
          <t>73% of this dish's available carbohydrate comes from ingredients with a published, measured GI; the rest uses conventional placeholders (see Ingredients sheet)</t>
        </is>
      </c>
      <c r="Z275" s="2" t="n">
        <v>73</v>
      </c>
      <c r="AA275" s="3" t="inlineStr">
        <is>
          <t>vegan, gluten-free, dairy-free, nut-free, high-fiber, make-ahead</t>
        </is>
      </c>
      <c r="AB275" s="3" t="inlineStr">
        <is>
          <t>1. Sauté onion, garlic, ginger and curry powder in oil 5 minutes.
2. Add squash, dry lentils and broth; simmer 25 minutes.
3. Blend, stir in coconut milk, lime and salt; garnish with cilantro.</t>
        </is>
      </c>
      <c r="AC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14% of this dish's available carbohydrate comes from ingredients with a published, measured GI; the rest uses conventional placeholders (see Ingredients sheet)</t>
        </is>
      </c>
      <c r="Z276" s="2" t="n">
        <v>14</v>
      </c>
      <c r="AA276" s="3" t="inlineStr">
        <is>
          <t>gluten-free, low-carb, high-protein</t>
        </is>
      </c>
      <c r="AB276" s="3" t="inlineStr">
        <is>
          <t>1. Mix turkey, egg, almond flour, garlic powder; form meatballs.
2. Sauté onion and carrot; add broth, tomatoes, seasoning; simmer.
3. Add meatballs 12 minutes; add zucchini and green beans 6 minutes; serve with parmesan.</t>
        </is>
      </c>
      <c r="AC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23% of this dish's available carbohydrate comes from ingredients with a published, measured GI; the rest uses conventional placeholders (see Ingredients sheet)</t>
        </is>
      </c>
      <c r="Z277" s="2" t="n">
        <v>23</v>
      </c>
      <c r="AA277" s="3" t="inlineStr">
        <is>
          <t>gluten-free, dairy-free, nut-free, low-carb, high-protein</t>
        </is>
      </c>
      <c r="AB277" s="3" t="inlineStr">
        <is>
          <t>1. Simmer chicken in broth with onion, garlic, cumin and salt 25 minutes; shred.
2. Add carrot, cabbage and zucchini; cook 10 minutes.
3. Serve with cilantro, lime, jalapeño and avocado.</t>
        </is>
      </c>
      <c r="AC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47% of this dish's available carbohydrate comes from ingredients with a published, measured GI; the rest uses conventional placeholders (see Ingredients sheet)</t>
        </is>
      </c>
      <c r="Z278" s="2" t="n">
        <v>47</v>
      </c>
      <c r="AA278" s="3" t="inlineStr">
        <is>
          <t>vegetarian, gluten-free, nut-free</t>
        </is>
      </c>
      <c r="AB278" s="3" t="inlineStr">
        <is>
          <t>1. Sauté onion and garlic in oil; add zucchini and cook 5 minutes.
2. Add broth and beans; simmer 12 minutes.
3. Blend with basil and lemon; season; top with parmesan.</t>
        </is>
      </c>
      <c r="AC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0% of this dish's available carbohydrate comes from ingredients with a published, measured GI; the rest uses conventional placeholders (see Ingredients sheet)</t>
        </is>
      </c>
      <c r="Z279" s="2" t="n">
        <v>0</v>
      </c>
      <c r="AA279" s="3" t="inlineStr">
        <is>
          <t>vegetarian, dairy-free, nut-free, low-carb, high-protein</t>
        </is>
      </c>
      <c r="AB279" s="3" t="inlineStr">
        <is>
          <t>1. Sauté kimchi and garlic in sesame oil 3 minutes.
2. Add broth, gochujang, mushrooms and zucchini; simmer 8 minutes.
3. Add tofu chunks; crack in eggs and cook 3 minutes; top with green onion.</t>
        </is>
      </c>
      <c r="AC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18% of this dish's available carbohydrate comes from ingredients with a published, measured GI; the rest uses conventional placeholders (see Ingredients sheet)</t>
        </is>
      </c>
      <c r="Z280" s="2" t="n">
        <v>18</v>
      </c>
      <c r="AA280" s="3" t="inlineStr">
        <is>
          <t>gluten-free, dairy-free, nut-free, low-carb, high-protein</t>
        </is>
      </c>
      <c r="AB280" s="3" t="inlineStr">
        <is>
          <t>1. Simmer chicken with onion and carrot in broth 20 minutes; shred chicken.
2. Add cauliflower rice, cook 5 minutes.
3. Whisk eggs with lemon; temper with hot broth and stir in off heat (avgolemono); add dill and salt.</t>
        </is>
      </c>
      <c r="AC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30</v>
      </c>
      <c r="U281" s="2" t="inlineStr">
        <is>
          <t>low</t>
        </is>
      </c>
      <c r="V281" s="5" t="n">
        <v>12.7</v>
      </c>
      <c r="W281" s="2" t="inlineStr">
        <is>
          <t>medium</t>
        </is>
      </c>
      <c r="X281" s="3" t="inlineStr"/>
      <c r="Y281" s="3" t="inlineStr">
        <is>
          <t>69% of this dish's available carbohydrate comes from ingredients with a published, measured GI; the rest uses conventional placeholders (see Ingredients sheet)</t>
        </is>
      </c>
      <c r="Z281" s="2" t="n">
        <v>69</v>
      </c>
      <c r="AA281" s="3" t="inlineStr">
        <is>
          <t>vegan, gluten-free, dairy-free, nut-free, high-fiber, make-ahead, freezer</t>
        </is>
      </c>
      <c r="AB281" s="3" t="inlineStr">
        <is>
          <t>1. Sauté onion, pepper and zucchini in oil 8 minutes; add garlic and spices.
2. Add tomatoes, beans, broth and cocoa; simmer 30 minutes.
3. Season and serve with yogurt or avocado.</t>
        </is>
      </c>
      <c r="AC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"grams": 150.0, "note": ""}, {"ingredient_id": "salt", "name": "Salt", "grams": 3.0, "note": ""}, {"ingredient_id": "black_pepper", "name": "Black pepper", "grams": 1.0, "note": ""}]</t>
        </is>
      </c>
      <c r="N282" s="2" t="n">
        <v>257</v>
      </c>
      <c r="O282" s="5" t="n">
        <v>24.6</v>
      </c>
      <c r="P282" s="5" t="n">
        <v>7.8</v>
      </c>
      <c r="Q282" s="5" t="n">
        <v>23.6</v>
      </c>
      <c r="R282" s="5" t="n">
        <v>3.6</v>
      </c>
      <c r="S282" s="5" t="n">
        <v>20</v>
      </c>
      <c r="T282" s="2" t="n">
        <v>32</v>
      </c>
      <c r="U282" s="2" t="inlineStr">
        <is>
          <t>low</t>
        </is>
      </c>
      <c r="V282" s="5" t="n">
        <v>6.4</v>
      </c>
      <c r="W282" s="2" t="inlineStr">
        <is>
          <t>low</t>
        </is>
      </c>
      <c r="X282" s="3" t="inlineStr"/>
      <c r="Y282" s="3" t="inlineStr">
        <is>
          <t>49% of this dish's available carbohydrate comes from ingredients with a published, measured GI; the rest uses conventional placeholders (see Ingredients sheet)</t>
        </is>
      </c>
      <c r="Z282" s="2" t="n">
        <v>49</v>
      </c>
      <c r="AA282" s="3" t="inlineStr">
        <is>
          <t>gluten-free, nut-free</t>
        </is>
      </c>
      <c r="AB282" s="3" t="inlineStr">
        <is>
          <t>1. Crisp turkey bacon; set aside. Sauté onion and celery in oil.
2. Add cauliflower, potato, broth, thyme; simmer 15 minutes; blend half.
3. Add clams and milk; heat 5 minutes; top with bacon and pepper.</t>
        </is>
      </c>
      <c r="AC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35</v>
      </c>
      <c r="U283" s="2" t="inlineStr">
        <is>
          <t>low</t>
        </is>
      </c>
      <c r="V283" s="5" t="n">
        <v>13.8</v>
      </c>
      <c r="W283" s="2" t="inlineStr">
        <is>
          <t>medium</t>
        </is>
      </c>
      <c r="X283" s="3" t="inlineStr"/>
      <c r="Y283" s="3" t="inlineStr">
        <is>
          <t>74% of this dish's available carbohydrate comes from ingredients with a published, measured GI; the rest uses conventional placeholders (see Ingredients sheet)</t>
        </is>
      </c>
      <c r="Z283" s="2" t="n">
        <v>74</v>
      </c>
      <c r="AA283" s="3" t="inlineStr">
        <is>
          <t>vegan, gluten-free, dairy-free, high-fiber, make-ahead</t>
        </is>
      </c>
      <c r="AB283" s="3" t="inlineStr">
        <is>
          <t>1. Sauté onion, garlic, ginger and spices in oil 5 minutes.
2. Add sweet potato, tomatoes, broth and chickpeas; simmer 20 minutes.
3. Whisk in peanut butter, add spinach and lime; season.</t>
        </is>
      </c>
      <c r="AC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13% of this dish's available carbohydrate comes from ingredients with a published, measured GI; the rest uses conventional placeholders (see Ingredients sheet)</t>
        </is>
      </c>
      <c r="Z284" s="2" t="n">
        <v>13</v>
      </c>
      <c r="AA284" s="3" t="inlineStr">
        <is>
          <t>gluten-free, dairy-free, nut-free, low-carb, high-protein</t>
        </is>
      </c>
      <c r="AB284" s="3" t="inlineStr">
        <is>
          <t>1. Sauté onion and carrot in oil; add garlic and paprika.
2. Add broth, tomatoes and chicken; simmer 20 minutes; shred chicken.
3. Add cabbage and cook 8 minutes; finish with dill.</t>
        </is>
      </c>
      <c r="AC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0% of this dish's available carbohydrate comes from ingredients with a published, measured GI; the rest uses conventional placeholders (see Ingredients sheet)</t>
        </is>
      </c>
      <c r="Z285" s="2" t="n">
        <v>0</v>
      </c>
      <c r="AA285" s="3" t="inlineStr">
        <is>
          <t>pescatarian, gluten-free, dairy-free, nut-free, high-protein</t>
        </is>
      </c>
      <c r="AB285" s="3" t="inlineStr">
        <is>
          <t>1. Sauté onion, fennel and garlic in oil 6 minutes; add pepper flakes and oregano.
2. Add wine, tomatoes and broth; simmer 15 minutes.
3. Add mussels, cod and shrimp; cover and cook 6 minutes until mussels open; finish with parsley.</t>
        </is>
      </c>
      <c r="AC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72% of this dish's available carbohydrate comes from ingredients with a published, measured GI; the rest uses conventional placeholders (see Ingredients sheet)</t>
        </is>
      </c>
      <c r="Z286" s="2" t="n">
        <v>72</v>
      </c>
      <c r="AA286" s="3" t="inlineStr">
        <is>
          <t>gluten-free, nut-free, high-protein, high-fiber</t>
        </is>
      </c>
      <c r="AB286" s="3" t="inlineStr">
        <is>
          <t>1. Brown sausage; add onion and garlic 4 minutes.
2. Add broth and beans; simmer 10 minutes.
3. Stir in chard until wilted; finish with lemon and parmesan.</t>
        </is>
      </c>
      <c r="AC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70% of this dish's available carbohydrate comes from ingredients with a published, measured GI; the rest uses conventional placeholders (see Ingredients sheet)</t>
        </is>
      </c>
      <c r="Z287" s="2" t="n">
        <v>70</v>
      </c>
      <c r="AA287" s="3" t="inlineStr">
        <is>
          <t>vegan, gluten-free, dairy-free, nut-free, high-fiber, make-ahead</t>
        </is>
      </c>
      <c r="AB287" s="3" t="inlineStr">
        <is>
          <t>1. Sauté onion, ginger and garlic in oil 5 minutes.
2. Add carrot, beans and broth; simmer 20 minutes.
3. Blend with coconut milk and lime; season.</t>
        </is>
      </c>
      <c r="AC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0% of this dish's available carbohydrate comes from ingredients with a published, measured GI; the rest uses conventional placeholders (see Ingredients sheet)</t>
        </is>
      </c>
      <c r="Z288" s="2" t="n">
        <v>0</v>
      </c>
      <c r="AA288" s="3" t="inlineStr">
        <is>
          <t>gluten-free, dairy-free, nut-free, low-carb, high-protein</t>
        </is>
      </c>
      <c r="AB288" s="3" t="inlineStr">
        <is>
          <t>1. Brown pork with ginger and garlic; add tamari.
2. Add broth and shiitake; simmer 8 minutes.
3. Add cabbage and tofu; cook 5 minutes; finish with sesame oil and green onion.</t>
        </is>
      </c>
      <c r="AC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30</v>
      </c>
      <c r="U289" s="2" t="inlineStr">
        <is>
          <t>low</t>
        </is>
      </c>
      <c r="V289" s="5" t="n">
        <v>11.9</v>
      </c>
      <c r="W289" s="2" t="inlineStr">
        <is>
          <t>medium</t>
        </is>
      </c>
      <c r="X289" s="3" t="inlineStr"/>
      <c r="Y289" s="3" t="inlineStr">
        <is>
          <t>54% of this dish's available carbohydrate comes from ingredients with a published, measured GI; the rest uses conventional placeholders (see Ingredients sheet)</t>
        </is>
      </c>
      <c r="Z289" s="2" t="n">
        <v>54</v>
      </c>
      <c r="AA289" s="3" t="inlineStr">
        <is>
          <t>vegan, gluten-free, dairy-free, nut-free, high-fiber, make-ahead</t>
        </is>
      </c>
      <c r="AB289" s="3" t="inlineStr">
        <is>
          <t>1. Sauté onion, carrot, celery in oil; add garlic, thyme, turmeric.
2. Add broth and chickpeas; simmer 12 minutes.
3. Add pasta and cook 6–7 minutes; finish with parsley and lemon.</t>
        </is>
      </c>
      <c r="AC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13% of this dish's available carbohydrate comes from ingredients with a published, measured GI; the rest uses conventional placeholders (see Ingredients sheet)</t>
        </is>
      </c>
      <c r="Z290" s="2" t="n">
        <v>13</v>
      </c>
      <c r="AA290" s="3" t="inlineStr">
        <is>
          <t>gluten-free, dairy-free, nut-free, low-carb, high-protein, make-ahead</t>
        </is>
      </c>
      <c r="AB290" s="3" t="inlineStr">
        <is>
          <t>1. Brown beef with onion in oil; add garlic and paprika.
2. Add broth, tomatoes, carrot and cabbage; simmer 25 minutes.
3. Finish with vinegar and salt.</t>
        </is>
      </c>
      <c r="AC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8% of this dish's available carbohydrate comes from ingredients with a published, measured GI; the rest uses conventional placeholders (see Ingredients sheet)</t>
        </is>
      </c>
      <c r="Z291" s="2" t="n">
        <v>8</v>
      </c>
      <c r="AA291" s="3" t="inlineStr">
        <is>
          <t>gluten-free, nut-free, low-carb, high-protein</t>
        </is>
      </c>
      <c r="AB291" s="3" t="inlineStr">
        <is>
          <t>1. Sauté onion, garlic, ginger and spices in oil 5 minutes.
2. Add tomatoes, broth, chicken and cauliflower; simmer 20 minutes; shred chicken.
3. Stir in yogurt off heat; garnish cilantro.</t>
        </is>
      </c>
      <c r="AC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45% of this dish's available carbohydrate comes from ingredients with a published, measured GI; the rest uses conventional placeholders (see Ingredients sheet)</t>
        </is>
      </c>
      <c r="Z292" s="2" t="n">
        <v>45</v>
      </c>
      <c r="AA292" s="3" t="inlineStr">
        <is>
          <t>vegetarian, gluten-free, nut-free, high-fiber</t>
        </is>
      </c>
      <c r="AB292" s="3" t="inlineStr">
        <is>
          <t>1. Sauté leek and garlic in oil 6 minutes.
2. Add asparagus, beans and broth; simmer 12 minutes.
3. Blend smooth with lemon; serve with yogurt and chives.</t>
        </is>
      </c>
      <c r="AC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0% of this dish's available carbohydrate comes from ingredients with a published, measured GI; the rest uses conventional placeholders (see Ingredients sheet)</t>
        </is>
      </c>
      <c r="Z293" s="2" t="n">
        <v>0</v>
      </c>
      <c r="AA293" s="3" t="inlineStr">
        <is>
          <t>vegetarian, gluten-free, dairy-free, nut-free, low-carb, quick</t>
        </is>
      </c>
      <c r="AB293" s="3" t="inlineStr">
        <is>
          <t>1. Simmer broth with shiitake, ginger, tamari and vinegar 8 minutes.
2. Add tofu strips; drizzle in beaten eggs while stirring.
3. Finish with sesame oil, pepper, sprouts and green onion.</t>
        </is>
      </c>
      <c r="AC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33</v>
      </c>
      <c r="U294" s="2" t="inlineStr">
        <is>
          <t>low</t>
        </is>
      </c>
      <c r="V294" s="5" t="n">
        <v>8.199999999999999</v>
      </c>
      <c r="W294" s="2" t="inlineStr">
        <is>
          <t>low</t>
        </is>
      </c>
      <c r="X294" s="3" t="inlineStr"/>
      <c r="Y294" s="3" t="inlineStr">
        <is>
          <t>70% of this dish's available carbohydrate comes from ingredients with a published, measured GI; the rest uses conventional placeholders (see Ingredients sheet)</t>
        </is>
      </c>
      <c r="Z294" s="2" t="n">
        <v>70</v>
      </c>
      <c r="AA294" s="3" t="inlineStr">
        <is>
          <t>gluten-free, dairy-free, nut-free, high-protein, high-fiber, make-ahead</t>
        </is>
      </c>
      <c r="AB294" s="3" t="inlineStr">
        <is>
          <t>1. Brown lamb cubes in oil; remove. Sauté onion, carrot, garlic and spices 6 minutes.
2. Return lamb with tomatoes and broth; simmer covered 60 minutes.
3. Add chickpeas for 20 minutes; finish with lemon and cilantro.</t>
        </is>
      </c>
      <c r="AC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14% of this dish's available carbohydrate comes from ingredients with a published, measured GI; the rest uses conventional placeholders (see Ingredients sheet)</t>
        </is>
      </c>
      <c r="Z295" s="2" t="n">
        <v>14</v>
      </c>
      <c r="AA295" s="3" t="inlineStr">
        <is>
          <t>vegetarian, gluten-free, nut-free, low-carb</t>
        </is>
      </c>
      <c r="AB295" s="3" t="inlineStr">
        <is>
          <t>1. Sear mushrooms in oil until browned; add onion, garlic, thyme; deglaze with wine.
2. Add cauliflower and broth; simmer 15 minutes.
3. Blend with milk; season.</t>
        </is>
      </c>
      <c r="AC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0% of this dish's available carbohydrate comes from ingredients with a published, measured GI; the rest uses conventional placeholders (see Ingredients sheet)</t>
        </is>
      </c>
      <c r="Z296" s="2" t="n">
        <v>0</v>
      </c>
      <c r="AA296" s="3" t="inlineStr">
        <is>
          <t>pescatarian, gluten-free, dairy-free, nut-free, low-carb, high-protein</t>
        </is>
      </c>
      <c r="AB296" s="3" t="inlineStr">
        <is>
          <t>1. Fry curry paste and ginger 1 minute; add broth and coconut milk; simmer 5 minutes.
2. Add pepper, mushrooms and snap peas; cook 4 minutes.
3. Add shrimp 3 minutes; finish with fish sauce, lime and basil.</t>
        </is>
      </c>
      <c r="AC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28</v>
      </c>
      <c r="U297" s="2" t="inlineStr">
        <is>
          <t>low</t>
        </is>
      </c>
      <c r="V297" s="5" t="n">
        <v>6.8</v>
      </c>
      <c r="W297" s="2" t="inlineStr">
        <is>
          <t>low</t>
        </is>
      </c>
      <c r="X297" s="3" t="inlineStr"/>
      <c r="Y297" s="3" t="inlineStr">
        <is>
          <t>65% of this dish's available carbohydrate comes from ingredients with a published, measured GI; the rest uses conventional placeholders (see Ingredients sheet)</t>
        </is>
      </c>
      <c r="Z297" s="2" t="n">
        <v>65</v>
      </c>
      <c r="AA297" s="3" t="inlineStr">
        <is>
          <t>gluten-free, dairy-free, nut-free, high-protein, high-fiber, make-ahead</t>
        </is>
      </c>
      <c r="AB297" s="3" t="inlineStr">
        <is>
          <t>1. Brown turkey with onion and pepper in oil; add garlic and spices.
2. Add beans, tomatoes, chiles, broth; simmer 20 minutes.
3. Finish with cilantro and lime.</t>
        </is>
      </c>
      <c r="AC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0% of this dish's available carbohydrate comes from ingredients with a published, measured GI; the rest uses conventional placeholders (see Ingredients sheet)</t>
        </is>
      </c>
      <c r="Z298" s="2" t="n">
        <v>0</v>
      </c>
      <c r="AA298" s="3" t="inlineStr">
        <is>
          <t>vegetarian, gluten-free, nut-free</t>
        </is>
      </c>
      <c r="AB298" s="3" t="inlineStr">
        <is>
          <t>1. Cook thinly sliced onions in oil and butter over medium-low heat 40 minutes until deeply caramelized.
2. Add garlic, thyme and wine; reduce; add broth and simmer 15 minutes.
3. Ladle into ovenproof bowls, top with Swiss cheese and broil until bubbling.</t>
        </is>
      </c>
      <c r="AC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11% of this dish's available carbohydrate comes from ingredients with a published, measured GI; the rest uses conventional placeholders (see Ingredients sheet)</t>
        </is>
      </c>
      <c r="Z299" s="2" t="n">
        <v>11</v>
      </c>
      <c r="AA299" s="3" t="inlineStr">
        <is>
          <t>vegetarian, gluten-free, nut-free, make-ahead</t>
        </is>
      </c>
      <c r="AB299" s="3" t="inlineStr">
        <is>
          <t>1. Sweat leeks in oil 6 minutes without browning.
2. Add cauliflower and broth; simmer 15 minutes.
3. Blend with milk and vinegar; chill or serve warm with chives.</t>
        </is>
      </c>
      <c r="AC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56% of this dish's available carbohydrate comes from ingredients with a published, measured GI; the rest uses conventional placeholders (see Ingredients sheet)</t>
        </is>
      </c>
      <c r="Z300" s="2" t="n">
        <v>56</v>
      </c>
      <c r="AA300" s="3" t="inlineStr">
        <is>
          <t>gluten-free, nut-free, low-carb, high-protein</t>
        </is>
      </c>
      <c r="AB300" s="3" t="inlineStr">
        <is>
          <t>1. Sauté onion and pepper in oil with cumin.
2. Add enchilada sauce, broth, chiles and chicken; simmer 20 minutes; shred chicken.
3. Add beans; serve with cheddar, yogurt and cilantro.</t>
        </is>
      </c>
      <c r="AC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31</v>
      </c>
      <c r="U301" s="2" t="inlineStr">
        <is>
          <t>low</t>
        </is>
      </c>
      <c r="V301" s="5" t="n">
        <v>7.4</v>
      </c>
      <c r="W301" s="2" t="inlineStr">
        <is>
          <t>low</t>
        </is>
      </c>
      <c r="X301" s="3" t="inlineStr"/>
      <c r="Y301" s="3" t="inlineStr">
        <is>
          <t>68% of this dish's available carbohydrate comes from ingredients with a published, measured GI; the rest uses conventional placeholders (see Ingredients sheet)</t>
        </is>
      </c>
      <c r="Z301" s="2" t="n">
        <v>68</v>
      </c>
      <c r="AA301" s="3" t="inlineStr">
        <is>
          <t>gluten-free, dairy-free, nut-free, high-fiber, make-ahead</t>
        </is>
      </c>
      <c r="AB301" s="3" t="inlineStr">
        <is>
          <t>1. Brown sausage; add onion, carrot and garlic 5 minutes; add paprika.
2. Add lentils, tomatoes and broth; simmer 25 minutes.
3. Stir in spinach and vinegar.</t>
        </is>
      </c>
      <c r="AC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22% of this dish's available carbohydrate comes from ingredients with a published, measured GI; the rest uses conventional placeholders (see Ingredients sheet)</t>
        </is>
      </c>
      <c r="Z302" s="2" t="n">
        <v>22</v>
      </c>
      <c r="AA302" s="3" t="inlineStr">
        <is>
          <t>vegetarian, gluten-free, nut-free, low-carb, no-cook</t>
        </is>
      </c>
      <c r="AB302" s="3" t="inlineStr">
        <is>
          <t>1. Blend cucumber, avocado, yogurt, lime, dill, garlic, water and salt until smooth.
2. Chill 1 hour.
3. Drizzle with olive oil before serving.</t>
        </is>
      </c>
      <c r="AC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75% of this dish's available carbohydrate comes from ingredients with a published, measured GI; the rest uses conventional placeholders (see Ingredients sheet)</t>
        </is>
      </c>
      <c r="Z303" s="2" t="n">
        <v>75</v>
      </c>
      <c r="AA303" s="3" t="inlineStr">
        <is>
          <t>gluten-free, nut-free, high-protein, high-fiber</t>
        </is>
      </c>
      <c r="AB303" s="3" t="inlineStr">
        <is>
          <t>1. Brown turkey with onion and carrot in oil; add garlic and rosemary.
2. Add broth and beans; simmer 15 minutes.
3. Add kale for 5 minutes; serve with parmesan.</t>
        </is>
      </c>
      <c r="AC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0% of this dish's available carbohydrate comes from ingredients with a published, measured GI; the rest uses conventional placeholders (see Ingredients sheet)</t>
        </is>
      </c>
      <c r="Z304" s="2" t="n">
        <v>0</v>
      </c>
      <c r="AA304" s="3" t="inlineStr">
        <is>
          <t>gluten-free, dairy-free, nut-free, low-carb, high-protein, make-ahead</t>
        </is>
      </c>
      <c r="AB304" s="3" t="inlineStr">
        <is>
          <t>1. Brown beef and onion in oil; add garlic and paprika.
2. Add tomatoes, sauce, broth and cabbage; simmer 25 minutes.
3. Add cauliflower rice for 5 minutes; finish with dill.</t>
        </is>
      </c>
      <c r="AC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29</v>
      </c>
      <c r="U305" s="2" t="inlineStr">
        <is>
          <t>low</t>
        </is>
      </c>
      <c r="V305" s="5" t="n">
        <v>6.1</v>
      </c>
      <c r="W305" s="2" t="inlineStr">
        <is>
          <t>low</t>
        </is>
      </c>
      <c r="X305" s="3" t="inlineStr"/>
      <c r="Y305" s="3" t="inlineStr">
        <is>
          <t>46% of this dish's available carbohydrate comes from ingredients with a published, measured GI; the rest uses conventional placeholders (see Ingredients sheet)</t>
        </is>
      </c>
      <c r="Z305" s="2" t="n">
        <v>46</v>
      </c>
      <c r="AA305" s="3" t="inlineStr">
        <is>
          <t>pescatarian, gluten-free, dairy-free, nut-free, high-protein, high-fiber</t>
        </is>
      </c>
      <c r="AB305" s="3" t="inlineStr">
        <is>
          <t>1. Sauté onion, pepper, garlic with paprika in oil 6 minutes; add wine.
2. Add tomatoes, broth, chickpeas, kale; simmer 12 minutes.
3. Add cod chunks; cook 6 minutes; finish with parsley.</t>
        </is>
      </c>
      <c r="AC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0% of this dish's available carbohydrate comes from ingredients with a published, measured GI; the rest uses conventional placeholders (see Ingredients sheet)</t>
        </is>
      </c>
      <c r="Z306" s="2" t="n">
        <v>0</v>
      </c>
      <c r="AA306" s="3" t="inlineStr">
        <is>
          <t>vegetarian, gluten-free, dairy-free, nut-free, low-carb, quick</t>
        </is>
      </c>
      <c r="AB306" s="3" t="inlineStr">
        <is>
          <t>1. Simmer broth with ginger, garlic and tamari.
2. Drizzle in egg whites while stirring.
3. Add spinach, sesame oil and green onion.</t>
        </is>
      </c>
      <c r="AC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36</v>
      </c>
      <c r="U307" s="2" t="inlineStr">
        <is>
          <t>low</t>
        </is>
      </c>
      <c r="V307" s="5" t="n">
        <v>7.6</v>
      </c>
      <c r="W307" s="2" t="inlineStr">
        <is>
          <t>low</t>
        </is>
      </c>
      <c r="X307" s="3" t="inlineStr"/>
      <c r="Y307" s="3" t="inlineStr">
        <is>
          <t>77% of this dish's available carbohydrate comes from ingredients with a published, measured GI; the rest uses conventional placeholders (see Ingredients sheet)</t>
        </is>
      </c>
      <c r="Z307" s="2" t="n">
        <v>77</v>
      </c>
      <c r="AA307" s="3" t="inlineStr">
        <is>
          <t>dairy-free, nut-free, make-ahead</t>
        </is>
      </c>
      <c r="AB307" s="3" t="inlineStr">
        <is>
          <t>1. Sauté onion, carrot, celery, mushrooms in oil 6 minutes; add garlic and thyme.
2. Add broth and chicken; simmer 25 minutes; shred chicken.
3. Stir in cooked barley; finish with parsley.</t>
        </is>
      </c>
      <c r="AC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21% of this dish's available carbohydrate comes from ingredients with a published, measured GI; the rest uses conventional placeholders (see Ingredients sheet)</t>
        </is>
      </c>
      <c r="Z308" s="2" t="n">
        <v>21</v>
      </c>
      <c r="AA308" s="3" t="inlineStr">
        <is>
          <t>gluten-free, dairy-free, nut-free, low-carb, high-protein, anti-inflammatory</t>
        </is>
      </c>
      <c r="AB308" s="3" t="inlineStr">
        <is>
          <t>1. Sauté onion, carrot, celery in oil with turmeric, ginger and garlic.
2. Add broth and chicken; simmer 20 minutes; shred.
3. Add cauliflower rice 5 minutes; finish with lemon, parsley, pepper.</t>
        </is>
      </c>
      <c r="AC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0% of this dish's available carbohydrate comes from ingredients with a published, measured GI; the rest uses conventional placeholders (see Ingredients sheet)</t>
        </is>
      </c>
      <c r="Z309" s="2" t="n">
        <v>0</v>
      </c>
      <c r="AA309" s="3" t="inlineStr">
        <is>
          <t>gluten-free, nut-free, low-carb</t>
        </is>
      </c>
      <c r="AB309" s="3" t="inlineStr">
        <is>
          <t>1. Brown sausage; add onion and garlic.
2. Add tomatoes, broth and zucchini; simmer 12 minutes.
3. Stir in spinach; serve with parmesan.</t>
        </is>
      </c>
      <c r="AC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0% of this dish's available carbohydrate comes from ingredients with a published, measured GI; the rest uses conventional placeholders (see Ingredients sheet)</t>
        </is>
      </c>
      <c r="Z310" s="2" t="n">
        <v>0</v>
      </c>
      <c r="AA310" s="3" t="inlineStr">
        <is>
          <t>vegetarian, dairy-free, nut-free, high-protein, high-fiber</t>
        </is>
      </c>
      <c r="AB310" s="3" t="inlineStr">
        <is>
          <t>1. Simmer broth with ginger, garlic, tamari and shiitake 8 minutes; add bok choy 2 minutes.
2. Rinse shirataki well and add to bowls with pan-seared tofu.
3. Whisk miso into broth off heat; pour over; top with halved eggs, green onion, sesame oil, nori.</t>
        </is>
      </c>
      <c r="AC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33</v>
      </c>
      <c r="U311" s="2" t="inlineStr">
        <is>
          <t>low</t>
        </is>
      </c>
      <c r="V311" s="5" t="n">
        <v>6.3</v>
      </c>
      <c r="W311" s="2" t="inlineStr">
        <is>
          <t>low</t>
        </is>
      </c>
      <c r="X311" s="3" t="inlineStr"/>
      <c r="Y311" s="3" t="inlineStr">
        <is>
          <t>66% of this dish's available carbohydrate comes from ingredients with a published, measured GI; the rest uses conventional placeholders (see Ingredients sheet)</t>
        </is>
      </c>
      <c r="Z311" s="2" t="n">
        <v>66</v>
      </c>
      <c r="AA311" s="3" t="inlineStr">
        <is>
          <t>gluten-free, dairy-free, nut-free, high-protein, high-fiber, make-ahead</t>
        </is>
      </c>
      <c r="AB311" s="3" t="inlineStr">
        <is>
          <t>1. Brown turkey with onion and pepper in oil; add garlic and spices.
2. Add pumpkin, tomatoes, beans, broth; simmer 30 minutes.
3. Season; serve with yogurt and pepitas.</t>
        </is>
      </c>
      <c r="AC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0% of this dish's available carbohydrate comes from ingredients with a published, measured GI; the rest uses conventional placeholders (see Ingredients sheet)</t>
        </is>
      </c>
      <c r="Z312" s="2" t="n">
        <v>0</v>
      </c>
      <c r="AA312" s="3" t="inlineStr">
        <is>
          <t>pescatarian, gluten-free, dairy-free, nut-free, low-carb, high-protein</t>
        </is>
      </c>
      <c r="AB312" s="3" t="inlineStr">
        <is>
          <t>1. Sauté fennel, leek and garlic in oil 6 minutes; add wine.
2. Add broth and tomatoes; simmer 10 minutes.
3. Add cod and shrimp 5 minutes; finish with parsley and lemon.</t>
        </is>
      </c>
      <c r="AC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70% of this dish's available carbohydrate comes from ingredients with a published, measured GI; the rest uses conventional placeholders (see Ingredients sheet)</t>
        </is>
      </c>
      <c r="Z313" s="2" t="n">
        <v>70</v>
      </c>
      <c r="AA313" s="3" t="inlineStr">
        <is>
          <t>gluten-free, dairy-free, nut-free, high-protein, meal-prep</t>
        </is>
      </c>
      <c r="AB313" s="3" t="inlineStr">
        <is>
          <t>1. Marinate chicken in lemon, oil, garlic, herbs, salt and pepper 15 minutes.
2. Grill 6–7 minutes per side until 165°F; rest 5 minutes.
3. Serve with steamed broccoli and quinoa.</t>
        </is>
      </c>
      <c r="AC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5% of this dish's available carbohydrate comes from ingredients with a published, measured GI; the rest uses conventional placeholders (see Ingredients sheet)</t>
        </is>
      </c>
      <c r="Z314" s="2" t="n">
        <v>5</v>
      </c>
      <c r="AA314" s="3" t="inlineStr">
        <is>
          <t>nut-free, high-protein, high-fiber, one-pan</t>
        </is>
      </c>
      <c r="AB314" s="3" t="inlineStr">
        <is>
          <t>1. Toss sliced chicken, peppers and onion with oil and spices on a sheet pan.
2. Roast at 425°F for 20 minutes, stirring once.
3. Squeeze lime over; serve in warm tortillas with yogurt and cilantro.</t>
        </is>
      </c>
      <c r="AC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24</v>
      </c>
      <c r="U315" s="2" t="inlineStr">
        <is>
          <t>low</t>
        </is>
      </c>
      <c r="V315" s="5" t="n">
        <v>3.2</v>
      </c>
      <c r="W315" s="2" t="inlineStr">
        <is>
          <t>low</t>
        </is>
      </c>
      <c r="X315" s="3" t="inlineStr"/>
      <c r="Y315" s="3" t="inlineStr">
        <is>
          <t>37% of this dish's available carbohydrate comes from ingredients with a published, measured GI; the rest uses conventional placeholders (see Ingredients sheet)</t>
        </is>
      </c>
      <c r="Z315" s="2" t="n">
        <v>37</v>
      </c>
      <c r="AA315" s="3" t="inlineStr">
        <is>
          <t>gluten-free, dairy-free, low-carb, high-protein, quick</t>
        </is>
      </c>
      <c r="AB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C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28% of this dish's available carbohydrate comes from ingredients with a published, measured GI; the rest uses conventional placeholders (see Ingredients sheet)</t>
        </is>
      </c>
      <c r="Z316" s="2" t="n">
        <v>28</v>
      </c>
      <c r="AA316" s="3" t="inlineStr">
        <is>
          <t>gluten-free, low-carb, high-protein</t>
        </is>
      </c>
      <c r="AB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C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28% of this dish's available carbohydrate comes from ingredients with a published, measured GI; the rest uses conventional placeholders (see Ingredients sheet)</t>
        </is>
      </c>
      <c r="Z317" s="2" t="n">
        <v>28</v>
      </c>
      <c r="AA317" s="3" t="inlineStr">
        <is>
          <t>gluten-free, nut-free, low-carb, high-protein</t>
        </is>
      </c>
      <c r="AB317" s="3" t="inlineStr">
        <is>
          <t>1. Marinate chicken cubes in lemon, oil, garlic, oregano and salt 20 minutes; thread onto skewers.
2. Grill 10–12 minutes, turning.
3. Mix yogurt with grated squeezed cucumber, dill and garlic for tzatziki; serve with tomatoes and onion.</t>
        </is>
      </c>
      <c r="AC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60% of this dish's available carbohydrate comes from ingredients with a published, measured GI; the rest uses conventional placeholders (see Ingredients sheet)</t>
        </is>
      </c>
      <c r="Z318" s="2" t="n">
        <v>60</v>
      </c>
      <c r="AA318" s="3" t="inlineStr">
        <is>
          <t>gluten-free, nut-free, high-protein, high-fiber, meal-prep, slow-cooker</t>
        </is>
      </c>
      <c r="AB318" s="3" t="inlineStr">
        <is>
          <t>1. Place chicken, salsa and spices in a slow cooker; cook on low 4 hours.
2. Shred chicken in the sauce; stir in beans.
3. Serve over romaine with avocado, cheddar and yogurt.</t>
        </is>
      </c>
      <c r="AC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0% of this dish's available carbohydrate comes from ingredients with a published, measured GI; the rest uses conventional placeholders (see Ingredients sheet)</t>
        </is>
      </c>
      <c r="Z319" s="2" t="n">
        <v>0</v>
      </c>
      <c r="AA319" s="3" t="inlineStr">
        <is>
          <t>gluten-free, dairy-free, nut-free, low-carb, high-protein, make-ahead</t>
        </is>
      </c>
      <c r="AB319" s="3" t="inlineStr">
        <is>
          <t>1. Brown chicken in oil; remove. Sauté onion, pepper, mushrooms 6 minutes; add garlic and herbs.
2. Deglaze with wine; add tomatoes, olives, capers; return chicken.
3. Simmer covered 30 minutes; serve with sautéed greens or cauliflower rice.</t>
        </is>
      </c>
      <c r="AC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40% of this dish's available carbohydrate comes from ingredients with a published, measured GI; the rest uses conventional placeholders (see Ingredients sheet)</t>
        </is>
      </c>
      <c r="Z320" s="2" t="n">
        <v>40</v>
      </c>
      <c r="AA320" s="3" t="inlineStr">
        <is>
          <t>gluten-free, low-carb, high-protein, meal-prep</t>
        </is>
      </c>
      <c r="AB320" s="3" t="inlineStr">
        <is>
          <t>1. Mix turkey, egg, parmesan, almond flour, garlic, parsley, seasoning and salt; form 16 meatballs.
2. Brown in oil, add marinara and simmer 15 minutes.
3. Serve over lightly sautéed zoodles.</t>
        </is>
      </c>
      <c r="AC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12% of this dish's available carbohydrate comes from ingredients with a published, measured GI; the rest uses conventional placeholders (see Ingredients sheet)</t>
        </is>
      </c>
      <c r="Z321" s="2" t="n">
        <v>12</v>
      </c>
      <c r="AA321" s="3" t="inlineStr">
        <is>
          <t>gluten-free, nut-free, high-protein</t>
        </is>
      </c>
      <c r="AB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C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63% of this dish's available carbohydrate comes from ingredients with a published, measured GI; the rest uses conventional placeholders (see Ingredients sheet)</t>
        </is>
      </c>
      <c r="Z322" s="2" t="n">
        <v>63</v>
      </c>
      <c r="AA322" s="3" t="inlineStr">
        <is>
          <t>gluten-free, nut-free, low-carb, high-protein, no-cook, quick</t>
        </is>
      </c>
      <c r="AB322" s="3" t="inlineStr">
        <is>
          <t>1. Toss shredded chicken with hot sauce and melted butter.
2. Mix yogurt and blue cheese.
3. Fill lettuce leaves with chicken, celery, carrot and blue cheese sauce.</t>
        </is>
      </c>
      <c r="AC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0% of this dish's available carbohydrate comes from ingredients with a published, measured GI; the rest uses conventional placeholders (see Ingredients sheet)</t>
        </is>
      </c>
      <c r="Z323" s="2" t="n">
        <v>0</v>
      </c>
      <c r="AA323" s="3" t="inlineStr">
        <is>
          <t>gluten-free, low-carb, high-protein</t>
        </is>
      </c>
      <c r="AB323" s="3" t="inlineStr">
        <is>
          <t>1. Pound chicken thin, season, dust with almond flour and sear in oil 4 minutes per side; remove.
2. Add garlic, broth, lemon and capers; simmer 3 minutes; whisk in butter.
3. Return chicken to coat; serve with steamed green beans and parsley.</t>
        </is>
      </c>
      <c r="AC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54</v>
      </c>
      <c r="U324" s="2" t="inlineStr">
        <is>
          <t>low</t>
        </is>
      </c>
      <c r="V324" s="5" t="n">
        <v>17.1</v>
      </c>
      <c r="W324" s="2" t="inlineStr">
        <is>
          <t>medium</t>
        </is>
      </c>
      <c r="X324" s="3" t="inlineStr"/>
      <c r="Y324" s="3" t="inlineStr">
        <is>
          <t>70% of this dish's available carbohydrate comes from ingredients with a published, measured GI; the rest uses conventional placeholders (see Ingredients sheet)</t>
        </is>
      </c>
      <c r="Z324" s="2" t="n">
        <v>70</v>
      </c>
      <c r="AA324" s="3" t="inlineStr">
        <is>
          <t>gluten-free, dairy-free, nut-free, high-protein</t>
        </is>
      </c>
      <c r="AB324" s="3" t="inlineStr">
        <is>
          <t>1. Fry curry paste in oil 1 minute; add chicken and brown 5 minutes.
2. Add coconut milk, broth and vegetables; simmer 15 minutes.
3. Season with fish sauce and lime; top with basil; serve with a small portion of brown rice.</t>
        </is>
      </c>
      <c r="AC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31% of this dish's available carbohydrate comes from ingredients with a published, measured GI; the rest uses conventional placeholders (see Ingredients sheet)</t>
        </is>
      </c>
      <c r="Z325" s="2" t="n">
        <v>31</v>
      </c>
      <c r="AA325" s="3" t="inlineStr">
        <is>
          <t>gluten-free, dairy-free, nut-free, low-carb, high-protein, make-ahead</t>
        </is>
      </c>
      <c r="AB325" s="3" t="inlineStr">
        <is>
          <t>1. Preheat oven to 425°F. Rub chicken with oil, herbs, salt; stuff with lemon and garlic.
2. Roast on a bed of carrots and onion 60 minutes; add sprouts for the last 25 minutes.
3. Rest 10 minutes; carve, removing most skin, and serve with the vegetables.</t>
        </is>
      </c>
      <c r="AC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7% of this dish's available carbohydrate comes from ingredients with a published, measured GI; the rest uses conventional placeholders (see Ingredients sheet)</t>
        </is>
      </c>
      <c r="Z326" s="2" t="n">
        <v>7</v>
      </c>
      <c r="AA326" s="3" t="inlineStr">
        <is>
          <t>gluten-free, nut-free, low-carb, high-protein, meal-prep</t>
        </is>
      </c>
      <c r="AB326" s="3" t="inlineStr">
        <is>
          <t>1. Marinate chicken in spices, garlic, lemon, oil 15 minutes; roast at 425°F 20 minutes; slice.
2. Sauté cauliflower rice; whisk tahini with yogurt, lemon and water.
3. Bowl cauliflower rice, chicken, cucumber, tomato, sauce and parsley.</t>
        </is>
      </c>
      <c r="AC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0% of this dish's available carbohydrate comes from ingredients with a published, measured GI; the rest uses conventional placeholders (see Ingredients sheet)</t>
        </is>
      </c>
      <c r="Z327" s="2" t="n">
        <v>0</v>
      </c>
      <c r="AA327" s="3" t="inlineStr">
        <is>
          <t>gluten-free, dairy-free, nut-free, low-carb, high-protein</t>
        </is>
      </c>
      <c r="AB327" s="3" t="inlineStr">
        <is>
          <t>1. Mix turkey with grated onion, garlic, Dijon, egg and salt; form 4 patties.
2. Grill or pan-sear in oil 6–7 minutes per side to 165°F.
3. Serve in lettuce leaves with avocado, tomato and red onion.</t>
        </is>
      </c>
      <c r="AC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0% of this dish's available carbohydrate comes from ingredients with a published, measured GI; the rest uses conventional placeholders (see Ingredients sheet)</t>
        </is>
      </c>
      <c r="Z328" s="2" t="n">
        <v>0</v>
      </c>
      <c r="AA328" s="3" t="inlineStr">
        <is>
          <t>gluten-free, nut-free, low-carb, high-protein</t>
        </is>
      </c>
      <c r="AB328" s="3" t="inlineStr">
        <is>
          <t>1. Pound chicken, season, sear in oil 4 minutes per side; remove.
2. Sauté mushrooms and shallot 6 minutes; add garlic, wine, broth, thyme; reduce by half; swirl in butter.
3. Return chicken 3 minutes; serve with roasted asparagus and parsley.</t>
        </is>
      </c>
      <c r="AC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0% of this dish's available carbohydrate comes from ingredients with a published, measured GI; the rest uses conventional placeholders (see Ingredients sheet)</t>
        </is>
      </c>
      <c r="Z329" s="2" t="n">
        <v>0</v>
      </c>
      <c r="AA329" s="3" t="inlineStr">
        <is>
          <t>gluten-free, low-carb, high-protein</t>
        </is>
      </c>
      <c r="AB329" s="3" t="inlineStr">
        <is>
          <t>1. Halve and seed peppers; roast cut-side down at 400°F 10 minutes.
2. Mix chicken, pesto, cauliflower rice, chopped tomato, spinach and half the mozzarella.
3. Fill peppers, top with remaining cheese; bake 20 minutes.</t>
        </is>
      </c>
      <c r="AC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57</v>
      </c>
      <c r="U330" s="2" t="inlineStr">
        <is>
          <t>medium</t>
        </is>
      </c>
      <c r="V330" s="5" t="n">
        <v>17.7</v>
      </c>
      <c r="W330" s="2" t="inlineStr">
        <is>
          <t>medium</t>
        </is>
      </c>
      <c r="X330" s="3" t="inlineStr">
        <is>
          <t>Medium-GI dish: keep to the stated portion and pair with the protein/fat in the recipe; GL per serving is the better guide.</t>
        </is>
      </c>
      <c r="Y330" s="3" t="inlineStr">
        <is>
          <t>81% of this dish's available carbohydrate comes from ingredients with a published, measured GI; the rest uses conventional placeholders (see Ingredients sheet)</t>
        </is>
      </c>
      <c r="Z330" s="2" t="n">
        <v>81</v>
      </c>
      <c r="AA330" s="3" t="inlineStr">
        <is>
          <t>gluten-free, dairy-free, nut-free, high-protein</t>
        </is>
      </c>
      <c r="AB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C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31% of this dish's available carbohydrate comes from ingredients with a published, measured GI; the rest uses conventional placeholders (see Ingredients sheet)</t>
        </is>
      </c>
      <c r="Z331" s="2" t="n">
        <v>31</v>
      </c>
      <c r="AA331" s="3" t="inlineStr">
        <is>
          <t>nut-free, high-protein, high-fiber</t>
        </is>
      </c>
      <c r="AB331" s="3" t="inlineStr">
        <is>
          <t>1. Mix chicken, beans, chiles, onion, half the cheese and a third of the sauce.
2. Fill and roll tortillas; place seam-side down in a baking dish; pour over remaining sauce and cheese.
3. Bake at 375°F 20 minutes; serve with yogurt and cilantro.</t>
        </is>
      </c>
      <c r="AC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0% of this dish's available carbohydrate comes from ingredients with a published, measured GI; the rest uses conventional placeholders (see Ingredients sheet)</t>
        </is>
      </c>
      <c r="Z332" s="2" t="n">
        <v>0</v>
      </c>
      <c r="AA332" s="3" t="inlineStr">
        <is>
          <t>gluten-free, dairy-free, nut-free, low-carb, high-protein</t>
        </is>
      </c>
      <c r="AB332" s="3" t="inlineStr">
        <is>
          <t>1. Remove backbone and flatten chicken; rub with oil, lemon zest, pepper, garlic, thyme and salt.
2. Roast at 450°F 40–45 minutes to 165°F; add green beans and tomatoes to the pan for the last 15 minutes.
3. Rest, carve and serve, removing skin.</t>
        </is>
      </c>
      <c r="AC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0% of this dish's available carbohydrate comes from ingredients with a published, measured GI; the rest uses conventional placeholders (see Ingredients sheet)</t>
        </is>
      </c>
      <c r="Z333" s="2" t="n">
        <v>0</v>
      </c>
      <c r="AA333" s="3" t="inlineStr">
        <is>
          <t>gluten-free, dairy-free, nut-free, low-carb, high-protein, quick</t>
        </is>
      </c>
      <c r="AB333" s="3" t="inlineStr">
        <is>
          <t>1. Brown chicken in avocado oil; add garlic, ginger, mushrooms, water chestnuts 4 minutes.
2. Add tamari, vinegar, sesame oil, sriracha; cook 2 minutes; stir in green onion.
3. Spoon into lettuce cups.</t>
        </is>
      </c>
      <c r="AC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0% of this dish's available carbohydrate comes from ingredients with a published, measured GI; the rest uses conventional placeholders (see Ingredients sheet)</t>
        </is>
      </c>
      <c r="Z334" s="2" t="n">
        <v>0</v>
      </c>
      <c r="AA334" s="3" t="inlineStr">
        <is>
          <t>gluten-free, dairy-free, nut-free, low-carb, high-protein</t>
        </is>
      </c>
      <c r="AB334" s="3" t="inlineStr">
        <is>
          <t>1. Sear seasoned chicken in oil 4 minutes per side.
2. Add coconut milk, lime juice, garlic, ginger, jalapeño; simmer covered 15 minutes.
3. Stir in spinach; serve over cauliflower rice with cilantro and lime zest.</t>
        </is>
      </c>
      <c r="AC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0% of this dish's available carbohydrate comes from ingredients with a published, measured GI; the rest uses conventional placeholders (see Ingredients sheet)</t>
        </is>
      </c>
      <c r="Z335" s="2" t="n">
        <v>0</v>
      </c>
      <c r="AA335" s="3" t="inlineStr">
        <is>
          <t>gluten-free, nut-free, low-carb, high-protein, meal-prep</t>
        </is>
      </c>
      <c r="AB335" s="3" t="inlineStr">
        <is>
          <t>1. Grill chicken and slice; boil eggs; crisp bacon.
2. Divide romaine, tomatoes, chicken, eggs, bacon and blue cheese into 4 containers.
3. Pack dressing (oil, vinegar, Dijon) and avocado separately; add before eating.</t>
        </is>
      </c>
      <c r="AC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23% of this dish's available carbohydrate comes from ingredients with a published, measured GI; the rest uses conventional placeholders (see Ingredients sheet)</t>
        </is>
      </c>
      <c r="Z336" s="2" t="n">
        <v>23</v>
      </c>
      <c r="AA336" s="3" t="inlineStr">
        <is>
          <t>gluten-free, nut-free, low-carb, high-protein</t>
        </is>
      </c>
      <c r="AB336" s="3" t="inlineStr">
        <is>
          <t>1. Halve zucchini lengthwise, scoop out centers and chop the flesh.
2. Brown turkey with onion, garlic, zucchini flesh and seasoning; stir in marinara.
3. Fill boats, top with cheeses; bake at 400°F 20 minutes.</t>
        </is>
      </c>
      <c r="AC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0% of this dish's available carbohydrate comes from ingredients with a published, measured GI; the rest uses conventional placeholders (see Ingredients sheet)</t>
        </is>
      </c>
      <c r="Z337" s="2" t="n">
        <v>0</v>
      </c>
      <c r="AA337" s="3" t="inlineStr">
        <is>
          <t>gluten-free, dairy-free, nut-free, low-carb, high-protein</t>
        </is>
      </c>
      <c r="AB337" s="3" t="inlineStr">
        <is>
          <t>1. Brown chicken in oil; add onion and garlic.
2. Add tamari, vinegar, bay leaves and pepper with 150 ml water; simmer covered 35 minutes, uncovered the last 10 to reduce.
3. Serve with sautéed bok choy and cauliflower rice.</t>
        </is>
      </c>
      <c r="AC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13% of this dish's available carbohydrate comes from ingredients with a published, measured GI; the rest uses conventional placeholders (see Ingredients sheet)</t>
        </is>
      </c>
      <c r="Z338" s="2" t="n">
        <v>13</v>
      </c>
      <c r="AA338" s="3" t="inlineStr">
        <is>
          <t>gluten-free, low-carb, high-protein, kid-friendly</t>
        </is>
      </c>
      <c r="AB338" s="3" t="inlineStr">
        <is>
          <t>1. Cut chicken into strips; dip in egg then almond flour-parmesan-spice mix.
2. Bake on an oiled rack at 425°F 18 minutes, flipping once.
3. Mix yogurt and Dijon for dipping; serve with roasted broccoli.</t>
        </is>
      </c>
      <c r="AC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5% of this dish's available carbohydrate comes from ingredients with a published, measured GI; the rest uses conventional placeholders (see Ingredients sheet)</t>
        </is>
      </c>
      <c r="Z339" s="2" t="n">
        <v>5</v>
      </c>
      <c r="AA339" s="3" t="inlineStr">
        <is>
          <t>gluten-free, nut-free, high-protein, high-fiber</t>
        </is>
      </c>
      <c r="AB339" s="3" t="inlineStr">
        <is>
          <t>1. Simmer cauliflower with garlic in broth 12 minutes; blend with milk, parmesan, nutmeg and salt into a creamy sauce.
2. Sear chicken pieces in oil; steam broccoli; cook pasta al dente.
3. Toss everything with the sauce.</t>
        </is>
      </c>
      <c r="AC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25% of this dish's available carbohydrate comes from ingredients with a published, measured GI; the rest uses conventional placeholders (see Ingredients sheet)</t>
        </is>
      </c>
      <c r="Z340" s="2" t="n">
        <v>25</v>
      </c>
      <c r="AA340" s="3" t="inlineStr">
        <is>
          <t>gluten-free, nut-free, low-carb, high-protein</t>
        </is>
      </c>
      <c r="AB340" s="3" t="inlineStr">
        <is>
          <t>1. Blend jalapeño, green onion, garlic, ginger, spices, tamari, half the lime, oil into a paste; coat chicken 15 minutes.
2. Grill or roast at 425°F 22 minutes.
3. Toss cabbage and carrot with yogurt, remaining lime and salt.</t>
        </is>
      </c>
      <c r="AC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0% of this dish's available carbohydrate comes from ingredients with a published, measured GI; the rest uses conventional placeholders (see Ingredients sheet)</t>
        </is>
      </c>
      <c r="Z341" s="2" t="n">
        <v>0</v>
      </c>
      <c r="AA341" s="3" t="inlineStr">
        <is>
          <t>gluten-free, dairy-free, nut-free, low-carb, high-protein, meal-prep</t>
        </is>
      </c>
      <c r="AB341" s="3" t="inlineStr">
        <is>
          <t>1. Grate zucchini and squeeze dry; mix with chicken, green onion, cilantro, garlic, cumin and salt.
2. Form small balls and bake on an oiled sheet at 400°F 18 minutes.
3. Serve with guacamole.</t>
        </is>
      </c>
      <c r="AC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76% of this dish's available carbohydrate comes from ingredients with a published, measured GI; the rest uses conventional placeholders (see Ingredients sheet)</t>
        </is>
      </c>
      <c r="Z342" s="2" t="n">
        <v>76</v>
      </c>
      <c r="AA342" s="3" t="inlineStr">
        <is>
          <t>nut-free, high-protein</t>
        </is>
      </c>
      <c r="AB342" s="3" t="inlineStr">
        <is>
          <t>1. Marinate chicken cubes in lemon, oil, garlic, oregano, salt; skewer and grill 10–12 minutes.
2. Make tzatziki with yogurt, grated cucumber and dill.
3. Serve with tomato, onion and warm pita halves.</t>
        </is>
      </c>
      <c r="AC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47% of this dish's available carbohydrate comes from ingredients with a published, measured GI; the rest uses conventional placeholders (see Ingredients sheet)</t>
        </is>
      </c>
      <c r="Z343" s="2" t="n">
        <v>47</v>
      </c>
      <c r="AA343" s="3" t="inlineStr">
        <is>
          <t>gluten-free, nut-free, high-protein, high-fiber, one-pan</t>
        </is>
      </c>
      <c r="AB343" s="3" t="inlineStr">
        <is>
          <t>1. Brown turkey with onion and pepper in oil; add seasoning.
2. Add beans, tomatoes and cauliflower rice; simmer 8 minutes.
3. Top with cheddar, cover to melt; serve with avocado, yogurt and cilantro.</t>
        </is>
      </c>
      <c r="AC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0% of this dish's available carbohydrate comes from ingredients with a published, measured GI; the rest uses conventional placeholders (see Ingredients sheet)</t>
        </is>
      </c>
      <c r="Z344" s="2" t="n">
        <v>0</v>
      </c>
      <c r="AA344" s="3" t="inlineStr">
        <is>
          <t>gluten-free, nut-free, low-carb, high-protein, one-pan</t>
        </is>
      </c>
      <c r="AB344" s="3" t="inlineStr">
        <is>
          <t>1. Sear seasoned chicken in oil 5 minutes per side; remove.
2. Sauté garlic and tomatoes until they burst; add balsamic and spinach.
3. Return chicken, top with mozzarella; cover 2 minutes; scatter basil.</t>
        </is>
      </c>
      <c r="AC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33</v>
      </c>
      <c r="U345" s="2" t="inlineStr">
        <is>
          <t>low</t>
        </is>
      </c>
      <c r="V345" s="5" t="n">
        <v>7.7</v>
      </c>
      <c r="W345" s="2" t="inlineStr">
        <is>
          <t>low</t>
        </is>
      </c>
      <c r="X345" s="3" t="inlineStr"/>
      <c r="Y345" s="3" t="inlineStr">
        <is>
          <t>67% of this dish's available carbohydrate comes from ingredients with a published, measured GI; the rest uses conventional placeholders (see Ingredients sheet)</t>
        </is>
      </c>
      <c r="Z345" s="2" t="n">
        <v>67</v>
      </c>
      <c r="AA345" s="3" t="inlineStr">
        <is>
          <t>gluten-free, dairy-free, nut-free, high-protein, high-fiber, make-ahead</t>
        </is>
      </c>
      <c r="AB345" s="3" t="inlineStr">
        <is>
          <t>1. Brown chicken in oil; remove. Sauté onion, garlic, ginger and spices 5 minutes.
2. Add tomatoes, broth, chickpeas, olives, lemon; return chicken; simmer covered 30 minutes.
3. Garnish with cilantro; serve with cauliflower couscous.</t>
        </is>
      </c>
      <c r="AC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0% of this dish's available carbohydrate comes from ingredients with a published, measured GI; the rest uses conventional placeholders (see Ingredients sheet)</t>
        </is>
      </c>
      <c r="Z346" s="2" t="n">
        <v>0</v>
      </c>
      <c r="AA346" s="3" t="inlineStr">
        <is>
          <t>gluten-free, dairy-free, nut-free, low-carb, high-protein, quick</t>
        </is>
      </c>
      <c r="AB346" s="3" t="inlineStr">
        <is>
          <t>1. Rub chicken with spices, salt and half the oil; air fry at 400°F 18 minutes, flipping once.
2. Toss vegetables with remaining oil; roast at 425°F 20 minutes.
3. Serve together.</t>
        </is>
      </c>
      <c r="AC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8% of this dish's available carbohydrate comes from ingredients with a published, measured GI; the rest uses conventional placeholders (see Ingredients sheet)</t>
        </is>
      </c>
      <c r="Z347" s="2" t="n">
        <v>8</v>
      </c>
      <c r="AA347" s="3" t="inlineStr">
        <is>
          <t>gluten-free, dairy-free, low-carb, high-protein</t>
        </is>
      </c>
      <c r="AB347" s="3" t="inlineStr">
        <is>
          <t>1. Whisk fish sauce, lime, tamari, sweetener.
2. Stir-fry chicken in oil with garlic; push aside and scramble eggs.
3. Add zoodles, sauce, sprouts and green onion; toss 2 minutes; top with peanuts, cilantro.</t>
        </is>
      </c>
      <c r="AC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39% of this dish's available carbohydrate comes from ingredients with a published, measured GI; the rest uses conventional placeholders (see Ingredients sheet)</t>
        </is>
      </c>
      <c r="Z348" s="2" t="n">
        <v>39</v>
      </c>
      <c r="AA348" s="3" t="inlineStr">
        <is>
          <t>gluten-free, dairy-free, nut-free, low-carb, high-protein, one-pan</t>
        </is>
      </c>
      <c r="AB348" s="3" t="inlineStr">
        <is>
          <t>1. Rub chicken with rosemary, garlic, lemon zest, oil and salt.
2. Roast at 425°F with cauliflower and carrot 40–45 minutes.
3. Squeeze lemon over before serving.</t>
        </is>
      </c>
      <c r="AC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25</v>
      </c>
      <c r="U349" s="2" t="inlineStr">
        <is>
          <t>low</t>
        </is>
      </c>
      <c r="V349" s="5" t="n">
        <v>2.5</v>
      </c>
      <c r="W349" s="2" t="inlineStr">
        <is>
          <t>low</t>
        </is>
      </c>
      <c r="X349" s="3" t="inlineStr"/>
      <c r="Y349" s="3" t="inlineStr">
        <is>
          <t>38% of this dish's available carbohydrate comes from ingredients with a published, measured GI; the rest uses conventional placeholders (see Ingredients sheet)</t>
        </is>
      </c>
      <c r="Z349" s="2" t="n">
        <v>38</v>
      </c>
      <c r="AA349" s="3" t="inlineStr">
        <is>
          <t>gluten-free, dairy-free, nut-free, low-carb, high-protein, quick</t>
        </is>
      </c>
      <c r="AB349" s="3" t="inlineStr">
        <is>
          <t>1. Stir-fry diced chicken in avocado oil; remove.
2. Scramble eggs; add carrot, garlic, ginger, cauliflower rice; stir-fry 5 minutes.
3. Add peas, chicken, tamari and sesame oil; finish with green onion.</t>
        </is>
      </c>
      <c r="AC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36</v>
      </c>
      <c r="U350" s="2" t="inlineStr">
        <is>
          <t>low</t>
        </is>
      </c>
      <c r="V350" s="5" t="n">
        <v>6.9</v>
      </c>
      <c r="W350" s="2" t="inlineStr">
        <is>
          <t>low</t>
        </is>
      </c>
      <c r="X350" s="3" t="inlineStr"/>
      <c r="Y350" s="3" t="inlineStr">
        <is>
          <t>56% of this dish's available carbohydrate comes from ingredients with a published, measured GI; the rest uses conventional placeholders (see Ingredients sheet)</t>
        </is>
      </c>
      <c r="Z350" s="2" t="n">
        <v>56</v>
      </c>
      <c r="AA350" s="3" t="inlineStr">
        <is>
          <t>dairy-free, nut-free, high-protein</t>
        </is>
      </c>
      <c r="AB350" s="3" t="inlineStr">
        <is>
          <t>1. Brown turkey with onion and pepper in oil; add garlic.
2. Add tomato sauce, paste, vinegar, Dijon, paprika and sweetener; simmer 10 minutes.
3. Serve on toasted English muffin halves or in lettuce cups.</t>
        </is>
      </c>
      <c r="AC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19% of this dish's available carbohydrate comes from ingredients with a published, measured GI; the rest uses conventional placeholders (see Ingredients sheet)</t>
        </is>
      </c>
      <c r="Z351" s="2" t="n">
        <v>19</v>
      </c>
      <c r="AA351" s="3" t="inlineStr">
        <is>
          <t>gluten-free, nut-free, low-carb, high-protein</t>
        </is>
      </c>
      <c r="AB351" s="3" t="inlineStr">
        <is>
          <t>1. Sear chicken in oil 5 minutes per side; remove.
2. Sauté garlic and sun-dried tomatoes; add broth, cream cheese, milk and parmesan; whisk smooth.
3. Wilt spinach in the sauce, return chicken; simmer 5 minutes.</t>
        </is>
      </c>
      <c r="AC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45</v>
      </c>
      <c r="U352" s="2" t="inlineStr">
        <is>
          <t>low</t>
        </is>
      </c>
      <c r="V352" s="5" t="n">
        <v>15.9</v>
      </c>
      <c r="W352" s="2" t="inlineStr">
        <is>
          <t>medium</t>
        </is>
      </c>
      <c r="X352" s="3" t="inlineStr"/>
      <c r="Y352" s="3" t="inlineStr">
        <is>
          <t>81% of this dish's available carbohydrate comes from ingredients with a published, measured GI; the rest uses conventional placeholders (see Ingredients sheet)</t>
        </is>
      </c>
      <c r="Z352" s="2" t="n">
        <v>81</v>
      </c>
      <c r="AA352" s="3" t="inlineStr">
        <is>
          <t>gluten-free, nut-free, high-protein, high-fiber, meal-prep</t>
        </is>
      </c>
      <c r="AB352" s="3" t="inlineStr">
        <is>
          <t>1. Season chicken with chili powder, cumin, lime; grill and slice.
2. Mix brown rice and cauliflower rice for a half-carb base.
3. Bowl rice, beans, chicken, pico, romaine, avocado, cheddar and yogurt.</t>
        </is>
      </c>
      <c r="AC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0% of this dish's available carbohydrate comes from ingredients with a published, measured GI; the rest uses conventional placeholders (see Ingredients sheet)</t>
        </is>
      </c>
      <c r="Z353" s="2" t="n">
        <v>0</v>
      </c>
      <c r="AA353" s="3" t="inlineStr">
        <is>
          <t>gluten-free, dairy-free, nut-free, low-carb, high-protein</t>
        </is>
      </c>
      <c r="AB353" s="3" t="inlineStr">
        <is>
          <t>1. Blend garlic, ginger, vinegar and spices; marinate chicken 15 minutes.
2. Sauté onion in oil until golden; add chicken and marinade; cook 5 minutes.
3. Add tomatoes and cauliflower; simmer covered 25 minutes; top with cilantro.</t>
        </is>
      </c>
      <c r="AC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0% of this dish's available carbohydrate comes from ingredients with a published, measured GI; the rest uses conventional placeholders (see Ingredients sheet)</t>
        </is>
      </c>
      <c r="Z354" s="2" t="n">
        <v>0</v>
      </c>
      <c r="AA354" s="3" t="inlineStr">
        <is>
          <t>gluten-free, low-carb, high-protein</t>
        </is>
      </c>
      <c r="AB354" s="3" t="inlineStr">
        <is>
          <t>1. Butterfly chicken, spread Dijon, layer ham and Swiss; roll and secure.
2. Sprinkle with almond flour-parmesan; bake at 400°F 25–28 minutes.
3. Serve with roasted asparagus.</t>
        </is>
      </c>
      <c r="AC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0% of this dish's available carbohydrate comes from ingredients with a published, measured GI; the rest uses conventional placeholders (see Ingredients sheet)</t>
        </is>
      </c>
      <c r="Z355" s="2" t="n">
        <v>0</v>
      </c>
      <c r="AA355" s="3" t="inlineStr">
        <is>
          <t>gluten-free, low-carb, high-protein, make-ahead</t>
        </is>
      </c>
      <c r="AB355" s="3" t="inlineStr">
        <is>
          <t>1. Mix turkey, grated squeezed zucchini, onion, eggs, almond flour, garlic, parmesan, seasoning, salt.
2. Shape into a loaf; spread with tomato paste mixed with Dijon.
3. Bake at 375°F 50–55 minutes to 165°F; rest 10 minutes.</t>
        </is>
      </c>
      <c r="AC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0% of this dish's available carbohydrate comes from ingredients with a published, measured GI; the rest uses conventional placeholders (see Ingredients sheet)</t>
        </is>
      </c>
      <c r="Z356" s="2" t="n">
        <v>0</v>
      </c>
      <c r="AA356" s="3" t="inlineStr">
        <is>
          <t>gluten-free, dairy-free, low-carb, high-protein</t>
        </is>
      </c>
      <c r="AB356" s="3" t="inlineStr">
        <is>
          <t>1. Marinate chicken strips in coconut milk, curry powder, turmeric, garlic and half the tamari 20 minutes; skewer.
2. Grill 4–5 minutes per side.
3. Whisk peanut butter, remaining tamari, lime, sriracha and warm water; serve with cucumber.</t>
        </is>
      </c>
      <c r="AC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69% of this dish's available carbohydrate comes from ingredients with a published, measured GI; the rest uses conventional placeholders (see Ingredients sheet)</t>
        </is>
      </c>
      <c r="Z357" s="2" t="n">
        <v>69</v>
      </c>
      <c r="AA357" s="3" t="inlineStr">
        <is>
          <t>gluten-free, nut-free, high-protein, high-fiber, one-pan</t>
        </is>
      </c>
      <c r="AB357" s="3" t="inlineStr">
        <is>
          <t>1. Brown sausage slices in oil; add onion and garlic.
2. Add kale and broth; cook until wilted.
3. Stir in beans, pepper flakes, lemon; top with parmesan.</t>
        </is>
      </c>
      <c r="AC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3% of this dish's available carbohydrate comes from ingredients with a published, measured GI; the rest uses conventional placeholders (see Ingredients sheet)</t>
        </is>
      </c>
      <c r="Z358" s="2" t="n">
        <v>3</v>
      </c>
      <c r="AA358" s="3" t="inlineStr">
        <is>
          <t>nut-free, high-protein, high-fiber</t>
        </is>
      </c>
      <c r="AB358" s="3" t="inlineStr">
        <is>
          <t>1. Poach chicken and shred. Blend tomatoes, chipotle, sautéed onion and garlic; simmer with chicken 10 minutes.
2. Bake tortillas at 400°F 8 minutes until crisp.
3. Top with beans, tinga, lettuce, cotija, avocado and yogurt.</t>
        </is>
      </c>
      <c r="AC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11% of this dish's available carbohydrate comes from ingredients with a published, measured GI; the rest uses conventional placeholders (see Ingredients sheet)</t>
        </is>
      </c>
      <c r="Z359" s="2" t="n">
        <v>11</v>
      </c>
      <c r="AA359" s="3" t="inlineStr">
        <is>
          <t>gluten-free, nut-free, low-carb, high-protein</t>
        </is>
      </c>
      <c r="AB359" s="3" t="inlineStr">
        <is>
          <t>1. Sear chicken in oil; remove. Sauté mushrooms, shallot, garlic and thyme 6 minutes.
2. Add broth; reduce; stir in yogurt and Dijon off the heat.
3. Return chicken; serve with green beans.</t>
        </is>
      </c>
      <c r="AC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18% of this dish's available carbohydrate comes from ingredients with a published, measured GI; the rest uses conventional placeholders (see Ingredients sheet)</t>
        </is>
      </c>
      <c r="Z360" s="2" t="n">
        <v>18</v>
      </c>
      <c r="AA360" s="3" t="inlineStr">
        <is>
          <t>gluten-free, low-carb, high-protein, meal-prep</t>
        </is>
      </c>
      <c r="AB360" s="3" t="inlineStr">
        <is>
          <t>1. Mix turkey, feta, onion, garlic, oregano, mint, egg, almond flour, salt; form 16 meatballs.
2. Bake at 400°F 18 minutes.
3. Serve with cucumber-tomato salad and yogurt-dill sauce.</t>
        </is>
      </c>
      <c r="AC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0% of this dish's available carbohydrate comes from ingredients with a published, measured GI; the rest uses conventional placeholders (see Ingredients sheet)</t>
        </is>
      </c>
      <c r="Z361" s="2" t="n">
        <v>0</v>
      </c>
      <c r="AA361" s="3" t="inlineStr">
        <is>
          <t>gluten-free, nut-free, low-carb, high-protein, one-pan</t>
        </is>
      </c>
      <c r="AB361" s="3" t="inlineStr">
        <is>
          <t>1. Toss chicken and vegetables with oil, garlic, seasoning, salt; arrange on a sheet pan with lemon slices.
2. Roast at 425°F 22 minutes.
3. Sprinkle with parmesan.</t>
        </is>
      </c>
      <c r="AC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19% of this dish's available carbohydrate comes from ingredients with a published, measured GI; the rest uses conventional placeholders (see Ingredients sheet)</t>
        </is>
      </c>
      <c r="Z362" s="2" t="n">
        <v>19</v>
      </c>
      <c r="AA362" s="3" t="inlineStr">
        <is>
          <t>gluten-free, nut-free, low-carb, high-protein</t>
        </is>
      </c>
      <c r="AB362" s="3" t="inlineStr">
        <is>
          <t>1. Brush caps with oil; roast 8 minutes.
2. Brown turkey with onion, garlic, seasoning; add spinach and marinara.
3. Fill caps, top with mozzarella; bake at 400°F 12 minutes.</t>
        </is>
      </c>
      <c r="AC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10% of this dish's available carbohydrate comes from ingredients with a published, measured GI; the rest uses conventional placeholders (see Ingredients sheet)</t>
        </is>
      </c>
      <c r="Z363" s="2" t="n">
        <v>10</v>
      </c>
      <c r="AA363" s="3" t="inlineStr">
        <is>
          <t>gluten-free, nut-free, high-protein</t>
        </is>
      </c>
      <c r="AB363" s="3" t="inlineStr">
        <is>
          <t>1. Marinate chicken in half the yogurt and spices; broil 8 minutes.
2. Cook onion, ginger, garlic in butter; add tomatoes and simmer 10 minutes; blend.
3. Add coconut milk, remaining yogurt and chicken; simmer 8 minutes; serve over cauliflower rice.</t>
        </is>
      </c>
      <c r="AC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19% of this dish's available carbohydrate comes from ingredients with a published, measured GI; the rest uses conventional placeholders (see Ingredients sheet)</t>
        </is>
      </c>
      <c r="Z364" s="2" t="n">
        <v>19</v>
      </c>
      <c r="AA364" s="3" t="inlineStr">
        <is>
          <t>gluten-free, low-carb, high-protein, make-ahead</t>
        </is>
      </c>
      <c r="AB364" s="3" t="inlineStr">
        <is>
          <t>1. Slice zucchini lengthwise; salt and blot dry 15 minutes; grill briefly.
2. Brown chicken; mix with marinara. Mix ricotta, egg, pesto, spinach.
3. Layer zucchini, ricotta and chicken sauce; top with mozzarella and parmesan; bake at 375°F 40 minutes.</t>
        </is>
      </c>
      <c r="AC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0% of this dish's available carbohydrate comes from ingredients with a published, measured GI; the rest uses conventional placeholders (see Ingredients sheet)</t>
        </is>
      </c>
      <c r="Z365" s="2" t="n">
        <v>0</v>
      </c>
      <c r="AA365" s="3" t="inlineStr">
        <is>
          <t>gluten-free, dairy-free, nut-free, low-carb, high-protein</t>
        </is>
      </c>
      <c r="AB365" s="3" t="inlineStr">
        <is>
          <t>1. Whisk mustards, vinegar, garlic, sweetener, oil and thyme.
2. Coat chicken and roast at 425°F 25–28 minutes, basting once.
3. Serve with green beans.</t>
        </is>
      </c>
      <c r="AC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22</v>
      </c>
      <c r="U366" s="2" t="inlineStr">
        <is>
          <t>low</t>
        </is>
      </c>
      <c r="V366" s="5" t="n">
        <v>3.4</v>
      </c>
      <c r="W366" s="2" t="inlineStr">
        <is>
          <t>low</t>
        </is>
      </c>
      <c r="X366" s="3" t="inlineStr"/>
      <c r="Y366" s="3" t="inlineStr">
        <is>
          <t>33% of this dish's available carbohydrate comes from ingredients with a published, measured GI; the rest uses conventional placeholders (see Ingredients sheet)</t>
        </is>
      </c>
      <c r="Z366" s="2" t="n">
        <v>33</v>
      </c>
      <c r="AA366" s="3" t="inlineStr">
        <is>
          <t>gluten-free, dairy-free, high-protein</t>
        </is>
      </c>
      <c r="AB366" s="3" t="inlineStr">
        <is>
          <t>1. Toss chicken with arrowroot; stir-fry in avocado oil; remove.
2. Stir-fry vegetables, garlic, ginger 4 minutes; add tamari, vinegar, sesame oil.
3. Return chicken with cashews; serve over cauliflower rice.</t>
        </is>
      </c>
      <c r="AC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50% of this dish's available carbohydrate comes from ingredients with a published, measured GI; the rest uses conventional placeholders (see Ingredients sheet)</t>
        </is>
      </c>
      <c r="Z367" s="2" t="n">
        <v>50</v>
      </c>
      <c r="AA367" s="3" t="inlineStr">
        <is>
          <t>gluten-free, nut-free, high-protein, meal-prep</t>
        </is>
      </c>
      <c r="AB367" s="3" t="inlineStr">
        <is>
          <t>1. Halve peppers; roast 10 minutes.
2. Brown chicken with onion, garlic, cumin; stir in quinoa, tomatoes and spinach.
3. Fill peppers, top with cheddar; bake at 400°F 20 minutes.</t>
        </is>
      </c>
      <c r="AC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15% of this dish's available carbohydrate comes from ingredients with a published, measured GI; the rest uses conventional placeholders (see Ingredients sheet)</t>
        </is>
      </c>
      <c r="Z368" s="2" t="n">
        <v>15</v>
      </c>
      <c r="AA368" s="3" t="inlineStr">
        <is>
          <t>nut-free, low-carb, high-protein, high-fiber</t>
        </is>
      </c>
      <c r="AB368" s="3" t="inlineStr">
        <is>
          <t>1. Marinate chicken in half the yogurt, garlic, oregano, lemon, oil, salt; roast at 450°F 20 minutes; slice.
2. Mix remaining yogurt with grated cucumber and dill.
3. Fill warm tortillas with chicken, tomato, onion and tzatziki.</t>
        </is>
      </c>
      <c r="AC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77% of this dish's available carbohydrate comes from ingredients with a published, measured GI; the rest uses conventional placeholders (see Ingredients sheet)</t>
        </is>
      </c>
      <c r="Z369" s="2" t="n">
        <v>77</v>
      </c>
      <c r="AA369" s="3" t="inlineStr">
        <is>
          <t>gluten-free, nut-free, high-protein</t>
        </is>
      </c>
      <c r="AB369" s="3" t="inlineStr">
        <is>
          <t>1. Boil whole sweet potatoes 20–25 minutes until tender (boiling keeps the GI far lower than baking).
2. Sauté chicken strips, pepper and onion with seasoning in oil.
3. Split potatoes, fill with fajita mix; top with cheddar, yogurt, cilantro, lime.</t>
        </is>
      </c>
      <c r="AC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8% of this dish's available carbohydrate comes from ingredients with a published, measured GI; the rest uses conventional placeholders (see Ingredients sheet)</t>
        </is>
      </c>
      <c r="Z370" s="2" t="n">
        <v>8</v>
      </c>
      <c r="AA370" s="3" t="inlineStr">
        <is>
          <t>gluten-free, nut-free, high-protein, high-fiber, make-ahead</t>
        </is>
      </c>
      <c r="AB370" s="3" t="inlineStr">
        <is>
          <t>1. Halve squash, roast cut-side down at 400°F 40 minutes; scrape strands.
2. Brown turkey with onion, carrot, celery, garlic; add wine, tomatoes, seasoning; simmer 25 minutes; stir in milk.
3. Serve sauce over squash with parmesan.</t>
        </is>
      </c>
      <c r="AC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14% of this dish's available carbohydrate comes from ingredients with a published, measured GI; the rest uses conventional placeholders (see Ingredients sheet)</t>
        </is>
      </c>
      <c r="Z371" s="2" t="n">
        <v>14</v>
      </c>
      <c r="AA371" s="3" t="inlineStr">
        <is>
          <t>gluten-free, low-carb, high-protein</t>
        </is>
      </c>
      <c r="AB371" s="3" t="inlineStr">
        <is>
          <t>1. Coat chicken strips in egg then almond flour-paprika; bake at 425°F 18 minutes.
2. Toss cauliflower in oil; roast 20 minutes; toss in hot sauce and butter.
3. Mix yogurt and blue cheese; serve with celery.</t>
        </is>
      </c>
      <c r="AC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77% of this dish's available carbohydrate comes from ingredients with a published, measured GI; the rest uses conventional placeholders (see Ingredients sheet)</t>
        </is>
      </c>
      <c r="Z372" s="2" t="n">
        <v>77</v>
      </c>
      <c r="AA372" s="3" t="inlineStr">
        <is>
          <t>nut-free, high-protein, one-pan</t>
        </is>
      </c>
      <c r="AB372" s="3" t="inlineStr">
        <is>
          <t>1. Sear chicken in oil; remove. Sauté onion and garlic; add cooked farro, broth, thyme.
2. Return chicken, simmer covered 15 minutes.
3. Stir in kale until wilted; finish with lemon and parmesan.</t>
        </is>
      </c>
      <c r="AC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0% of this dish's available carbohydrate comes from ingredients with a published, measured GI; the rest uses conventional placeholders (see Ingredients sheet)</t>
        </is>
      </c>
      <c r="Z373" s="2" t="n">
        <v>0</v>
      </c>
      <c r="AA373" s="3" t="inlineStr">
        <is>
          <t>gluten-free, nut-free, low-carb, high-protein, quick</t>
        </is>
      </c>
      <c r="AB373" s="3" t="inlineStr">
        <is>
          <t>1. Sear chicken pieces in oil with garlic; remove.
2. Sauté tomatoes 2 minutes; add zoodles, lemon zest and juice; toss 2 minutes.
3. Return chicken; top with parmesan, basil, pepper flakes.</t>
        </is>
      </c>
      <c r="AC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0% of this dish's available carbohydrate comes from ingredients with a published, measured GI; the rest uses conventional placeholders (see Ingredients sheet)</t>
        </is>
      </c>
      <c r="Z374" s="2" t="n">
        <v>0</v>
      </c>
      <c r="AA374" s="3" t="inlineStr">
        <is>
          <t>dairy-free, nut-free, low-carb, high-protein</t>
        </is>
      </c>
      <c r="AB374" s="3" t="inlineStr">
        <is>
          <t>1. Stir-fry chicken in avocado oil until browned.
2. Add garlic, kimchi, cauliflower rice; cook 5 minutes; push aside and scramble eggs.
3. Stir in tamari, gochujang, sesame oil, green onion.</t>
        </is>
      </c>
      <c r="AC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0% of this dish's available carbohydrate comes from ingredients with a published, measured GI; the rest uses conventional placeholders (see Ingredients sheet)</t>
        </is>
      </c>
      <c r="Z375" s="2" t="n">
        <v>0</v>
      </c>
      <c r="AA375" s="3" t="inlineStr">
        <is>
          <t>gluten-free, dairy-free, nut-free, low-carb, high-protein, one-pan</t>
        </is>
      </c>
      <c r="AB375" s="3" t="inlineStr">
        <is>
          <t>1. Rub chicken with paprika, garlic powder, salt and half the oil.
2. Cut cabbage into wedges, brush with oil, Dijon and vinegar.
3. Roast everything at 425°F 35–40 minutes.</t>
        </is>
      </c>
      <c r="AC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47% of this dish's available carbohydrate comes from ingredients with a published, measured GI; the rest uses conventional placeholders (see Ingredients sheet)</t>
        </is>
      </c>
      <c r="Z376" s="2" t="n">
        <v>47</v>
      </c>
      <c r="AA376" s="3" t="inlineStr">
        <is>
          <t>gluten-free, nut-free, high-protein, high-fiber</t>
        </is>
      </c>
      <c r="AB376" s="3" t="inlineStr">
        <is>
          <t>1. Season chicken; sear and slice.
2. Bake tortillas until crisp.
3. Layer beans, romaine, chicken, pico, cotija, avocado and yogurt over the tortillas.</t>
        </is>
      </c>
      <c r="AC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0% of this dish's available carbohydrate comes from ingredients with a published, measured GI; the rest uses conventional placeholders (see Ingredients sheet)</t>
        </is>
      </c>
      <c r="Z377" s="2" t="n">
        <v>0</v>
      </c>
      <c r="AA377" s="3" t="inlineStr">
        <is>
          <t>gluten-free, nut-free, low-carb, high-protein, one-pan</t>
        </is>
      </c>
      <c r="AB377" s="3" t="inlineStr">
        <is>
          <t>1. Sear chicken in oil; add garlic, artichokes, olives, tomatoes, lemon slices, oregano.
2. Roast at 400°F 25 minutes.
3. Top with feta and parsley.</t>
        </is>
      </c>
      <c r="AC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30% of this dish's available carbohydrate comes from ingredients with a published, measured GI; the rest uses conventional placeholders (see Ingredients sheet)</t>
        </is>
      </c>
      <c r="Z378" s="2" t="n">
        <v>30</v>
      </c>
      <c r="AA378" s="3" t="inlineStr">
        <is>
          <t>gluten-free, nut-free, low-carb, high-protein</t>
        </is>
      </c>
      <c r="AB378" s="3" t="inlineStr">
        <is>
          <t>1. Rub chicken with cumin, paprika, garlic, lime, oil and salt; roast at 425°F 30 minutes.
2. Blend yogurt, cilantro, jalapeño, mayo and lime into green sauce.
3. Serve chicken with sauce and romaine.</t>
        </is>
      </c>
      <c r="AC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47% of this dish's available carbohydrate comes from ingredients with a published, measured GI; the rest uses conventional placeholders (see Ingredients sheet)</t>
        </is>
      </c>
      <c r="Z379" s="2" t="n">
        <v>47</v>
      </c>
      <c r="AA379" s="3" t="inlineStr">
        <is>
          <t>nut-free, high-protein, high-fiber, quick</t>
        </is>
      </c>
      <c r="AB379" s="3" t="inlineStr">
        <is>
          <t>1. Mix chicken, beans, pepper and cumin.
2. Fill half of each tortilla with cheese and filling; fold.
3. Cook in oil 3 minutes per side; serve with salsa and yogurt.</t>
        </is>
      </c>
      <c r="AC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0% of this dish's available carbohydrate comes from ingredients with a published, measured GI; the rest uses conventional placeholders (see Ingredients sheet)</t>
        </is>
      </c>
      <c r="Z380" s="2" t="n">
        <v>0</v>
      </c>
      <c r="AA380" s="3" t="inlineStr">
        <is>
          <t>gluten-free, nut-free, low-carb, high-protein</t>
        </is>
      </c>
      <c r="AB380" s="3" t="inlineStr">
        <is>
          <t>1. Cut pockets in chicken; fill with wilted spinach, cream cheese, mozzarella, garlic, sun-dried tomato.
2. Season, sear in oil 3 minutes per side; bake at 400°F 18 minutes.
3. Serve with roasted broccoli.</t>
        </is>
      </c>
      <c r="AC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0% of this dish's available carbohydrate comes from ingredients with a published, measured GI; the rest uses conventional placeholders (see Ingredients sheet)</t>
        </is>
      </c>
      <c r="Z381" s="2" t="n">
        <v>0</v>
      </c>
      <c r="AA381" s="3" t="inlineStr">
        <is>
          <t>gluten-free, dairy-free, nut-free, low-carb, high-protein</t>
        </is>
      </c>
      <c r="AB381" s="3" t="inlineStr">
        <is>
          <t>1. Simmer tamari, vinegar, ginger, garlic, sweetener into a glaze.
2. Skewer chicken and green onion pieces; grill 10–12 minutes, brushing with glaze.
3. Serve with sautéed bok choy and sesame seeds.</t>
        </is>
      </c>
      <c r="AC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19% of this dish's available carbohydrate comes from ingredients with a published, measured GI; the rest uses conventional placeholders (see Ingredients sheet)</t>
        </is>
      </c>
      <c r="Z382" s="2" t="n">
        <v>19</v>
      </c>
      <c r="AA382" s="3" t="inlineStr">
        <is>
          <t>gluten-free, nut-free, low-carb, high-protein, make-ahead</t>
        </is>
      </c>
      <c r="AB382" s="3" t="inlineStr">
        <is>
          <t>1. Steam cauliflower 5 minutes; cook and dice chicken; crisp bacon.
2. Mix yogurt, cream cheese and ranch; fold in chicken and cauliflower.
3. Top with cheddar and bacon; bake at 375°F 20 minutes; add green onion.</t>
        </is>
      </c>
      <c r="AC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30% of this dish's available carbohydrate comes from ingredients with a published, measured GI; the rest uses conventional placeholders (see Ingredients sheet)</t>
        </is>
      </c>
      <c r="Z383" s="2" t="n">
        <v>30</v>
      </c>
      <c r="AA383" s="3" t="inlineStr">
        <is>
          <t>gluten-free, dairy-free, nut-free, low-carb, high-protein, quick</t>
        </is>
      </c>
      <c r="AB383" s="3" t="inlineStr">
        <is>
          <t>1. Brown chicken in avocado oil with ginger and garlic.
2. Add tamari, vinegar, sesame oil and grated carrot; cook 2 minutes.
3. Serve in lettuce cups with cucumber, green onion and sesame.</t>
        </is>
      </c>
      <c r="AC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0% of this dish's available carbohydrate comes from ingredients with a published, measured GI; the rest uses conventional placeholders (see Ingredients sheet)</t>
        </is>
      </c>
      <c r="Z384" s="2" t="n">
        <v>0</v>
      </c>
      <c r="AA384" s="3" t="inlineStr">
        <is>
          <t>gluten-free, dairy-free, nut-free, low-carb, high-protein, one-pan</t>
        </is>
      </c>
      <c r="AB384" s="3" t="inlineStr">
        <is>
          <t>1. Sear chicken in oil; remove. Sauté shallot and garlic; add wine.
2. Add tomatoes, olives, herbs, zucchini; return chicken.
3. Simmer covered 25 minutes.</t>
        </is>
      </c>
      <c r="AC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82% of this dish's available carbohydrate comes from ingredients with a published, measured GI; the rest uses conventional placeholders (see Ingredients sheet)</t>
        </is>
      </c>
      <c r="Z385" s="2" t="n">
        <v>82</v>
      </c>
      <c r="AA385" s="3" t="inlineStr">
        <is>
          <t>gluten-free, nut-free, high-protein</t>
        </is>
      </c>
      <c r="AB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C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39% of this dish's available carbohydrate comes from ingredients with a published, measured GI; the rest uses conventional placeholders (see Ingredients sheet)</t>
        </is>
      </c>
      <c r="Z386" s="2" t="n">
        <v>39</v>
      </c>
      <c r="AA386" s="3" t="inlineStr">
        <is>
          <t>gluten-free, nut-free, low-carb, high-protein</t>
        </is>
      </c>
      <c r="AB386" s="3" t="inlineStr">
        <is>
          <t>1. Marinate chicken in 150 g yogurt, spices, ginger, garlic, lemon, salt for 30 minutes.
2. Roast at 450°F 22 minutes.
3. Mix remaining yogurt with grated cucumber, mint for raita.</t>
        </is>
      </c>
      <c r="AC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0% of this dish's available carbohydrate comes from ingredients with a published, measured GI; the rest uses conventional placeholders (see Ingredients sheet)</t>
        </is>
      </c>
      <c r="Z387" s="2" t="n">
        <v>0</v>
      </c>
      <c r="AA387" s="3" t="inlineStr">
        <is>
          <t>gluten-free, dairy-free, nut-free, low-carb, high-protein, one-pan</t>
        </is>
      </c>
      <c r="AB387" s="3" t="inlineStr">
        <is>
          <t>1. Season chicken; sear skin-side down in an ovenproof skillet 6 minutes.
2. Add halved sprouts, chopped bacon, garlic; roast at 425°F 25 minutes.
3. Toss sprouts with vinegar and Dijon.</t>
        </is>
      </c>
      <c r="AC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13% of this dish's available carbohydrate comes from ingredients with a published, measured GI; the rest uses conventional placeholders (see Ingredients sheet)</t>
        </is>
      </c>
      <c r="Z388" s="2" t="n">
        <v>13</v>
      </c>
      <c r="AA388" s="3" t="inlineStr">
        <is>
          <t>gluten-free, nut-free, low-carb, high-protein</t>
        </is>
      </c>
      <c r="AB388" s="3" t="inlineStr">
        <is>
          <t>1. Brown chicken in oil; remove. Sauté onion and pepper; add paprika, garlic, tomato paste.
2. Add broth and chicken; simmer covered 25 minutes.
3. Stir in yogurt off heat; serve over cauliflower rice with parsley.</t>
        </is>
      </c>
      <c r="AC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0% of this dish's available carbohydrate comes from ingredients with a published, measured GI; the rest uses conventional placeholders (see Ingredients sheet)</t>
        </is>
      </c>
      <c r="Z389" s="2" t="n">
        <v>0</v>
      </c>
      <c r="AA389" s="3" t="inlineStr">
        <is>
          <t>gluten-free, dairy-free, nut-free, low-carb, high-protein, quick</t>
        </is>
      </c>
      <c r="AB389" s="3" t="inlineStr">
        <is>
          <t>1. Stir-fry chicken and garlic in oil; push aside and scramble eggs.
2. Add broccolini 2 minutes; add zoodles, tamari, fish sauce, sweetener.
3. Toss 2 minutes; finish with pepper.</t>
        </is>
      </c>
      <c r="AC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0% of this dish's available carbohydrate comes from ingredients with a published, measured GI; the rest uses conventional placeholders (see Ingredients sheet)</t>
        </is>
      </c>
      <c r="Z390" s="2" t="n">
        <v>0</v>
      </c>
      <c r="AA390" s="3" t="inlineStr">
        <is>
          <t>gluten-free, nut-free, low-carb, high-protein, quick</t>
        </is>
      </c>
      <c r="AB390" s="3" t="inlineStr">
        <is>
          <t>1. Pound turkey cutlets thin; season; sear in oil 3 minutes per side.
2. Add butter, sage, garlic, broth, lemon juice; simmer 2 minutes.
3. Serve over sautéed spinach.</t>
        </is>
      </c>
      <c r="AC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31</v>
      </c>
      <c r="U391" s="2" t="inlineStr">
        <is>
          <t>low</t>
        </is>
      </c>
      <c r="V391" s="5" t="n">
        <v>7.7</v>
      </c>
      <c r="W391" s="2" t="inlineStr">
        <is>
          <t>low</t>
        </is>
      </c>
      <c r="X391" s="3" t="inlineStr"/>
      <c r="Y391" s="3" t="inlineStr">
        <is>
          <t>49% of this dish's available carbohydrate comes from ingredients with a published, measured GI; the rest uses conventional placeholders (see Ingredients sheet)</t>
        </is>
      </c>
      <c r="Z391" s="2" t="n">
        <v>49</v>
      </c>
      <c r="AA391" s="3" t="inlineStr">
        <is>
          <t>gluten-free, dairy-free, nut-free, high-protein, high-fiber</t>
        </is>
      </c>
      <c r="AB391" s="3" t="inlineStr">
        <is>
          <t>1. Sauté onion, garlic, ginger and curry powder in oil.
2. Add chicken, cauliflower, chickpeas, tomatoes, coconut milk; simmer 20 minutes.
3. Stir in spinach; garnish cilantro.</t>
        </is>
      </c>
      <c r="AC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0% of this dish's available carbohydrate comes from ingredients with a published, measured GI; the rest uses conventional placeholders (see Ingredients sheet)</t>
        </is>
      </c>
      <c r="Z392" s="2" t="n">
        <v>0</v>
      </c>
      <c r="AA392" s="3" t="inlineStr">
        <is>
          <t>gluten-free, nut-free, low-carb, high-protein, one-pan</t>
        </is>
      </c>
      <c r="AB392" s="3" t="inlineStr">
        <is>
          <t>1. Brown sausage in oil; remove.
2. Sauté peppers, onion, garlic 8 minutes; add tomatoes and seasoning.
3. Return sausage; simmer 5 minutes; top with parmesan and basil.</t>
        </is>
      </c>
      <c r="AC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12% of this dish's available carbohydrate comes from ingredients with a published, measured GI; the rest uses conventional placeholders (see Ingredients sheet)</t>
        </is>
      </c>
      <c r="Z393" s="2" t="n">
        <v>12</v>
      </c>
      <c r="AA393" s="3" t="inlineStr">
        <is>
          <t>gluten-free, nut-free, high-protein</t>
        </is>
      </c>
      <c r="AB393" s="3" t="inlineStr">
        <is>
          <t>1. Roast halved squash at 400°F 40 minutes; scrape strands.
2. Brown chicken with pepper, mushrooms, onion, garlic and oregano; add marinara.
3. Toss with squash strands, return to shells, top with mozzarella; broil 3 minutes.</t>
        </is>
      </c>
      <c r="AC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0% of this dish's available carbohydrate comes from ingredients with a published, measured GI; the rest uses conventional placeholders (see Ingredients sheet)</t>
        </is>
      </c>
      <c r="Z394" s="2" t="n">
        <v>0</v>
      </c>
      <c r="AA394" s="3" t="inlineStr">
        <is>
          <t>gluten-free, dairy-free, nut-free, low-carb, high-protein, quick</t>
        </is>
      </c>
      <c r="AB394" s="3" t="inlineStr">
        <is>
          <t>1. Brown chicken in oil; toss off heat with shallot, lime, fish sauce, herbs and pepper flakes.
2. Sauté cauliflower rice 4 minutes.
3. Serve larb over cauliflower rice with cucumber.</t>
        </is>
      </c>
      <c r="AC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0% of this dish's available carbohydrate comes from ingredients with a published, measured GI; the rest uses conventional placeholders (see Ingredients sheet)</t>
        </is>
      </c>
      <c r="Z395" s="2" t="n">
        <v>0</v>
      </c>
      <c r="AA395" s="3" t="inlineStr">
        <is>
          <t>gluten-free, low-carb, high-protein</t>
        </is>
      </c>
      <c r="AB395" s="3" t="inlineStr">
        <is>
          <t>1. Mix butter with garlic, parsley, dill; chill. Cut pockets in chicken and stuff with herb butter.
2. Dip in egg, coat with almond flour; bake at 400°F 25 minutes.
3. Serve with green beans and lemon.</t>
        </is>
      </c>
      <c r="AC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10% of this dish's available carbohydrate comes from ingredients with a published, measured GI; the rest uses conventional placeholders (see Ingredients sheet)</t>
        </is>
      </c>
      <c r="Z396" s="2" t="n">
        <v>10</v>
      </c>
      <c r="AA396" s="3" t="inlineStr">
        <is>
          <t>gluten-free, nut-free, low-carb, high-protein</t>
        </is>
      </c>
      <c r="AB396" s="3" t="inlineStr">
        <is>
          <t>1. Mix turkey, grated onion, parsley, garlic, spices, egg and salt; form logs on skewers.
2. Grill or broil 12 minutes, turning.
3. Whisk tahini, lemon, yogurt and water; serve with cucumber and tomato.</t>
        </is>
      </c>
      <c r="AC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53% of this dish's available carbohydrate comes from ingredients with a published, measured GI; the rest uses conventional placeholders (see Ingredients sheet)</t>
        </is>
      </c>
      <c r="Z397" s="2" t="n">
        <v>53</v>
      </c>
      <c r="AA397" s="3" t="inlineStr">
        <is>
          <t>gluten-free, nut-free, high-protein, one-pan</t>
        </is>
      </c>
      <c r="AB397" s="3" t="inlineStr">
        <is>
          <t>1. Sauté chicken pieces with onion and cumin in oil.
2. Add zucchini, beans and sauce; simmer 8 minutes.
3. Top with cheddar; cover to melt; serve with cilantro and yogurt.</t>
        </is>
      </c>
      <c r="AC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9% of this dish's available carbohydrate comes from ingredients with a published, measured GI; the rest uses conventional placeholders (see Ingredients sheet)</t>
        </is>
      </c>
      <c r="Z398" s="2" t="n">
        <v>9</v>
      </c>
      <c r="AA398" s="3" t="inlineStr">
        <is>
          <t>gluten-free, nut-free, high-protein</t>
        </is>
      </c>
      <c r="AB398" s="3" t="inlineStr">
        <is>
          <t>1. Steam cauliflower; cook pasta al dente; sear diced chicken in oil.
2. Warm milk, cream cheese, cheddar, Dijon, garlic powder into a sauce.
3. Combine everything in a dish; bake at 375°F 15 minutes.</t>
        </is>
      </c>
      <c r="AC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25</v>
      </c>
      <c r="U399" s="2" t="inlineStr">
        <is>
          <t>low</t>
        </is>
      </c>
      <c r="V399" s="5" t="n">
        <v>2.6</v>
      </c>
      <c r="W399" s="2" t="inlineStr">
        <is>
          <t>low</t>
        </is>
      </c>
      <c r="X399" s="3" t="inlineStr"/>
      <c r="Y399" s="3" t="inlineStr">
        <is>
          <t>54% of this dish's available carbohydrate comes from ingredients with a published, measured GI; the rest uses conventional placeholders (see Ingredients sheet)</t>
        </is>
      </c>
      <c r="Z399" s="2" t="n">
        <v>54</v>
      </c>
      <c r="AA399" s="3" t="inlineStr">
        <is>
          <t>gluten-free, dairy-free, nut-free, low-carb, high-protein</t>
        </is>
      </c>
      <c r="AB399" s="3" t="inlineStr">
        <is>
          <t>1. Score and season duck; sear skin-side down 8 minutes, flip 4 minutes; rest and slice, discarding excess skin.
2. Sauté shallot in drippings; add cherries, balsamic, broth, thyme; reduce.
3. Serve duck over arugula with sauce.</t>
        </is>
      </c>
      <c r="AC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83% of this dish's available carbohydrate comes from ingredients with a published, measured GI; the rest uses conventional placeholders (see Ingredients sheet)</t>
        </is>
      </c>
      <c r="Z400" s="2" t="n">
        <v>83</v>
      </c>
      <c r="AA400" s="3" t="inlineStr">
        <is>
          <t>gluten-free, nut-free, high-protein</t>
        </is>
      </c>
      <c r="AB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C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58</v>
      </c>
      <c r="U401" s="2" t="inlineStr">
        <is>
          <t>medium</t>
        </is>
      </c>
      <c r="V401" s="5" t="n">
        <v>11.3</v>
      </c>
      <c r="W401" s="2" t="inlineStr">
        <is>
          <t>medium</t>
        </is>
      </c>
      <c r="X401" s="3" t="inlineStr">
        <is>
          <t>Medium-GI dish: keep to the stated portion and pair with the protein/fat in the recipe; GL per serving is the better guide.</t>
        </is>
      </c>
      <c r="Y401" s="3" t="inlineStr">
        <is>
          <t>86% of this dish's available carbohydrate comes from ingredients with a published, measured GI; the rest uses conventional placeholders (see Ingredients sheet)</t>
        </is>
      </c>
      <c r="Z401" s="2" t="n">
        <v>86</v>
      </c>
      <c r="AA401" s="3" t="inlineStr">
        <is>
          <t>gluten-free, dairy-free, nut-free, high-protein, one-pan</t>
        </is>
      </c>
      <c r="AB401" s="3" t="inlineStr">
        <is>
          <t>1. Brown chicken and halved potatoes in oil; add garlic and oregano.
2. Add wine and broth; roast at 400°F 25 minutes.
3. Add peas for the last 5 minutes; finish with lemon and parsley.</t>
        </is>
      </c>
      <c r="AC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15% of this dish's available carbohydrate comes from ingredients with a published, measured GI; the rest uses conventional placeholders (see Ingredients sheet)</t>
        </is>
      </c>
      <c r="Z402" s="2" t="n">
        <v>15</v>
      </c>
      <c r="AA402" s="3" t="inlineStr">
        <is>
          <t>gluten-free, low-carb, high-protein</t>
        </is>
      </c>
      <c r="AB402" s="3" t="inlineStr">
        <is>
          <t>1. Marinate chicken in yogurt and half the hot sauce 15 minutes; coat in almond flour with cayenne, paprika, garlic powder.
2. Bake at 425°F 22 minutes; brush with remaining hot sauce mixed with oil.
3. Serve with vinegar slaw and pickles.</t>
        </is>
      </c>
      <c r="AC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16% of this dish's available carbohydrate comes from ingredients with a published, measured GI; the rest uses conventional placeholders (see Ingredients sheet)</t>
        </is>
      </c>
      <c r="Z403" s="2" t="n">
        <v>16</v>
      </c>
      <c r="AA403" s="3" t="inlineStr">
        <is>
          <t>gluten-free, nut-free, low-carb, high-protein</t>
        </is>
      </c>
      <c r="AB403" s="3" t="inlineStr">
        <is>
          <t>1. Sear chicken strips in oil; remove. Sauté mushrooms, onion, garlic 8 minutes.
2. Add broth, paprika, Dijon; reduce; stir in yogurt off heat; return chicken.
3. Serve over sautéed zoodles with parsley.</t>
        </is>
      </c>
      <c r="AC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51% of this dish's available carbohydrate comes from ingredients with a published, measured GI; the rest uses conventional placeholders (see Ingredients sheet)</t>
        </is>
      </c>
      <c r="Z404" s="2" t="n">
        <v>51</v>
      </c>
      <c r="AA404" s="3" t="inlineStr">
        <is>
          <t>gluten-free, nut-free, low-carb, high-protein, make-ahead</t>
        </is>
      </c>
      <c r="AB404" s="3" t="inlineStr">
        <is>
          <t>1. Char poblanos; peel and chop. Sear diced chicken with onion and cumin in oil.
2. Mix chicken, poblano, cauliflower rice, beans, salsa verde, yogurt and half the cheese in a dish.
3. Top with remaining cheese; bake at 375°F 25 minutes; garnish cilantro.</t>
        </is>
      </c>
      <c r="AC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0% of this dish's available carbohydrate comes from ingredients with a published, measured GI; the rest uses conventional placeholders (see Ingredients sheet)</t>
        </is>
      </c>
      <c r="Z405" s="2" t="n">
        <v>0</v>
      </c>
      <c r="AA405" s="3" t="inlineStr">
        <is>
          <t>gluten-free, dairy-free, nut-free, low-carb, high-protein, one-pan</t>
        </is>
      </c>
      <c r="AB405" s="3" t="inlineStr">
        <is>
          <t>1. Toss fennel wedges, olives, garlic with oil; nestle chicken on top with lemon slices and rosemary.
2. Roast at 425°F 30–35 minutes.
3. Spoon pan juices over.</t>
        </is>
      </c>
      <c r="AC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0% of this dish's available carbohydrate comes from ingredients with a published, measured GI; the rest uses conventional placeholders (see Ingredients sheet)</t>
        </is>
      </c>
      <c r="Z406" s="2" t="n">
        <v>0</v>
      </c>
      <c r="AA406" s="3" t="inlineStr">
        <is>
          <t>gluten-free, low-carb, high-protein</t>
        </is>
      </c>
      <c r="AB406" s="3" t="inlineStr">
        <is>
          <t>1. Roast cauliflower florets with oil at 425°F 20 minutes.
2. Sear chicken pieces; add tomatoes and spinach.
3. Toss chicken, cauliflower and pesto; top with parmesan.</t>
        </is>
      </c>
      <c r="AC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0% of this dish's available carbohydrate comes from ingredients with a published, measured GI; the rest uses conventional placeholders (see Ingredients sheet)</t>
        </is>
      </c>
      <c r="Z407" s="2" t="n">
        <v>0</v>
      </c>
      <c r="AA407" s="3" t="inlineStr">
        <is>
          <t>gluten-free, dairy-free, nut-free, low-carb, high-protein</t>
        </is>
      </c>
      <c r="AB407" s="3" t="inlineStr">
        <is>
          <t>1. Thread chicken and vegetables onto skewers; brush with a third of the oil; season.
2. Grill 10–12 minutes, turning.
3. Blend remaining oil, herbs, garlic, vinegar, oregano, pepper flakes; spoon over.</t>
        </is>
      </c>
      <c r="AC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0% of this dish's available carbohydrate comes from ingredients with a published, measured GI; the rest uses conventional placeholders (see Ingredients sheet)</t>
        </is>
      </c>
      <c r="Z408" s="2" t="n">
        <v>0</v>
      </c>
      <c r="AA408" s="3" t="inlineStr">
        <is>
          <t>gluten-free, low-carb, high-protein, one-pan</t>
        </is>
      </c>
      <c r="AB408" s="3" t="inlineStr">
        <is>
          <t>1. Mix turkey, egg, almond flour, oregano, garlic, salt; form meatballs; brown in oil.
2. Add zucchini and tomatoes; cover and cook 10 minutes.
3. Top with feta and lemon.</t>
        </is>
      </c>
      <c r="AC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24% of this dish's available carbohydrate comes from ingredients with a published, measured GI; the rest uses conventional placeholders (see Ingredients sheet)</t>
        </is>
      </c>
      <c r="Z409" s="2" t="n">
        <v>24</v>
      </c>
      <c r="AA409" s="3" t="inlineStr">
        <is>
          <t>gluten-free, dairy-free, nut-free, low-carb, high-protein, high-fiber</t>
        </is>
      </c>
      <c r="AB409" s="3" t="inlineStr">
        <is>
          <t>1. Rinse and dry-fry shirataki 3 minutes; set aside.
2. Stir-fry chicken in oil; add garlic, ginger, cabbage, carrot, celery 4 minutes.
3. Add noodles, sprouts, tamari, sesame oil; toss; top green onion.</t>
        </is>
      </c>
      <c r="AC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16% of this dish's available carbohydrate comes from ingredients with a published, measured GI; the rest uses conventional placeholders (see Ingredients sheet)</t>
        </is>
      </c>
      <c r="Z410" s="2" t="n">
        <v>16</v>
      </c>
      <c r="AA410" s="3" t="inlineStr">
        <is>
          <t>gluten-free, nut-free, low-carb, high-protein, make-ahead</t>
        </is>
      </c>
      <c r="AB410" s="3" t="inlineStr">
        <is>
          <t>1. Cook and dice chicken; wilt spinach with garlic.
2. Mix cream cheese, yogurt, parmesan; fold in chicken, spinach, artichokes.
3. Top with mozzarella; bake at 375°F 20 minutes.</t>
        </is>
      </c>
      <c r="AC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0% of this dish's available carbohydrate comes from ingredients with a published, measured GI; the rest uses conventional placeholders (see Ingredients sheet)</t>
        </is>
      </c>
      <c r="Z411" s="2" t="n">
        <v>0</v>
      </c>
      <c r="AA411" s="3" t="inlineStr">
        <is>
          <t>gluten-free, dairy-free, nut-free, low-carb, high-protein, meal-prep</t>
        </is>
      </c>
      <c r="AB411" s="3" t="inlineStr">
        <is>
          <t>1. Rub turkey with oil, garlic, herbs, lemon zest and salt.
2. Roast at 350°F with broth in the pan 80–90 minutes to 165°F, basting.
3. Rest 15 minutes; slice; serve with green beans.</t>
        </is>
      </c>
      <c r="AC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0% of this dish's available carbohydrate comes from ingredients with a published, measured GI; the rest uses conventional placeholders (see Ingredients sheet)</t>
        </is>
      </c>
      <c r="Z412" s="2" t="n">
        <v>0</v>
      </c>
      <c r="AA412" s="3" t="inlineStr">
        <is>
          <t>gluten-free, low-carb, high-protein</t>
        </is>
      </c>
      <c r="AB412" s="3" t="inlineStr">
        <is>
          <t>1. Halve zucchini and scoop centers.
2. Mix chicken, pesto, ricotta and chopped tomato; fill boats.
3. Top with cheeses; bake at 400°F 25 minutes.</t>
        </is>
      </c>
      <c r="AC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23% of this dish's available carbohydrate comes from ingredients with a published, measured GI; the rest uses conventional placeholders (see Ingredients sheet)</t>
        </is>
      </c>
      <c r="Z413" s="2" t="n">
        <v>23</v>
      </c>
      <c r="AA413" s="3" t="inlineStr">
        <is>
          <t>gluten-free, dairy-free, nut-free, low-carb, high-protein, make-ahead</t>
        </is>
      </c>
      <c r="AB413" s="3" t="inlineStr">
        <is>
          <t>1. Brown chicken and bacon in oil; remove. Sauté onion, carrot, mushrooms, garlic; add tomato paste.
2. Add wine, broth, thyme, bay; return chicken; simmer covered 45 minutes.
3. Uncover last 10 minutes to reduce; serve with cauliflower mash.</t>
        </is>
      </c>
      <c r="AC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13% of this dish's available carbohydrate comes from ingredients with a published, measured GI; the rest uses conventional placeholders (see Ingredients sheet)</t>
        </is>
      </c>
      <c r="Z414" s="2" t="n">
        <v>13</v>
      </c>
      <c r="AA414" s="3" t="inlineStr">
        <is>
          <t>gluten-free, dairy-free, nut-free, low-carb, high-protein</t>
        </is>
      </c>
      <c r="AB414" s="3" t="inlineStr">
        <is>
          <t>1. Sear chicken pieces in avocado oil until golden.
2. Add tamari, vinegar, garlic, ginger, sweetener and arrowroot slurry; simmer until glossy; add sesame oil.
3. Top with sesame seeds and green onion; serve with steamed broccoli.</t>
        </is>
      </c>
      <c r="AC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24</v>
      </c>
      <c r="U415" s="2" t="inlineStr">
        <is>
          <t>low</t>
        </is>
      </c>
      <c r="V415" s="5" t="n">
        <v>2.6</v>
      </c>
      <c r="W415" s="2" t="inlineStr">
        <is>
          <t>low</t>
        </is>
      </c>
      <c r="X415" s="3" t="inlineStr"/>
      <c r="Y415" s="3" t="inlineStr">
        <is>
          <t>50% of this dish's available carbohydrate comes from ingredients with a published, measured GI; the rest uses conventional placeholders (see Ingredients sheet)</t>
        </is>
      </c>
      <c r="Z415" s="2" t="n">
        <v>50</v>
      </c>
      <c r="AA415" s="3" t="inlineStr">
        <is>
          <t>gluten-free, low-carb, high-protein</t>
        </is>
      </c>
      <c r="AB415" s="3" t="inlineStr">
        <is>
          <t>1. Sauté onion, carrot, celery, mushrooms in oil; add diced chicken and thyme.
2. Blend steamed cauliflower with milk; add to skillet with broth; simmer 12 minutes.
3. Add peas; top with almond flour-parmesan crumble and broil 3 minutes.</t>
        </is>
      </c>
      <c r="AC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0% of this dish's available carbohydrate comes from ingredients with a published, measured GI; the rest uses conventional placeholders (see Ingredients sheet)</t>
        </is>
      </c>
      <c r="Z416" s="2" t="n">
        <v>0</v>
      </c>
      <c r="AA416" s="3" t="inlineStr">
        <is>
          <t>gluten-free, nut-free, low-carb, high-protein</t>
        </is>
      </c>
      <c r="AB416" s="3" t="inlineStr">
        <is>
          <t>1. Season chicken, sear 3 minutes per side, transfer to a dish.
2. Top with diced tomato, basil, garlic, balsamic and mozzarella.
3. Bake at 400°F 15 minutes; serve on zoodles.</t>
        </is>
      </c>
      <c r="AC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21% of this dish's available carbohydrate comes from ingredients with a published, measured GI; the rest uses conventional placeholders (see Ingredients sheet)</t>
        </is>
      </c>
      <c r="Z417" s="2" t="n">
        <v>21</v>
      </c>
      <c r="AA417" s="3" t="inlineStr">
        <is>
          <t>gluten-free, nut-free, low-carb, high-protein</t>
        </is>
      </c>
      <c r="AB417" s="3" t="inlineStr">
        <is>
          <t>1. Toss wings with oil, lime zest, garlic, chili powder, cumin, salt.
2. Bake on a rack at 425°F 40–45 minutes until crisp.
3. Squeeze lime, add cilantro; serve with celery and yogurt dip.</t>
        </is>
      </c>
      <c r="AC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9% of this dish's available carbohydrate comes from ingredients with a published, measured GI; the rest uses conventional placeholders (see Ingredients sheet)</t>
        </is>
      </c>
      <c r="Z418" s="2" t="n">
        <v>9</v>
      </c>
      <c r="AA418" s="3" t="inlineStr">
        <is>
          <t>nut-free, low-carb, high-protein, high-fiber, no-cook, quick</t>
        </is>
      </c>
      <c r="AB418" s="3" t="inlineStr">
        <is>
          <t>1. Whisk yogurt, lemon, Dijon, mashed anchovy.
2. Toss chopped kale, chicken and parmesan with dressing.
3. Roll in tortillas.</t>
        </is>
      </c>
      <c r="AC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26</v>
      </c>
      <c r="U419" s="2" t="inlineStr">
        <is>
          <t>low</t>
        </is>
      </c>
      <c r="V419" s="5" t="n">
        <v>5</v>
      </c>
      <c r="W419" s="2" t="inlineStr">
        <is>
          <t>low</t>
        </is>
      </c>
      <c r="X419" s="3" t="inlineStr"/>
      <c r="Y419" s="3" t="inlineStr">
        <is>
          <t>43% of this dish's available carbohydrate comes from ingredients with a published, measured GI; the rest uses conventional placeholders (see Ingredients sheet)</t>
        </is>
      </c>
      <c r="Z419" s="2" t="n">
        <v>43</v>
      </c>
      <c r="AA419" s="3" t="inlineStr">
        <is>
          <t>gluten-free, nut-free, high-protein, high-fiber</t>
        </is>
      </c>
      <c r="AB419" s="3" t="inlineStr">
        <is>
          <t>1. Halve peppers; roast 10 minutes.
2. Brown turkey with onion and spices; add beans and tomatoes; simmer 8 minutes.
3. Fill peppers, top with cheddar; bake at 400°F 18 minutes; add green onion.</t>
        </is>
      </c>
      <c r="AC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18% of this dish's available carbohydrate comes from ingredients with a published, measured GI; the rest uses conventional placeholders (see Ingredients sheet)</t>
        </is>
      </c>
      <c r="Z420" s="2" t="n">
        <v>18</v>
      </c>
      <c r="AA420" s="3" t="inlineStr">
        <is>
          <t>gluten-free, nut-free, low-carb, high-protein, no-cook</t>
        </is>
      </c>
      <c r="AB420" s="3" t="inlineStr">
        <is>
          <t>1. Mix chicken, yogurt, dill, lemon, celery, onion, salt.
2. Halve cucumbers lengthwise and scoop seeds.
3. Fill with chicken salad.</t>
        </is>
      </c>
      <c r="AC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0% of this dish's available carbohydrate comes from ingredients with a published, measured GI; the rest uses conventional placeholders (see Ingredients sheet)</t>
        </is>
      </c>
      <c r="Z421" s="2" t="n">
        <v>0</v>
      </c>
      <c r="AA421" s="3" t="inlineStr">
        <is>
          <t>gluten-free, dairy-free, low-carb, high-protein</t>
        </is>
      </c>
      <c r="AB421" s="3" t="inlineStr">
        <is>
          <t>1. Sauté onion and garlic; blend with chipotle, tomatoes, cocoa, almond butter, spices, broth.
2. Brown chicken in oil; pour sauce over; simmer covered 30 minutes.
3. Top with sesame seeds; serve with cauliflower rice.</t>
        </is>
      </c>
      <c r="AC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7% of this dish's available carbohydrate comes from ingredients with a published, measured GI; the rest uses conventional placeholders (see Ingredients sheet)</t>
        </is>
      </c>
      <c r="Z422" s="2" t="n">
        <v>7</v>
      </c>
      <c r="AA422" s="3" t="inlineStr">
        <is>
          <t>gluten-free, nut-free, high-protein</t>
        </is>
      </c>
      <c r="AB422" s="3" t="inlineStr">
        <is>
          <t>1. Roast halved squash 40 minutes.
2. Simmer cauliflower and garlic in milk; blend with parmesan and cream cheese.
3. Toss squash strands with sauce, cooked chicken and spinach; top with mozzarella; broil 3 minutes.</t>
        </is>
      </c>
      <c r="AC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53% of this dish's available carbohydrate comes from ingredients with a published, measured GI; the rest uses conventional placeholders (see Ingredients sheet)</t>
        </is>
      </c>
      <c r="Z423" s="2" t="n">
        <v>53</v>
      </c>
      <c r="AA423" s="3" t="inlineStr">
        <is>
          <t>nut-free, high-protein, high-fiber, make-ahead</t>
        </is>
      </c>
      <c r="AB423" s="3" t="inlineStr">
        <is>
          <t>1. Cook and shred chicken; sauté onion.
2. Layer torn tortillas, chicken, beans, corn, chiles, sauce and cheese in a dish.
3. Bake at 375°F 25 minutes; serve with yogurt.</t>
        </is>
      </c>
      <c r="AC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22% of this dish's available carbohydrate comes from ingredients with a published, measured GI; the rest uses conventional placeholders (see Ingredients sheet)</t>
        </is>
      </c>
      <c r="Z424" s="2" t="n">
        <v>22</v>
      </c>
      <c r="AA424" s="3" t="inlineStr">
        <is>
          <t>gluten-free, nut-free, low-carb, high-protein</t>
        </is>
      </c>
      <c r="AB424" s="3" t="inlineStr">
        <is>
          <t>1. Rub chicken with za'atar, lemon, oil, garlic, salt; roast with cauliflower at 425°F 25 minutes.
2. Mix yogurt with cucumber and mint.
3. Serve chicken with yogurt sauce.</t>
        </is>
      </c>
      <c r="AC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0% of this dish's available carbohydrate comes from ingredients with a published, measured GI; the rest uses conventional placeholders (see Ingredients sheet)</t>
        </is>
      </c>
      <c r="Z425" s="2" t="n">
        <v>0</v>
      </c>
      <c r="AA425" s="3" t="inlineStr">
        <is>
          <t>gluten-free, dairy-free, nut-free, low-carb, high-protein</t>
        </is>
      </c>
      <c r="AB425" s="3" t="inlineStr">
        <is>
          <t>1. Marinate chicken with olives, capers, garlic, oregano, vinegar, oil, bay 20 minutes.
2. Roast at 400°F with wine poured around 35 minutes.
3. Top with parsley; serve with green beans.</t>
        </is>
      </c>
      <c r="AC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79% of this dish's available carbohydrate comes from ingredients with a published, measured GI; the rest uses conventional placeholders (see Ingredients sheet)</t>
        </is>
      </c>
      <c r="Z426" s="2" t="n">
        <v>79</v>
      </c>
      <c r="AA426" s="3" t="inlineStr">
        <is>
          <t>high-protein</t>
        </is>
      </c>
      <c r="AB426" s="3" t="inlineStr">
        <is>
          <t>1. Mix turkey with grated squeezed zucchini, garlic, oregano, egg, almond flour, salt; form meatballs; bake at 400°F 18 minutes.
2. Mix yogurt, grated cucumber, dill.
3. Serve in pita halves with tomato and tzatziki.</t>
        </is>
      </c>
      <c r="AC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31</v>
      </c>
      <c r="U427" s="2" t="inlineStr">
        <is>
          <t>low</t>
        </is>
      </c>
      <c r="V427" s="5" t="n">
        <v>9.5</v>
      </c>
      <c r="W427" s="2" t="inlineStr">
        <is>
          <t>low</t>
        </is>
      </c>
      <c r="X427" s="3" t="inlineStr"/>
      <c r="Y427" s="3" t="inlineStr">
        <is>
          <t>63% of this dish's available carbohydrate comes from ingredients with a published, measured GI; the rest uses conventional placeholders (see Ingredients sheet)</t>
        </is>
      </c>
      <c r="Z427" s="2" t="n">
        <v>63</v>
      </c>
      <c r="AA427" s="3" t="inlineStr">
        <is>
          <t>gluten-free, dairy-free, nut-free, high-protein, high-fiber, make-ahead, freezer</t>
        </is>
      </c>
      <c r="AB427" s="3" t="inlineStr">
        <is>
          <t>1. Brown beef with onion and pepper in oil; drain fat; add garlic and spices.
2. Add tomatoes, beans, broth; simmer 45 minutes.
3. Serve with yogurt, cheddar and jalapeño.</t>
        </is>
      </c>
      <c r="AC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0% of this dish's available carbohydrate comes from ingredients with a published, measured GI; the rest uses conventional placeholders (see Ingredients sheet)</t>
        </is>
      </c>
      <c r="Z428" s="2" t="n">
        <v>0</v>
      </c>
      <c r="AA428" s="3" t="inlineStr">
        <is>
          <t>gluten-free, dairy-free, nut-free, low-carb, high-protein</t>
        </is>
      </c>
      <c r="AB428" s="3" t="inlineStr">
        <is>
          <t>1. Roast broccoli with a third of the oil at 425°F 18 minutes.
2. Season steak; grill 4–5 minutes per side; rest 5 minutes and slice against the grain.
3. Blend remaining oil, herbs, garlic, vinegar, oregano, pepper flakes; spoon over steak.</t>
        </is>
      </c>
      <c r="AC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9% of this dish's available carbohydrate comes from ingredients with a published, measured GI; the rest uses conventional placeholders (see Ingredients sheet)</t>
        </is>
      </c>
      <c r="Z429" s="2" t="n">
        <v>9</v>
      </c>
      <c r="AA429" s="3" t="inlineStr">
        <is>
          <t>gluten-free, dairy-free, nut-free, low-carb, high-protein, quick</t>
        </is>
      </c>
      <c r="AB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C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43% of this dish's available carbohydrate comes from ingredients with a published, measured GI; the rest uses conventional placeholders (see Ingredients sheet)</t>
        </is>
      </c>
      <c r="Z430" s="2" t="n">
        <v>43</v>
      </c>
      <c r="AA430" s="3" t="inlineStr">
        <is>
          <t>gluten-free, dairy-free, nut-free, low-carb, high-protein</t>
        </is>
      </c>
      <c r="AB430" s="3" t="inlineStr">
        <is>
          <t>1. Season pork; sear in oil; roast at 425°F 15 minutes; rest.
2. Sauté onion and apple slices with sage; add Dijon, vinegar, broth; reduce.
3. Slice pork; serve with apple-sage pan sauce and roasted sprouts.</t>
        </is>
      </c>
      <c r="AC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12% of this dish's available carbohydrate comes from ingredients with a published, measured GI; the rest uses conventional placeholders (see Ingredients sheet)</t>
        </is>
      </c>
      <c r="Z431" s="2" t="n">
        <v>12</v>
      </c>
      <c r="AA431" s="3" t="inlineStr">
        <is>
          <t>gluten-free, nut-free, low-carb, high-protein, quick</t>
        </is>
      </c>
      <c r="AB431" s="3" t="inlineStr">
        <is>
          <t>1. Brown beef with taco seasoning; drain.
2. Spoon into lettuce leaves.
3. Top with pico, avocado, cheddar, yogurt, jalapeño and lime.</t>
        </is>
      </c>
      <c r="AC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0% of this dish's available carbohydrate comes from ingredients with a published, measured GI; the rest uses conventional placeholders (see Ingredients sheet)</t>
        </is>
      </c>
      <c r="Z432" s="2" t="n">
        <v>0</v>
      </c>
      <c r="AA432" s="3" t="inlineStr">
        <is>
          <t>gluten-free, dairy-free, nut-free, low-carb, high-protein, one-pan</t>
        </is>
      </c>
      <c r="AB432" s="3" t="inlineStr">
        <is>
          <t>1. Season chops; sear in oil 4 minutes per side; rest.
2. Sauté onion and cabbage in the pan 8 minutes; add vinegar, broth and Dijon.
3. Serve chops over the cabbage.</t>
        </is>
      </c>
      <c r="AC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14% of this dish's available carbohydrate comes from ingredients with a published, measured GI; the rest uses conventional placeholders (see Ingredients sheet)</t>
        </is>
      </c>
      <c r="Z433" s="2" t="n">
        <v>14</v>
      </c>
      <c r="AA433" s="3" t="inlineStr">
        <is>
          <t>gluten-free, nut-free, low-carb, high-protein</t>
        </is>
      </c>
      <c r="AB433" s="3" t="inlineStr">
        <is>
          <t>1. Marinate beef cubes in oil, lemon, garlic, oregano, cumin 20 minutes.
2. Thread with vegetables; grill 10–12 minutes.
3. Serve with yogurt-mint sauce.</t>
        </is>
      </c>
      <c r="AC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60% of this dish's available carbohydrate comes from ingredients with a published, measured GI; the rest uses conventional placeholders (see Ingredients sheet)</t>
        </is>
      </c>
      <c r="Z434" s="2" t="n">
        <v>60</v>
      </c>
      <c r="AA434" s="3" t="inlineStr">
        <is>
          <t>dairy-free, nut-free, low-carb, high-protein, make-ahead</t>
        </is>
      </c>
      <c r="AB434" s="3" t="inlineStr">
        <is>
          <t>1. Pulse mushrooms, carrot, onion finely; sauté 5 minutes; cool.
2. Mix with beef, eggs, oats, garlic, Dijon, thyme, salt; shape a loaf.
3. Glaze with tomato paste and vinegar; bake at 375°F 55–60 minutes.</t>
        </is>
      </c>
      <c r="AC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0% of this dish's available carbohydrate comes from ingredients with a published, measured GI; the rest uses conventional placeholders (see Ingredients sheet)</t>
        </is>
      </c>
      <c r="Z435" s="2" t="n">
        <v>0</v>
      </c>
      <c r="AA435" s="3" t="inlineStr">
        <is>
          <t>gluten-free, nut-free, low-carb, high-protein</t>
        </is>
      </c>
      <c r="AB435" s="3" t="inlineStr">
        <is>
          <t>1. Brush portobellos with oil; grill 4 minutes per side.
2. Form bison patties; grill 5 minutes per side; top with cheddar.
3. Assemble burgers between mushroom caps with tomato, onion, arugula, Dijon.</t>
        </is>
      </c>
      <c r="AC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9% of this dish's available carbohydrate comes from ingredients with a published, measured GI; the rest uses conventional placeholders (see Ingredients sheet)</t>
        </is>
      </c>
      <c r="Z436" s="2" t="n">
        <v>9</v>
      </c>
      <c r="AA436" s="3" t="inlineStr">
        <is>
          <t>gluten-free, dairy-free, nut-free, low-carb, high-protein, quick</t>
        </is>
      </c>
      <c r="AB436" s="3" t="inlineStr">
        <is>
          <t>1. Toss pork strips with arrowroot and half the tamari; stir-fry in oil; remove.
2. Stir-fry snap peas, pepper, ginger, garlic 3 minutes.
3. Return pork with remaining tamari, vinegar, sesame oil; serve over cauliflower rice.</t>
        </is>
      </c>
      <c r="AC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56% of this dish's available carbohydrate comes from ingredients with a published, measured GI; the rest uses conventional placeholders (see Ingredients sheet)</t>
        </is>
      </c>
      <c r="Z437" s="2" t="n">
        <v>56</v>
      </c>
      <c r="AA437" s="3" t="inlineStr">
        <is>
          <t>gluten-free, dairy-free, nut-free, low-carb, high-protein, slow-cooker, make-ahead</t>
        </is>
      </c>
      <c r="AB437" s="3" t="inlineStr">
        <is>
          <t>1. Sear seasoned roast in oil on all sides.
2. Place in slow cooker with vegetables, garlic, broth, tomato paste, herbs.
3. Cook on low 8 hours; shred and serve with the vegetables and juices.</t>
        </is>
      </c>
      <c r="AC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20% of this dish's available carbohydrate comes from ingredients with a published, measured GI; the rest uses conventional placeholders (see Ingredients sheet)</t>
        </is>
      </c>
      <c r="Z438" s="2" t="n">
        <v>20</v>
      </c>
      <c r="AA438" s="3" t="inlineStr">
        <is>
          <t>gluten-free, nut-free, low-carb, high-protein</t>
        </is>
      </c>
      <c r="AB438" s="3" t="inlineStr">
        <is>
          <t>1. Roast cauliflower with half the oil and cumin at 425°F 22 minutes.
2. Season chops with garlic, lemon zest, salt; sear 3–4 minutes per side.
3. Mix yogurt, mint, lemon juice; serve alongside.</t>
        </is>
      </c>
      <c r="AC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0% of this dish's available carbohydrate comes from ingredients with a published, measured GI; the rest uses conventional placeholders (see Ingredients sheet)</t>
        </is>
      </c>
      <c r="Z439" s="2" t="n">
        <v>0</v>
      </c>
      <c r="AA439" s="3" t="inlineStr">
        <is>
          <t>gluten-free, dairy-free, nut-free, high-protein, high-fiber, make-ahead</t>
        </is>
      </c>
      <c r="AB439" s="3" t="inlineStr">
        <is>
          <t>1. Blanch cabbage leaves 3 minutes. Mix beef, cauliflower rice, sautéed onion, egg, garlic, paprika, salt.
2. Roll filling in leaves; place seam-down in a dish; pour over tomato sauce and tomatoes.
3. Cover and bake at 350°F 70 minutes; garnish dill.</t>
        </is>
      </c>
      <c r="AC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54% of this dish's available carbohydrate comes from ingredients with a published, measured GI; the rest uses conventional placeholders (see Ingredients sheet)</t>
        </is>
      </c>
      <c r="Z440" s="2" t="n">
        <v>54</v>
      </c>
      <c r="AA440" s="3" t="inlineStr">
        <is>
          <t>gluten-free, dairy-free, nut-free, high-protein, high-fiber, slow-cooker, meal-prep</t>
        </is>
      </c>
      <c r="AB440" s="3" t="inlineStr">
        <is>
          <t>1. Slow-cook pork with orange, lime, garlic, cumin, oregano, onion, broth, salt on low 4 hours.
2. Shred; crisp under the broiler 5 minutes.
3. Bowl with cauliflower rice, beans, pico, avocado, cilantro.</t>
        </is>
      </c>
      <c r="AC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24</v>
      </c>
      <c r="U441" s="2" t="inlineStr">
        <is>
          <t>low</t>
        </is>
      </c>
      <c r="V441" s="5" t="n">
        <v>1</v>
      </c>
      <c r="W441" s="2" t="inlineStr">
        <is>
          <t>low</t>
        </is>
      </c>
      <c r="X441" s="3" t="inlineStr">
        <is>
          <t>Negligible carbohydrate (&lt;5 g net/serving): GI has little practical meaning, glycemic load is what matters.</t>
        </is>
      </c>
      <c r="Y441" s="3" t="inlineStr">
        <is>
          <t>42% of this dish's available carbohydrate comes from ingredients with a published, measured GI; the rest uses conventional placeholders (see Ingredients sheet)</t>
        </is>
      </c>
      <c r="Z441" s="2" t="n">
        <v>42</v>
      </c>
      <c r="AA441" s="3" t="inlineStr">
        <is>
          <t>gluten-free, dairy-free, nut-free, low-carb, high-protein</t>
        </is>
      </c>
      <c r="AB441" s="3" t="inlineStr">
        <is>
          <t>1. Marinate thinly sliced beef in tamari, grated pear, garlic, ginger, sesame oil, sweetener 20 minutes.
2. Sear in a hot pan with avocado oil 2 minutes per batch.
3. Serve in lettuce with kimchi, green onion, sesame.</t>
        </is>
      </c>
      <c r="AC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22% of this dish's available carbohydrate comes from ingredients with a published, measured GI; the rest uses conventional placeholders (see Ingredients sheet)</t>
        </is>
      </c>
      <c r="Z442" s="2" t="n">
        <v>22</v>
      </c>
      <c r="AA442" s="3" t="inlineStr">
        <is>
          <t>gluten-free, nut-free, low-carb, high-protein</t>
        </is>
      </c>
      <c r="AB442" s="3" t="inlineStr">
        <is>
          <t>1. Brown pork with fennel seeds, seasoning and pepper flakes (homemade sausage).
2. Add peppers, onion, garlic; cook 6 minutes; add marinara.
3. Serve over sautéed zoodles with parmesan.</t>
        </is>
      </c>
      <c r="AC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41% of this dish's available carbohydrate comes from ingredients with a published, measured GI; the rest uses conventional placeholders (see Ingredients sheet)</t>
        </is>
      </c>
      <c r="Z443" s="2" t="n">
        <v>41</v>
      </c>
      <c r="AA443" s="3" t="inlineStr">
        <is>
          <t>gluten-free, nut-free, high-protein</t>
        </is>
      </c>
      <c r="AB443" s="3" t="inlineStr">
        <is>
          <t>1. Halve zucchini; scoop centers and chop.
2. Brown beef with onion, zucchini flesh, seasoning; add beans and salsa.
3. Fill boats, top with cheddar; bake at 400°F 20 minutes; serve with yogurt and cilantro.</t>
        </is>
      </c>
      <c r="AC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0% of this dish's available carbohydrate comes from ingredients with a published, measured GI; the rest uses conventional placeholders (see Ingredients sheet)</t>
        </is>
      </c>
      <c r="Z444" s="2" t="n">
        <v>0</v>
      </c>
      <c r="AA444" s="3" t="inlineStr">
        <is>
          <t>gluten-free, dairy-free, nut-free, low-carb, high-protein</t>
        </is>
      </c>
      <c r="AB444" s="3" t="inlineStr">
        <is>
          <t>1. Roast halved sprouts with half the oil at 425°F 20 minutes.
2. Season chops with rosemary and garlic; sear 4–5 minutes per side.
3. Toss sprouts with balsamic and Dijon; serve with chops.</t>
        </is>
      </c>
      <c r="AC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23</v>
      </c>
      <c r="U445" s="2" t="inlineStr">
        <is>
          <t>low</t>
        </is>
      </c>
      <c r="V445" s="5" t="n">
        <v>2.8</v>
      </c>
      <c r="W445" s="2" t="inlineStr">
        <is>
          <t>low</t>
        </is>
      </c>
      <c r="X445" s="3" t="inlineStr"/>
      <c r="Y445" s="3" t="inlineStr">
        <is>
          <t>31% of this dish's available carbohydrate comes from ingredients with a published, measured GI; the rest uses conventional placeholders (see Ingredients sheet)</t>
        </is>
      </c>
      <c r="Z445" s="2" t="n">
        <v>31</v>
      </c>
      <c r="AA445" s="3" t="inlineStr">
        <is>
          <t>gluten-free, nut-free, low-carb, high-protein, make-ahead</t>
        </is>
      </c>
      <c r="AB445" s="3" t="inlineStr">
        <is>
          <t>1. Brown lamb with onion, carrot, mushrooms, garlic; add tomato paste, broth, thyme, peas; simmer 10 minutes.
2. Steam cauliflower; mash with butter, milk, parmesan, salt.
3. Spread mash over filling; bake at 400°F 25 minutes.</t>
        </is>
      </c>
      <c r="AC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43</v>
      </c>
      <c r="U446" s="2" t="inlineStr">
        <is>
          <t>low</t>
        </is>
      </c>
      <c r="V446" s="5" t="n">
        <v>10.1</v>
      </c>
      <c r="W446" s="2" t="inlineStr">
        <is>
          <t>medium</t>
        </is>
      </c>
      <c r="X446" s="3" t="inlineStr"/>
      <c r="Y446" s="3" t="inlineStr">
        <is>
          <t>78% of this dish's available carbohydrate comes from ingredients with a published, measured GI; the rest uses conventional placeholders (see Ingredients sheet)</t>
        </is>
      </c>
      <c r="Z446" s="2" t="n">
        <v>78</v>
      </c>
      <c r="AA446" s="3" t="inlineStr">
        <is>
          <t>nut-free, high-protein</t>
        </is>
      </c>
      <c r="AB446" s="3" t="inlineStr">
        <is>
          <t>1. Sear beef strips in oil; remove. Sauté mushrooms, onion, garlic 8 minutes; add paprika, broth, Dijon.
2. Stir in yogurt off the heat; return beef.
3. Serve over al dente whole wheat pasta with parsley.</t>
        </is>
      </c>
      <c r="AC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9% of this dish's available carbohydrate comes from ingredients with a published, measured GI; the rest uses conventional placeholders (see Ingredients sheet)</t>
        </is>
      </c>
      <c r="Z447" s="2" t="n">
        <v>9</v>
      </c>
      <c r="AA447" s="3" t="inlineStr">
        <is>
          <t>gluten-free, nut-free, low-carb, high-protein</t>
        </is>
      </c>
      <c r="AB447" s="3" t="inlineStr">
        <is>
          <t>1. Slice pork into medallions; season; sear 3 minutes per side; remove.
2. Sauté mushrooms, shallot, garlic, thyme; add wine and broth; reduce; stir in yogurt off heat.
3. Return pork; serve with green beans.</t>
        </is>
      </c>
      <c r="AC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43% of this dish's available carbohydrate comes from ingredients with a published, measured GI; the rest uses conventional placeholders (see Ingredients sheet)</t>
        </is>
      </c>
      <c r="Z448" s="2" t="n">
        <v>43</v>
      </c>
      <c r="AA448" s="3" t="inlineStr">
        <is>
          <t>gluten-free, nut-free, high-protein, high-fiber</t>
        </is>
      </c>
      <c r="AB448" s="3" t="inlineStr">
        <is>
          <t>1. Season steak with chili powder, cumin, lime; grill and slice.
2. Sauté peppers and onion in oil until charred.
3. Bowl cauliflower rice, beans, steak, peppers, avocado, salsa, yogurt, cilantro.</t>
        </is>
      </c>
      <c r="AC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19% of this dish's available carbohydrate comes from ingredients with a published, measured GI; the rest uses conventional placeholders (see Ingredients sheet)</t>
        </is>
      </c>
      <c r="Z449" s="2" t="n">
        <v>19</v>
      </c>
      <c r="AA449" s="3" t="inlineStr">
        <is>
          <t>gluten-free, nut-free, low-carb, high-protein</t>
        </is>
      </c>
      <c r="AB449" s="3" t="inlineStr">
        <is>
          <t>1. Mix lamb, grated onion, herbs, garlic, spices, salt; shape onto skewers.
2. Grill 12 minutes, turning.
3. Serve with cucumber-tomato salad and lemon yogurt.</t>
        </is>
      </c>
      <c r="AC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0% of this dish's available carbohydrate comes from ingredients with a published, measured GI; the rest uses conventional placeholders (see Ingredients sheet)</t>
        </is>
      </c>
      <c r="Z450" s="2" t="n">
        <v>0</v>
      </c>
      <c r="AA450" s="3" t="inlineStr">
        <is>
          <t>gluten-free, dairy-free, nut-free, low-carb, high-protein, make-ahead</t>
        </is>
      </c>
      <c r="AB450" s="3" t="inlineStr">
        <is>
          <t>1. Sear steak in oil; remove. Sauté peppers, onion, garlic; add cumin, oregano, wine.
2. Add tomatoes, broth, bay, steak; simmer covered 2.5 hours until shreddable.
3. Shred, return to sauce with olives; serve over cauliflower rice.</t>
        </is>
      </c>
      <c r="AC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0% of this dish's available carbohydrate comes from ingredients with a published, measured GI; the rest uses conventional placeholders (see Ingredients sheet)</t>
        </is>
      </c>
      <c r="Z451" s="2" t="n">
        <v>0</v>
      </c>
      <c r="AA451" s="3" t="inlineStr">
        <is>
          <t>gluten-free, dairy-free, nut-free, low-carb, high-protein, quick</t>
        </is>
      </c>
      <c r="AB451" s="3" t="inlineStr">
        <is>
          <t>1. Blister green beans in avocado oil over high heat 5 minutes; remove.
2. Brown pork with garlic and ginger; add tamari, vinegar, chili crisp.
3. Return beans; toss with sesame oil and green onion.</t>
        </is>
      </c>
      <c r="AC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67% of this dish's available carbohydrate comes from ingredients with a published, measured GI; the rest uses conventional placeholders (see Ingredients sheet)</t>
        </is>
      </c>
      <c r="Z452" s="2" t="n">
        <v>67</v>
      </c>
      <c r="AA452" s="3" t="inlineStr">
        <is>
          <t>nut-free, high-protein</t>
        </is>
      </c>
      <c r="AB452" s="3" t="inlineStr">
        <is>
          <t>1. Mix beef with grated onion, a third of the parsley, garlic, cumin, paprika, salt; form kebabs; grill 10 minutes.
2. Toss bulgur with remaining parsley, tomato, cucumber, mint, lemon, oil.
3. Serve kebabs over tabbouleh with yogurt.</t>
        </is>
      </c>
      <c r="AC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0% of this dish's available carbohydrate comes from ingredients with a published, measured GI; the rest uses conventional placeholders (see Ingredients sheet)</t>
        </is>
      </c>
      <c r="Z453" s="2" t="n">
        <v>0</v>
      </c>
      <c r="AA453" s="3" t="inlineStr">
        <is>
          <t>gluten-free, nut-free, low-carb, high-protein, quick</t>
        </is>
      </c>
      <c r="AB453" s="3" t="inlineStr">
        <is>
          <t>1. Sear beef cubes in oil over high heat 2 minutes per side; remove.
2. Sauté zucchini 4 minutes; add butter and garlic 1 minute.
3. Return beef; toss with parsley and pepper flakes.</t>
        </is>
      </c>
      <c r="AC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16% of this dish's available carbohydrate comes from ingredients with a published, measured GI; the rest uses conventional placeholders (see Ingredients sheet)</t>
        </is>
      </c>
      <c r="Z454" s="2" t="n">
        <v>16</v>
      </c>
      <c r="AA454" s="3" t="inlineStr">
        <is>
          <t>gluten-free, nut-free, low-carb, high-protein</t>
        </is>
      </c>
      <c r="AB454" s="3" t="inlineStr">
        <is>
          <t>1. Marinate pork cubes in lemon, oil, garlic, oregano, salt 20 minutes; skewer; grill 10–12 minutes.
2. Toss tomato, cucumber, onion, olives, feta.
3. Serve with yogurt-dill sauce.</t>
        </is>
      </c>
      <c r="AC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6% of this dish's available carbohydrate comes from ingredients with a published, measured GI; the rest uses conventional placeholders (see Ingredients sheet)</t>
        </is>
      </c>
      <c r="Z455" s="2" t="n">
        <v>6</v>
      </c>
      <c r="AA455" s="3" t="inlineStr">
        <is>
          <t>gluten-free, nut-free, high-protein, high-fiber, make-ahead</t>
        </is>
      </c>
      <c r="AB455" s="3" t="inlineStr">
        <is>
          <t>1. Brown beef cubes in oil; sauté onion, carrot, celery, garlic; add wine, tomatoes, broth, rosemary.
2. Simmer covered 80 minutes; shred beef into sauce.
3. Roast squash; serve ragu over strands with parmesan.</t>
        </is>
      </c>
      <c r="AC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0% of this dish's available carbohydrate comes from ingredients with a published, measured GI; the rest uses conventional placeholders (see Ingredients sheet)</t>
        </is>
      </c>
      <c r="Z456" s="2" t="n">
        <v>0</v>
      </c>
      <c r="AA456" s="3" t="inlineStr">
        <is>
          <t>gluten-free, dairy-free, nut-free, low-carb, high-protein, quick, one-pan</t>
        </is>
      </c>
      <c r="AB456" s="3" t="inlineStr">
        <is>
          <t>1. Brown pork in oil with garlic and ginger.
2. Add slaw, tamari, vinegar; cook 5 minutes until wilted; push aside, scramble eggs.
3. Finish with sesame oil, green onion, sriracha.</t>
        </is>
      </c>
      <c r="AC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29</v>
      </c>
      <c r="U457" s="2" t="inlineStr">
        <is>
          <t>low</t>
        </is>
      </c>
      <c r="V457" s="5" t="n">
        <v>5.5</v>
      </c>
      <c r="W457" s="2" t="inlineStr">
        <is>
          <t>low</t>
        </is>
      </c>
      <c r="X457" s="3" t="inlineStr"/>
      <c r="Y457" s="3" t="inlineStr">
        <is>
          <t>48% of this dish's available carbohydrate comes from ingredients with a published, measured GI; the rest uses conventional placeholders (see Ingredients sheet)</t>
        </is>
      </c>
      <c r="Z457" s="2" t="n">
        <v>48</v>
      </c>
      <c r="AA457" s="3" t="inlineStr">
        <is>
          <t>nut-free, high-protein, high-fiber, make-ahead</t>
        </is>
      </c>
      <c r="AB457" s="3" t="inlineStr">
        <is>
          <t>1. Brown beef with onion and cumin; stir in beans and chiles.
2. Layer tortillas, beef, sauce and cheese in a dish.
3. Bake at 375°F 25 minutes; serve with yogurt and cilantro.</t>
        </is>
      </c>
      <c r="AC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0% of this dish's available carbohydrate comes from ingredients with a published, measured GI; the rest uses conventional placeholders (see Ingredients sheet)</t>
        </is>
      </c>
      <c r="Z458" s="2" t="n">
        <v>0</v>
      </c>
      <c r="AA458" s="3" t="inlineStr">
        <is>
          <t>gluten-free, dairy-free, low-carb, high-protein</t>
        </is>
      </c>
      <c r="AB458" s="3" t="inlineStr">
        <is>
          <t>1. Rub pork with Dijon, garlic, herbs, salt; press on almond flour.
2. Roast at 400°F 20 minutes (tenderloin) to 145°F; rest.
3. Serve with green beans tossed in oil.</t>
        </is>
      </c>
      <c r="AC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0% of this dish's available carbohydrate comes from ingredients with a published, measured GI; the rest uses conventional placeholders (see Ingredients sheet)</t>
        </is>
      </c>
      <c r="Z459" s="2" t="n">
        <v>0</v>
      </c>
      <c r="AA459" s="3" t="inlineStr">
        <is>
          <t>gluten-free, nut-free, low-carb, high-protein, slow-cooker</t>
        </is>
      </c>
      <c r="AB459" s="3" t="inlineStr">
        <is>
          <t>1. Blend chipotle, garlic, cumin, oregano, lime, vinegar, broth; pour over beef in slow cooker with bay leaves.
2. Cook on low 5 hours; shred.
3. Serve in lettuce with onion, cilantro, cotija.</t>
        </is>
      </c>
      <c r="AC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43</v>
      </c>
      <c r="U460" s="2" t="inlineStr">
        <is>
          <t>low</t>
        </is>
      </c>
      <c r="V460" s="5" t="n">
        <v>2.6</v>
      </c>
      <c r="W460" s="2" t="inlineStr">
        <is>
          <t>low</t>
        </is>
      </c>
      <c r="X460" s="3" t="inlineStr"/>
      <c r="Y460" s="3" t="inlineStr">
        <is>
          <t>66% of this dish's available carbohydrate comes from ingredients with a published, measured GI; the rest uses conventional placeholders (see Ingredients sheet)</t>
        </is>
      </c>
      <c r="Z460" s="2" t="n">
        <v>66</v>
      </c>
      <c r="AA460" s="3" t="inlineStr">
        <is>
          <t>gluten-free, dairy-free, nut-free, low-carb, high-protein</t>
        </is>
      </c>
      <c r="AB460" s="3" t="inlineStr">
        <is>
          <t>1. Rub chops with paprika and salt; grill 4–5 minutes per side.
2. Dice peach, onion, jalapeño; toss with cilantro and lime.
3. Serve chops with salsa over arugula.</t>
        </is>
      </c>
      <c r="AC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23% of this dish's available carbohydrate comes from ingredients with a published, measured GI; the rest uses conventional placeholders (see Ingredients sheet)</t>
        </is>
      </c>
      <c r="Z461" s="2" t="n">
        <v>23</v>
      </c>
      <c r="AA461" s="3" t="inlineStr">
        <is>
          <t>gluten-free, nut-free, low-carb, high-protein, make-ahead</t>
        </is>
      </c>
      <c r="AB461" s="3" t="inlineStr">
        <is>
          <t>1. Slice zucchini into planks; salt, drain 15 minutes, blot; grill briefly.
2. Brown beef with garlic and seasoning; add marinara. Mix ricotta, egg, spinach.
3. Layer; top with mozzarella and parmesan; bake at 375°F 40 minutes; rest 10.</t>
        </is>
      </c>
      <c r="AC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17% of this dish's available carbohydrate comes from ingredients with a published, measured GI; the rest uses conventional placeholders (see Ingredients sheet)</t>
        </is>
      </c>
      <c r="Z462" s="2" t="n">
        <v>17</v>
      </c>
      <c r="AA462" s="3" t="inlineStr">
        <is>
          <t>gluten-free, dairy-free, low-carb, high-protein</t>
        </is>
      </c>
      <c r="AB462" s="3" t="inlineStr">
        <is>
          <t>1. Mix pork, garlic, half the fish sauce, green onion, ginger; form meatballs; pan-fry in oil 10 minutes.
2. Toss cabbage, carrot, cucumber, herbs with lime, vinegar and remaining fish sauce.
3. Serve over cauliflower rice with peanuts.</t>
        </is>
      </c>
      <c r="AC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0% of this dish's available carbohydrate comes from ingredients with a published, measured GI; the rest uses conventional placeholders (see Ingredients sheet)</t>
        </is>
      </c>
      <c r="Z463" s="2" t="n">
        <v>0</v>
      </c>
      <c r="AA463" s="3" t="inlineStr">
        <is>
          <t>gluten-free, dairy-free, nut-free, low-carb, high-protein, quick</t>
        </is>
      </c>
      <c r="AB463" s="3" t="inlineStr">
        <is>
          <t>1. Season steak; sear 4 minutes per side; rest, slice.
2. Sauté peppers and onion in oil until charred.
3. Fill romaine leaves with steak, peppers, guacamole, salsa.</t>
        </is>
      </c>
      <c r="AC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0% of this dish's available carbohydrate comes from ingredients with a published, measured GI; the rest uses conventional placeholders (see Ingredients sheet)</t>
        </is>
      </c>
      <c r="Z464" s="2" t="n">
        <v>0</v>
      </c>
      <c r="AA464" s="3" t="inlineStr">
        <is>
          <t>gluten-free, dairy-free, nut-free, low-carb, high-protein, quick</t>
        </is>
      </c>
      <c r="AB464" s="3" t="inlineStr">
        <is>
          <t>1. Stir-fry pork strips in oil; remove.
2. Stir-fry shiitake, garlic, ginger; add bok choy 3 minutes.
3. Return pork with tamari, vinegar, sesame oil; top sesame.</t>
        </is>
      </c>
      <c r="AC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0% of this dish's available carbohydrate comes from ingredients with a published, measured GI; the rest uses conventional placeholders (see Ingredients sheet)</t>
        </is>
      </c>
      <c r="Z465" s="2" t="n">
        <v>0</v>
      </c>
      <c r="AA465" s="3" t="inlineStr">
        <is>
          <t>gluten-free, dairy-free, nut-free, low-carb, high-protein, make-ahead</t>
        </is>
      </c>
      <c r="AB465" s="3" t="inlineStr">
        <is>
          <t>1. Brown beef with onion, pepper, garlic; add spices.
2. Add tomatoes, paste, olives, capers; simmer 20 minutes.
3. Serve over cauliflower rice.</t>
        </is>
      </c>
      <c r="AC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30% of this dish's available carbohydrate comes from ingredients with a published, measured GI; the rest uses conventional placeholders (see Ingredients sheet)</t>
        </is>
      </c>
      <c r="Z466" s="2" t="n">
        <v>30</v>
      </c>
      <c r="AA466" s="3" t="inlineStr">
        <is>
          <t>gluten-free, dairy-free, nut-free, low-carb, high-protein, make-ahead</t>
        </is>
      </c>
      <c r="AB466" s="3" t="inlineStr">
        <is>
          <t>1. Rub lamb with garlic, rosemary, lemon zest, oil, Dijon, salt; rest 30 minutes.
2. Roast at 375°F 75–90 minutes to 135°F for medium-rare, adding vegetables around it after 30 minutes.
3. Rest 15 minutes; slice thin.</t>
        </is>
      </c>
      <c r="AC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18% of this dish's available carbohydrate comes from ingredients with a published, measured GI; the rest uses conventional placeholders (see Ingredients sheet)</t>
        </is>
      </c>
      <c r="Z467" s="2" t="n">
        <v>18</v>
      </c>
      <c r="AA467" s="3" t="inlineStr">
        <is>
          <t>gluten-free, nut-free, low-carb, high-protein, quick</t>
        </is>
      </c>
      <c r="AB467" s="3" t="inlineStr">
        <is>
          <t>1. Brown beef; season; drain.
2. Whisk yogurt, mayo, mustard and pickle juice into 'special sauce'.
3. Toss romaine, tomato, pickle, onion; top with beef, cheddar, sauce.</t>
        </is>
      </c>
      <c r="AC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0% of this dish's available carbohydrate comes from ingredients with a published, measured GI; the rest uses conventional placeholders (see Ingredients sheet)</t>
        </is>
      </c>
      <c r="Z468" s="2" t="n">
        <v>0</v>
      </c>
      <c r="AA468" s="3" t="inlineStr">
        <is>
          <t>gluten-free, dairy-free, nut-free, low-carb, high-protein, quick</t>
        </is>
      </c>
      <c r="AB468" s="3" t="inlineStr">
        <is>
          <t>1. Brown pork with ginger and garlic in oil.
2. Add cabbage, tamari, vinegar; cook 5 minutes.
3. Finish with sesame oil, green onion, chili crisp.</t>
        </is>
      </c>
      <c r="AC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0% of this dish's available carbohydrate comes from ingredients with a published, measured GI; the rest uses conventional placeholders (see Ingredients sheet)</t>
        </is>
      </c>
      <c r="Z469" s="2" t="n">
        <v>0</v>
      </c>
      <c r="AA469" s="3" t="inlineStr">
        <is>
          <t>gluten-free, nut-free, low-carb, high-protein, meal-prep</t>
        </is>
      </c>
      <c r="AB469" s="3" t="inlineStr">
        <is>
          <t>1. Halve peppers; roast 10 minutes.
2. Brown beef with onion, garlic, seasoning; add cauliflower rice and tomatoes.
3. Fill peppers, top with mozzarella; bake at 400°F 20 minutes.</t>
        </is>
      </c>
      <c r="AC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0% of this dish's available carbohydrate comes from ingredients with a published, measured GI; the rest uses conventional placeholders (see Ingredients sheet)</t>
        </is>
      </c>
      <c r="Z470" s="2" t="n">
        <v>0</v>
      </c>
      <c r="AA470" s="3" t="inlineStr">
        <is>
          <t>gluten-free, dairy-free, nut-free, low-carb, high-protein, make-ahead</t>
        </is>
      </c>
      <c r="AB470" s="3" t="inlineStr">
        <is>
          <t>1. Broil tomatillos, poblano, jalapeño, onion, garlic 10 minutes; blend with cilantro.
2. Brown pork cubes in oil; add sauce, cumin, broth; simmer covered 1.5–2 hours.
3. Finish with lime; serve with cauliflower rice.</t>
        </is>
      </c>
      <c r="AC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69% of this dish's available carbohydrate comes from ingredients with a published, measured GI; the rest uses conventional placeholders (see Ingredients sheet)</t>
        </is>
      </c>
      <c r="Z471" s="2" t="n">
        <v>69</v>
      </c>
      <c r="AA471" s="3" t="inlineStr">
        <is>
          <t>gluten-free, dairy-free, nut-free, high-protein, high-fiber</t>
        </is>
      </c>
      <c r="AB471" s="3" t="inlineStr">
        <is>
          <t>1. Roast diced sweet potato with half the oil at 425°F 18 minutes.
2. Sear steak 4 minutes per side; rest, slice. Sauté kale with garlic; fry eggs.
3. Bowl everything with avocado and hot sauce.</t>
        </is>
      </c>
      <c r="AC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14% of this dish's available carbohydrate comes from ingredients with a published, measured GI; the rest uses conventional placeholders (see Ingredients sheet)</t>
        </is>
      </c>
      <c r="Z472" s="2" t="n">
        <v>14</v>
      </c>
      <c r="AA472" s="3" t="inlineStr">
        <is>
          <t>gluten-free, low-carb, high-protein</t>
        </is>
      </c>
      <c r="AB472" s="3" t="inlineStr">
        <is>
          <t>1. Mix beef, feta, onion, garlic, oregano, mint, egg, almond flour, salt; form meatballs; bake at 400°F 18 minutes.
2. Shave zucchini; toss with tomato, lemon, oil.
3. Serve with yogurt.</t>
        </is>
      </c>
      <c r="AC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0% of this dish's available carbohydrate comes from ingredients with a published, measured GI; the rest uses conventional placeholders (see Ingredients sheet)</t>
        </is>
      </c>
      <c r="Z473" s="2" t="n">
        <v>0</v>
      </c>
      <c r="AA473" s="3" t="inlineStr">
        <is>
          <t>gluten-free, dairy-free, nut-free, low-carb, high-protein</t>
        </is>
      </c>
      <c r="AB473" s="3" t="inlineStr">
        <is>
          <t>1. Rub pork with Dijon, garlic, thyme; wrap in bacon.
2. Roast at 425°F 25 minutes to 145°F; broil 2 minutes to crisp.
3. Roast asparagus with oil alongside; slice pork.</t>
        </is>
      </c>
      <c r="AC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32% of this dish's available carbohydrate comes from ingredients with a published, measured GI; the rest uses conventional placeholders (see Ingredients sheet)</t>
        </is>
      </c>
      <c r="Z474" s="2" t="n">
        <v>32</v>
      </c>
      <c r="AA474" s="3" t="inlineStr">
        <is>
          <t>gluten-free, dairy-free, nut-free, low-carb, high-protein</t>
        </is>
      </c>
      <c r="AB474" s="3" t="inlineStr">
        <is>
          <t>1. Marinate sliced steak in spices, garlic, lemon, oil 15 minutes; sear in a hot pan 5 minutes.
2. Whisk tahini with lemon and water.
3. Plate beef with hummus, tomato, cucumber, onion, parsley, tahini sauce.</t>
        </is>
      </c>
      <c r="AC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10% of this dish's available carbohydrate comes from ingredients with a published, measured GI; the rest uses conventional placeholders (see Ingredients sheet)</t>
        </is>
      </c>
      <c r="Z475" s="2" t="n">
        <v>10</v>
      </c>
      <c r="AA475" s="3" t="inlineStr">
        <is>
          <t>gluten-free, nut-free, low-carb, high-protein</t>
        </is>
      </c>
      <c r="AB475" s="3" t="inlineStr">
        <is>
          <t>1. Rub ribs with spices, sweetener, salt; wrap in foil; bake at 300°F 2 hours.
2. Mix tomato paste, vinegar, Dijon into a glaze; brush on and broil 5 minutes.
3. Serve with yogurt slaw.</t>
        </is>
      </c>
      <c r="AC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11% of this dish's available carbohydrate comes from ingredients with a published, measured GI; the rest uses conventional placeholders (see Ingredients sheet)</t>
        </is>
      </c>
      <c r="Z476" s="2" t="n">
        <v>11</v>
      </c>
      <c r="AA476" s="3" t="inlineStr">
        <is>
          <t>gluten-free, nut-free, low-carb, high-protein</t>
        </is>
      </c>
      <c r="AB476" s="3" t="inlineStr">
        <is>
          <t>1. Mix beef, onion, parsley, garlic, spices, salt; shape kofta; grill 12 minutes.
2. Sauté cauliflower rice.
3. Bowl with tomato, cucumber, yogurt-tahini-lemon sauce.</t>
        </is>
      </c>
      <c r="AC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0% of this dish's available carbohydrate comes from ingredients with a published, measured GI; the rest uses conventional placeholders (see Ingredients sheet)</t>
        </is>
      </c>
      <c r="Z477" s="2" t="n">
        <v>0</v>
      </c>
      <c r="AA477" s="3" t="inlineStr">
        <is>
          <t>gluten-free, dairy-free, nut-free, low-carb, high-protein</t>
        </is>
      </c>
      <c r="AB477" s="3" t="inlineStr">
        <is>
          <t>1. Roast cauliflower with a third of the oil at 425°F 22 minutes.
2. Sear seasoned pork; roast 15 minutes; rest, slice.
3. Blend remaining oil, herbs, garlic, vinegar, oregano, pepper flakes; spoon over.</t>
        </is>
      </c>
      <c r="AC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24</v>
      </c>
      <c r="U478" s="2" t="inlineStr">
        <is>
          <t>low</t>
        </is>
      </c>
      <c r="V478" s="5" t="n">
        <v>2.9</v>
      </c>
      <c r="W478" s="2" t="inlineStr">
        <is>
          <t>low</t>
        </is>
      </c>
      <c r="X478" s="3" t="inlineStr"/>
      <c r="Y478" s="3" t="inlineStr">
        <is>
          <t>32% of this dish's available carbohydrate comes from ingredients with a published, measured GI; the rest uses conventional placeholders (see Ingredients sheet)</t>
        </is>
      </c>
      <c r="Z478" s="2" t="n">
        <v>32</v>
      </c>
      <c r="AA478" s="3" t="inlineStr">
        <is>
          <t>gluten-free, nut-free, low-carb, high-protein, one-pan</t>
        </is>
      </c>
      <c r="AB478" s="3" t="inlineStr">
        <is>
          <t>1. Brown beef with onion, carrot, garlic; add tomato paste, broth, thyme, peas; simmer 8 minutes.
2. Steam and mash cauliflower; spread over the skillet.
3. Top with cheddar; broil 4 minutes.</t>
        </is>
      </c>
      <c r="AC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73% of this dish's available carbohydrate comes from ingredients with a published, measured GI; the rest uses conventional placeholders (see Ingredients sheet)</t>
        </is>
      </c>
      <c r="Z479" s="2" t="n">
        <v>73</v>
      </c>
      <c r="AA479" s="3" t="inlineStr">
        <is>
          <t>gluten-free, dairy-free, nut-free, high-protein, high-fiber</t>
        </is>
      </c>
      <c r="AB479" s="3" t="inlineStr">
        <is>
          <t>1. Season chops; sear 4–5 minutes per side; rest.
2. Sauté garlic and kale in the pan; add beans and broth; simmer 5 minutes.
3. Finish with lemon and pepper flakes; serve with chops.</t>
        </is>
      </c>
      <c r="AC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0% of this dish's available carbohydrate comes from ingredients with a published, measured GI; the rest uses conventional placeholders (see Ingredients sheet)</t>
        </is>
      </c>
      <c r="Z480" s="2" t="n">
        <v>0</v>
      </c>
      <c r="AA480" s="3" t="inlineStr">
        <is>
          <t>gluten-free, dairy-free, low-carb, high-protein</t>
        </is>
      </c>
      <c r="AB480" s="3" t="inlineStr">
        <is>
          <t>1. Marinate steak strips in tamari, garlic, ginger, curry powder, coconut milk 20 minutes; skewer; grill 3 minutes per side.
2. Whisk peanut butter, lime, sriracha, warm water.
3. Toss cucumber and onion with rice vinegar; serve with satay and sauce.</t>
        </is>
      </c>
      <c r="AC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18% of this dish's available carbohydrate comes from ingredients with a published, measured GI; the rest uses conventional placeholders (see Ingredients sheet)</t>
        </is>
      </c>
      <c r="Z481" s="2" t="n">
        <v>18</v>
      </c>
      <c r="AA481" s="3" t="inlineStr">
        <is>
          <t>gluten-free, nut-free, low-carb, high-protein</t>
        </is>
      </c>
      <c r="AB481" s="3" t="inlineStr">
        <is>
          <t>1. Brush caps with oil; roast 8 minutes.
2. Brown beef with onion, garlic, seasoning; add spinach and marinara.
3. Fill caps; top with cheeses; bake at 400°F 12 minutes.</t>
        </is>
      </c>
      <c r="AC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28% of this dish's available carbohydrate comes from ingredients with a published, measured GI; the rest uses conventional placeholders (see Ingredients sheet)</t>
        </is>
      </c>
      <c r="Z482" s="2" t="n">
        <v>28</v>
      </c>
      <c r="AA482" s="3" t="inlineStr">
        <is>
          <t>gluten-free, dairy-free, low-carb, high-protein, quick</t>
        </is>
      </c>
      <c r="AB482" s="3" t="inlineStr">
        <is>
          <t>1. Brown pork with garlic, ginger, half the tamari.
2. Whisk peanut butter, remaining tamari, lime, sriracha, water.
3. Fill lettuce with pork, carrot, cucumber, cilantro; drizzle sauce; top with peanuts.</t>
        </is>
      </c>
      <c r="AC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17% of this dish's available carbohydrate comes from ingredients with a published, measured GI; the rest uses conventional placeholders (see Ingredients sheet)</t>
        </is>
      </c>
      <c r="Z483" s="2" t="n">
        <v>17</v>
      </c>
      <c r="AA483" s="3" t="inlineStr">
        <is>
          <t>gluten-free, dairy-free, nut-free, low-carb, high-protein, quick</t>
        </is>
      </c>
      <c r="AB483" s="3" t="inlineStr">
        <is>
          <t>1. Brown beef in oil with garlic and ginger.
2. Add cabbage and carrot; stir-fry 5 minutes.
3. Add tamari, vinegar, sesame oil, green onion.</t>
        </is>
      </c>
      <c r="AC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16% of this dish's available carbohydrate comes from ingredients with a published, measured GI; the rest uses conventional placeholders (see Ingredients sheet)</t>
        </is>
      </c>
      <c r="Z484" s="2" t="n">
        <v>16</v>
      </c>
      <c r="AA484" s="3" t="inlineStr">
        <is>
          <t>gluten-free, nut-free, low-carb, high-protein, make-ahead</t>
        </is>
      </c>
      <c r="AB484" s="3" t="inlineStr">
        <is>
          <t>1. Slice eggplant; brush with oil; roast at 425°F 20 minutes.
2. Brown lamb with onion, garlic; add tomatoes, cinnamon, oregano; simmer 15 minutes.
3. Layer eggplant and lamb; top with yogurt whisked with eggs, parmesan, nutmeg; bake at 375°F 35 minutes.</t>
        </is>
      </c>
      <c r="AC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0% of this dish's available carbohydrate comes from ingredients with a published, measured GI; the rest uses conventional placeholders (see Ingredients sheet)</t>
        </is>
      </c>
      <c r="Z485" s="2" t="n">
        <v>0</v>
      </c>
      <c r="AA485" s="3" t="inlineStr">
        <is>
          <t>gluten-free, dairy-free, nut-free, low-carb, high-protein</t>
        </is>
      </c>
      <c r="AB485" s="3" t="inlineStr">
        <is>
          <t>1. Sauté bacon, onion, garlic; add collards, broth, vinegar; simmer covered 20 minutes.
2. Rub chops with Cajun seasoning; sear 4–5 minutes per side.
3. Serve chops over greens.</t>
        </is>
      </c>
      <c r="AC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65% of this dish's available carbohydrate comes from ingredients with a published, measured GI; the rest uses conventional placeholders (see Ingredients sheet)</t>
        </is>
      </c>
      <c r="Z486" s="2" t="n">
        <v>65</v>
      </c>
      <c r="AA486" s="3" t="inlineStr">
        <is>
          <t>gluten-free, dairy-free, nut-free, high-protein, one-pan</t>
        </is>
      </c>
      <c r="AB486" s="3" t="inlineStr">
        <is>
          <t>1. Sauté diced sweet potato in oil covered 8 minutes.
2. Add beef, pepper, onion, garlic, spices; cook 8 minutes.
3. Stir in kale; top with avocado.</t>
        </is>
      </c>
      <c r="AC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12% of this dish's available carbohydrate comes from ingredients with a published, measured GI; the rest uses conventional placeholders (see Ingredients sheet)</t>
        </is>
      </c>
      <c r="Z487" s="2" t="n">
        <v>12</v>
      </c>
      <c r="AA487" s="3" t="inlineStr">
        <is>
          <t>gluten-free, nut-free, low-carb, high-protein</t>
        </is>
      </c>
      <c r="AB487" s="3" t="inlineStr">
        <is>
          <t>1. Sear seasoned chops; remove.
2. Sauté shallot and garlic; add broth, Dijon, thyme; reduce; stir in yogurt off heat.
3. Return chops to coat; serve with steamed broccoli.</t>
        </is>
      </c>
      <c r="AC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0% of this dish's available carbohydrate comes from ingredients with a published, measured GI; the rest uses conventional placeholders (see Ingredients sheet)</t>
        </is>
      </c>
      <c r="Z488" s="2" t="n">
        <v>0</v>
      </c>
      <c r="AA488" s="3" t="inlineStr">
        <is>
          <t>gluten-free, nut-free, low-carb, high-protein, one-pan</t>
        </is>
      </c>
      <c r="AB488" s="3" t="inlineStr">
        <is>
          <t>1. Brown beef with onion and garlic.
2. Add zucchini, tomatoes, oregano; simmer 10 minutes.
3. Top with feta and parsley.</t>
        </is>
      </c>
      <c r="AC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22% of this dish's available carbohydrate comes from ingredients with a published, measured GI; the rest uses conventional placeholders (see Ingredients sheet)</t>
        </is>
      </c>
      <c r="Z489" s="2" t="n">
        <v>22</v>
      </c>
      <c r="AA489" s="3" t="inlineStr">
        <is>
          <t>gluten-free, dairy-free, nut-free, low-carb, high-protein</t>
        </is>
      </c>
      <c r="AB489" s="3" t="inlineStr">
        <is>
          <t>1. Marinate pork slices in tamari, garlic, fish sauce; sear in oil.
2. Quick-pickle shredded carrot and daikon in rice vinegar 15 minutes.
3. Bowl cauliflower rice, pork, pickles, cucumber, jalapeño, cilantro, sriracha mayo.</t>
        </is>
      </c>
      <c r="AC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64% of this dish's available carbohydrate comes from ingredients with a published, measured GI; the rest uses conventional placeholders (see Ingredients sheet)</t>
        </is>
      </c>
      <c r="Z490" s="2" t="n">
        <v>64</v>
      </c>
      <c r="AA490" s="3" t="inlineStr">
        <is>
          <t>gluten-free, nut-free, high-protein, high-fiber, make-ahead</t>
        </is>
      </c>
      <c r="AB490" s="3" t="inlineStr">
        <is>
          <t>1. Brown beef with onion, garlic, cumin.
2. Add salsa verde, chiles, beans, broth; simmer 30 minutes.
3. Serve with cilantro and yogurt.</t>
        </is>
      </c>
      <c r="AC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14% of this dish's available carbohydrate comes from ingredients with a published, measured GI; the rest uses conventional placeholders (see Ingredients sheet)</t>
        </is>
      </c>
      <c r="Z491" s="2" t="n">
        <v>14</v>
      </c>
      <c r="AA491" s="3" t="inlineStr">
        <is>
          <t>gluten-free, low-carb, high-protein</t>
        </is>
      </c>
      <c r="AB491" s="3" t="inlineStr">
        <is>
          <t>1. Dip cutlets in egg then almond flour-parmesan-paprika.
2. Pan-fry in oil 3–4 minutes per side.
3. Toss cucumber with yogurt, dill, vinegar; serve with lemon.</t>
        </is>
      </c>
      <c r="AC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0% of this dish's available carbohydrate comes from ingredients with a published, measured GI; the rest uses conventional placeholders (see Ingredients sheet)</t>
        </is>
      </c>
      <c r="Z492" s="2" t="n">
        <v>0</v>
      </c>
      <c r="AA492" s="3" t="inlineStr">
        <is>
          <t>gluten-free, dairy-free, nut-free, low-carb, high-protein</t>
        </is>
      </c>
      <c r="AB492" s="3" t="inlineStr">
        <is>
          <t>1. Roast vegetables with half the oil, garlic, rosemary at 425°F 20 minutes.
2. Sear steak 4 minutes per side; rest, slice.
3. Drizzle vegetables with balsamic; serve.</t>
        </is>
      </c>
      <c r="AC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12% of this dish's available carbohydrate comes from ingredients with a published, measured GI; the rest uses conventional placeholders (see Ingredients sheet)</t>
        </is>
      </c>
      <c r="Z493" s="2" t="n">
        <v>12</v>
      </c>
      <c r="AA493" s="3" t="inlineStr">
        <is>
          <t>gluten-free, nut-free, low-carb, high-protein, make-ahead</t>
        </is>
      </c>
      <c r="AB493" s="3" t="inlineStr">
        <is>
          <t>1. Brown lamb cubes; remove. Sauté onion, garlic, ginger, spices.
2. Add tomatoes, yogurt, lamb; simmer covered 60 minutes.
3. Stir in spinach; garnish cilantro; serve with cauliflower rice.</t>
        </is>
      </c>
      <c r="AC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4% of this dish's available carbohydrate comes from ingredients with a published, measured GI; the rest uses conventional placeholders (see Ingredients sheet)</t>
        </is>
      </c>
      <c r="Z494" s="2" t="n">
        <v>4</v>
      </c>
      <c r="AA494" s="3" t="inlineStr">
        <is>
          <t>nut-free, low-carb, high-protein, high-fiber</t>
        </is>
      </c>
      <c r="AB494" s="3" t="inlineStr">
        <is>
          <t>1. Sauté pork strips with spices in oil; remove.
2. Sauté peppers and onion until charred; return pork; add lime.
3. Serve in tortillas with avocado and yogurt.</t>
        </is>
      </c>
      <c r="AC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28% of this dish's available carbohydrate comes from ingredients with a published, measured GI; the rest uses conventional placeholders (see Ingredients sheet)</t>
        </is>
      </c>
      <c r="Z495" s="2" t="n">
        <v>28</v>
      </c>
      <c r="AA495" s="3" t="inlineStr">
        <is>
          <t>gluten-free, dairy-free, nut-free, low-carb, high-protein, slow-cooker</t>
        </is>
      </c>
      <c r="AB495" s="3" t="inlineStr">
        <is>
          <t>1. Sear beef cubes in oil.
2. Add to slow cooker with all ingredients.
3. Cook on low 7 hours; serve over cauliflower mash.</t>
        </is>
      </c>
      <c r="AC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19% of this dish's available carbohydrate comes from ingredients with a published, measured GI; the rest uses conventional placeholders (see Ingredients sheet)</t>
        </is>
      </c>
      <c r="Z496" s="2" t="n">
        <v>19</v>
      </c>
      <c r="AA496" s="3" t="inlineStr">
        <is>
          <t>gluten-free, high-protein</t>
        </is>
      </c>
      <c r="AB496" s="3" t="inlineStr">
        <is>
          <t>1. Roast halved squash 40 minutes.
2. Mix pork, egg, parmesan, almond flour, garlic, parsley, salt; form meatballs; brown in oil; simmer in marinara 15 minutes.
3. Serve over squash strands.</t>
        </is>
      </c>
      <c r="AC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0% of this dish's available carbohydrate comes from ingredients with a published, measured GI; the rest uses conventional placeholders (see Ingredients sheet)</t>
        </is>
      </c>
      <c r="Z497" s="2" t="n">
        <v>0</v>
      </c>
      <c r="AA497" s="3" t="inlineStr">
        <is>
          <t>gluten-free, low-carb, high-protein</t>
        </is>
      </c>
      <c r="AB497" s="3" t="inlineStr">
        <is>
          <t>1. Sear steak 4 minutes per side; rest, slice.
2. Toss greens, tomato, onion with oil and balsamic.
3. Top with steak, blue cheese, walnuts.</t>
        </is>
      </c>
      <c r="AC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0% of this dish's available carbohydrate comes from ingredients with a published, measured GI; the rest uses conventional placeholders (see Ingredients sheet)</t>
        </is>
      </c>
      <c r="Z498" s="2" t="n">
        <v>0</v>
      </c>
      <c r="AA498" s="3" t="inlineStr">
        <is>
          <t>dairy-free, nut-free, low-carb, high-protein, high-fiber</t>
        </is>
      </c>
      <c r="AB498" s="3" t="inlineStr">
        <is>
          <t>1. Simmer broth with garlic, ginger, tamari, mushrooms 10 minutes; add bok choy.
2. Sear sliced pork 2 minutes per side.
3. Whisk miso into broth; assemble with rinsed shirataki, pork, halved eggs, green onion, sesame oil, nori.</t>
        </is>
      </c>
      <c r="AC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0% of this dish's available carbohydrate comes from ingredients with a published, measured GI; the rest uses conventional placeholders (see Ingredients sheet)</t>
        </is>
      </c>
      <c r="Z499" s="2" t="n">
        <v>0</v>
      </c>
      <c r="AA499" s="3" t="inlineStr">
        <is>
          <t>gluten-free, nut-free, low-carb, high-protein</t>
        </is>
      </c>
      <c r="AB499" s="3" t="inlineStr">
        <is>
          <t>1. Halve peppers; roast 10 minutes.
2. Brown beef with onion, garlic, spices; add tomatoes, olives, chopped egg.
3. Fill peppers; top with cotija; bake at 400°F 20 minutes.</t>
        </is>
      </c>
      <c r="AC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0% of this dish's available carbohydrate comes from ingredients with a published, measured GI; the rest uses conventional placeholders (see Ingredients sheet)</t>
        </is>
      </c>
      <c r="Z500" s="2" t="n">
        <v>0</v>
      </c>
      <c r="AA500" s="3" t="inlineStr">
        <is>
          <t>gluten-free, dairy-free, low-carb, high-protein, quick</t>
        </is>
      </c>
      <c r="AB500" s="3" t="inlineStr">
        <is>
          <t>1. Stir-fry pork strips in oil; remove.
2. Stir-fry green beans with garlic, ginger 5 minutes.
3. Return pork with tamari, vinegar, sesame oil; toss with toasted almonds.</t>
        </is>
      </c>
      <c r="AC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13% of this dish's available carbohydrate comes from ingredients with a published, measured GI; the rest uses conventional placeholders (see Ingredients sheet)</t>
        </is>
      </c>
      <c r="Z501" s="2" t="n">
        <v>13</v>
      </c>
      <c r="AA501" s="3" t="inlineStr">
        <is>
          <t>gluten-free, nut-free, low-carb, high-protein</t>
        </is>
      </c>
      <c r="AB501" s="3" t="inlineStr">
        <is>
          <t>1. Mix beef with grated onion, garlic, oregano, cumin, salt; press into a thin sheet and bake at 425°F 15 minutes; slice into strips.
2. Sauté cauliflower rice.
3. Bowl with tomato, cucumber, onion, feta, yogurt-dill sauce.</t>
        </is>
      </c>
      <c r="AC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30% of this dish's available carbohydrate comes from ingredients with a published, measured GI; the rest uses conventional placeholders (see Ingredients sheet)</t>
        </is>
      </c>
      <c r="Z502" s="2" t="n">
        <v>30</v>
      </c>
      <c r="AA502" s="3" t="inlineStr">
        <is>
          <t>gluten-free, dairy-free, nut-free, low-carb, high-protein, one-pan</t>
        </is>
      </c>
      <c r="AB502" s="3" t="inlineStr">
        <is>
          <t>1. Toss fennel and onion with half the oil; roast at 425°F 15 minutes.
2. Add seasoned pork and orange slices; roast 15 minutes more.
3. Rest and slice; spoon pan juices over.</t>
        </is>
      </c>
      <c r="AC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0% of this dish's available carbohydrate comes from ingredients with a published, measured GI; the rest uses conventional placeholders (see Ingredients sheet)</t>
        </is>
      </c>
      <c r="Z503" s="2" t="n">
        <v>0</v>
      </c>
      <c r="AA503" s="3" t="inlineStr">
        <is>
          <t>gluten-free, dairy-free, nut-free, low-carb, high-protein, quick</t>
        </is>
      </c>
      <c r="AB503" s="3" t="inlineStr">
        <is>
          <t>1. Brown beef with garlic and ginger; remove.
2. Stir-fry broccoli and cauliflower rice 5 minutes; scramble eggs in.
3. Return beef with tamari, sesame oil, green onion.</t>
        </is>
      </c>
      <c r="AC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23% of this dish's available carbohydrate comes from ingredients with a published, measured GI; the rest uses conventional placeholders (see Ingredients sheet)</t>
        </is>
      </c>
      <c r="Z504" s="2" t="n">
        <v>23</v>
      </c>
      <c r="AA504" s="3" t="inlineStr">
        <is>
          <t>gluten-free, nut-free, low-carb, high-protein</t>
        </is>
      </c>
      <c r="AB504" s="3" t="inlineStr">
        <is>
          <t>1. Mix lamb, garlic, oregano, mint, salt; form patties; grill 5 minutes per side.
2. Mix yogurt, grated cucumber, dill.
3. Serve in lettuce with feta, tomato, onion, tzatziki.</t>
        </is>
      </c>
      <c r="AC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0% of this dish's available carbohydrate comes from ingredients with a published, measured GI; the rest uses conventional placeholders (see Ingredients sheet)</t>
        </is>
      </c>
      <c r="Z505" s="2" t="n">
        <v>0</v>
      </c>
      <c r="AA505" s="3" t="inlineStr">
        <is>
          <t>gluten-free, dairy-free, nut-free, low-carb, high-protein, one-pan</t>
        </is>
      </c>
      <c r="AB505" s="3" t="inlineStr">
        <is>
          <t>1. Toss sprouts and onion with oil; spread on a pan.
2. Rub pork with Dijon, garlic, thyme; add to pan.
3. Roast at 425°F 22 minutes; drizzle vinegar over sprouts.</t>
        </is>
      </c>
      <c r="AC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0% of this dish's available carbohydrate comes from ingredients with a published, measured GI; the rest uses conventional placeholders (see Ingredients sheet)</t>
        </is>
      </c>
      <c r="Z506" s="2" t="n">
        <v>0</v>
      </c>
      <c r="AA506" s="3" t="inlineStr">
        <is>
          <t>pescatarian, gluten-free, dairy-free, nut-free, low-carb, high-protein, omega-3, one-pan</t>
        </is>
      </c>
      <c r="AB506" s="3" t="inlineStr">
        <is>
          <t>1. Place salmon and asparagus on a sheet pan; rub with oil, garlic, salt, pepper; top with lemon slices.
2. Bake at 400°F 12–15 minutes.
3. Finish with dill and lemon juice.</t>
        </is>
      </c>
      <c r="AC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0% of this dish's available carbohydrate comes from ingredients with a published, measured GI; the rest uses conventional placeholders (see Ingredients sheet)</t>
        </is>
      </c>
      <c r="Z507" s="2" t="n">
        <v>0</v>
      </c>
      <c r="AA507" s="3" t="inlineStr">
        <is>
          <t>pescatarian, gluten-free, nut-free, low-carb, high-protein, quick</t>
        </is>
      </c>
      <c r="AB507" s="3" t="inlineStr">
        <is>
          <t>1. Sauté garlic in oil and butter 30 seconds; add shrimp, cook 2 minutes per side; remove.
2. Add wine and lemon juice; reduce 1 minute; add zoodles and toss 2 minutes.
3. Return shrimp; top with parsley, parmesan, pepper flakes.</t>
        </is>
      </c>
      <c r="AC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28</v>
      </c>
      <c r="U508" s="2" t="inlineStr">
        <is>
          <t>low</t>
        </is>
      </c>
      <c r="V508" s="5" t="n">
        <v>3</v>
      </c>
      <c r="W508" s="2" t="inlineStr">
        <is>
          <t>low</t>
        </is>
      </c>
      <c r="X508" s="3" t="inlineStr"/>
      <c r="Y508" s="3" t="inlineStr">
        <is>
          <t>47% of this dish's available carbohydrate comes from ingredients with a published, measured GI; the rest uses conventional placeholders (see Ingredients sheet)</t>
        </is>
      </c>
      <c r="Z508" s="2" t="n">
        <v>47</v>
      </c>
      <c r="AA508" s="3" t="inlineStr">
        <is>
          <t>pescatarian, gluten-free, dairy-free, nut-free, low-carb, high-protein</t>
        </is>
      </c>
      <c r="AB508" s="3" t="inlineStr">
        <is>
          <t>1. Rub cod with spices and salt; sear in oil 3–4 minutes per side.
2. Dice mango, onion, jalapeño; toss with cilantro and lime.
3. Serve fish over cauliflower rice with salsa.</t>
        </is>
      </c>
      <c r="AC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0% of this dish's available carbohydrate comes from ingredients with a published, measured GI; the rest uses conventional placeholders (see Ingredients sheet)</t>
        </is>
      </c>
      <c r="Z509" s="2" t="n">
        <v>0</v>
      </c>
      <c r="AA509" s="3" t="inlineStr">
        <is>
          <t>pescatarian, gluten-free, dairy-free, nut-free, low-carb, high-protein, high-fiber</t>
        </is>
      </c>
      <c r="AB509" s="3" t="inlineStr">
        <is>
          <t>1. Cube tuna; toss with tamari, sesame oil, vinegar, green onion.
2. Steam cauliflower rice 4 minutes; cool.
3. Bowl with avocado, cucumber, edamame, seaweed, tuna; top sesame.</t>
        </is>
      </c>
      <c r="AC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0% of this dish's available carbohydrate comes from ingredients with a published, measured GI; the rest uses conventional placeholders (see Ingredients sheet)</t>
        </is>
      </c>
      <c r="Z510" s="2" t="n">
        <v>0</v>
      </c>
      <c r="AA510" s="3" t="inlineStr">
        <is>
          <t>pescatarian, gluten-free, nut-free, low-carb, high-protein, quick</t>
        </is>
      </c>
      <c r="AB510" s="3" t="inlineStr">
        <is>
          <t>1. Sauté asparagus in oil 4 minutes; remove.
2. Melt butter with garlic; add shrimp, cook 3 minutes.
3. Return asparagus; finish with lemon, parsley, pepper flakes.</t>
        </is>
      </c>
      <c r="AC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10% of this dish's available carbohydrate comes from ingredients with a published, measured GI; the rest uses conventional placeholders (see Ingredients sheet)</t>
        </is>
      </c>
      <c r="Z511" s="2" t="n">
        <v>10</v>
      </c>
      <c r="AA511" s="3" t="inlineStr">
        <is>
          <t>pescatarian, gluten-free, low-carb, high-protein, omega-3</t>
        </is>
      </c>
      <c r="AB511" s="3" t="inlineStr">
        <is>
          <t>1. Pulse salmon; mix with egg, almond flour, Dijon, green onion, dill, salt; form 4 patties.
2. Pan-fry in oil 4 minutes per side.
3. Mash avocado with yogurt and lime; toss with slaw; serve with burgers.</t>
        </is>
      </c>
      <c r="AC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82% of this dish's available carbohydrate comes from ingredients with a published, measured GI; the rest uses conventional placeholders (see Ingredients sheet)</t>
        </is>
      </c>
      <c r="Z512" s="2" t="n">
        <v>82</v>
      </c>
      <c r="AA512" s="3" t="inlineStr">
        <is>
          <t>pescatarian, gluten-free, nut-free, high-protein, high-fiber</t>
        </is>
      </c>
      <c r="AB512" s="3" t="inlineStr">
        <is>
          <t>1. Season fish with chili powder, cumin, salt; sear in oil 3–4 minutes per side; flake.
2. Toss cabbage with yogurt, mayo, lime, cilantro, jalapeño.
3. Fill warm tortillas with fish, slaw, avocado.</t>
        </is>
      </c>
      <c r="AC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0% of this dish's available carbohydrate comes from ingredients with a published, measured GI; the rest uses conventional placeholders (see Ingredients sheet)</t>
        </is>
      </c>
      <c r="Z513" s="2" t="n">
        <v>0</v>
      </c>
      <c r="AA513" s="3" t="inlineStr">
        <is>
          <t>pescatarian, dairy-free, nut-free, low-carb, high-protein, omega-3</t>
        </is>
      </c>
      <c r="AB513" s="3" t="inlineStr">
        <is>
          <t>1. Whisk miso, tamari, vinegar, ginger, sesame oil; brush on salmon.
2. Broil 8–10 minutes.
3. Sauté bok choy with garlic in avocado oil; top salmon with sesame.</t>
        </is>
      </c>
      <c r="AC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14% of this dish's available carbohydrate comes from ingredients with a published, measured GI; the rest uses conventional placeholders (see Ingredients sheet)</t>
        </is>
      </c>
      <c r="Z514" s="2" t="n">
        <v>14</v>
      </c>
      <c r="AA514" s="3" t="inlineStr">
        <is>
          <t>gluten-free, nut-free, low-carb, high-protein</t>
        </is>
      </c>
      <c r="AB514" s="3" t="inlineStr">
        <is>
          <t>1. Steam cauliflower; blend with milk, cheddar, butter, salt into 'grits'.
2. Crisp bacon; sauté shrimp with garlic and Cajun seasoning in oil 3 minutes; add lemon.
3. Serve shrimp over grits with bacon and green onion.</t>
        </is>
      </c>
      <c r="AC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0% of this dish's available carbohydrate comes from ingredients with a published, measured GI; the rest uses conventional placeholders (see Ingredients sheet)</t>
        </is>
      </c>
      <c r="Z515" s="2" t="n">
        <v>0</v>
      </c>
      <c r="AA515" s="3" t="inlineStr">
        <is>
          <t>pescatarian, gluten-free, dairy-free, low-carb, high-protein, one-pan</t>
        </is>
      </c>
      <c r="AB515" s="3" t="inlineStr">
        <is>
          <t>1. Spread pesto over cod; surround with tomatoes and zucchini tossed in oil.
2. Bake at 400°F 14 minutes.
3. Squeeze lemon over.</t>
        </is>
      </c>
      <c r="AC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0% of this dish's available carbohydrate comes from ingredients with a published, measured GI; the rest uses conventional placeholders (see Ingredients sheet)</t>
        </is>
      </c>
      <c r="Z516" s="2" t="n">
        <v>0</v>
      </c>
      <c r="AA516" s="3" t="inlineStr">
        <is>
          <t>pescatarian, gluten-free, dairy-free, nut-free, low-carb, high-protein</t>
        </is>
      </c>
      <c r="AB516" s="3" t="inlineStr">
        <is>
          <t>1. Sauté onion, garlic, ginger, curry paste in oil 2 minutes.
2. Add coconut milk, pepper, snap peas; simmer 5 minutes.
3. Add shrimp 3 minutes; finish with fish sauce, lime, basil; serve over cauliflower rice.</t>
        </is>
      </c>
      <c r="AC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16% of this dish's available carbohydrate comes from ingredients with a published, measured GI; the rest uses conventional placeholders (see Ingredients sheet)</t>
        </is>
      </c>
      <c r="Z517" s="2" t="n">
        <v>16</v>
      </c>
      <c r="AA517" s="3" t="inlineStr">
        <is>
          <t>pescatarian, gluten-free, nut-free, low-carb, high-protein, high-fiber, no-cook, quick</t>
        </is>
      </c>
      <c r="AB517" s="3" t="inlineStr">
        <is>
          <t>1. Mix tuna, yogurt, Dijon, celery, onion, lemon, pepper.
2. Halve avocados.
3. Fill with tuna salad; top chives.</t>
        </is>
      </c>
      <c r="AC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12% of this dish's available carbohydrate comes from ingredients with a published, measured GI; the rest uses conventional placeholders (see Ingredients sheet)</t>
        </is>
      </c>
      <c r="Z518" s="2" t="n">
        <v>12</v>
      </c>
      <c r="AA518" s="3" t="inlineStr">
        <is>
          <t>pescatarian, gluten-free, nut-free, low-carb, high-protein</t>
        </is>
      </c>
      <c r="AB518" s="3" t="inlineStr">
        <is>
          <t>1. Simmer cauliflower with garlic in milk and water; blend with half the butter and salt.
2. Pat scallops dry; sear in oil 90 seconds per side.
3. Wilt spinach in remaining butter; plate purée, spinach, scallops; finish with lemon and chives.</t>
        </is>
      </c>
      <c r="AC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0% of this dish's available carbohydrate comes from ingredients with a published, measured GI; the rest uses conventional placeholders (see Ingredients sheet)</t>
        </is>
      </c>
      <c r="Z519" s="2" t="n">
        <v>0</v>
      </c>
      <c r="AA519" s="3" t="inlineStr">
        <is>
          <t>pescatarian, dairy-free, nut-free, low-carb, high-protein, high-fiber, one-pan, quick</t>
        </is>
      </c>
      <c r="AB519" s="3" t="inlineStr">
        <is>
          <t>1. Toss shrimp, peppers, onion with oil and spices on a sheet pan.
2. Roast at 425°F 10–12 minutes.
3. Squeeze lime; serve in tortillas with avocado and cilantro.</t>
        </is>
      </c>
      <c r="AC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0% of this dish's available carbohydrate comes from ingredients with a published, measured GI; the rest uses conventional placeholders (see Ingredients sheet)</t>
        </is>
      </c>
      <c r="Z520" s="2" t="n">
        <v>0</v>
      </c>
      <c r="AA520" s="3" t="inlineStr">
        <is>
          <t>pescatarian, gluten-free, nut-free, low-carb, high-protein, quick</t>
        </is>
      </c>
      <c r="AB520" s="3" t="inlineStr">
        <is>
          <t>1. Season halibut; sear in oil 4 minutes per side.
2. Add butter, garlic, capers, lemon juice; spoon over fish 1 minute.
3. Serve with steamed green beans and parsley.</t>
        </is>
      </c>
      <c r="AC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52</v>
      </c>
      <c r="U521" s="2" t="inlineStr">
        <is>
          <t>low</t>
        </is>
      </c>
      <c r="V521" s="5" t="n">
        <v>13.1</v>
      </c>
      <c r="W521" s="2" t="inlineStr">
        <is>
          <t>medium</t>
        </is>
      </c>
      <c r="X521" s="3" t="inlineStr"/>
      <c r="Y521" s="3" t="inlineStr">
        <is>
          <t>69% of this dish's available carbohydrate comes from ingredients with a published, measured GI; the rest uses conventional placeholders (see Ingredients sheet)</t>
        </is>
      </c>
      <c r="Z521" s="2" t="n">
        <v>69</v>
      </c>
      <c r="AA521" s="3" t="inlineStr">
        <is>
          <t>pescatarian, gluten-free, dairy-free, nut-free, high-protein, omega-3</t>
        </is>
      </c>
      <c r="AB521" s="3" t="inlineStr">
        <is>
          <t>1. Simmer tamari, vinegar, ginger, garlic, sweetener, arrowroot slurry into a glaze; add sesame oil.
2. Broil salmon 8 minutes, brushing with glaze.
3. Serve over mixed brown and cauliflower rice with steamed broccoli, sesame and green onion.</t>
        </is>
      </c>
      <c r="AC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30% of this dish's available carbohydrate comes from ingredients with a published, measured GI; the rest uses conventional placeholders (see Ingredients sheet)</t>
        </is>
      </c>
      <c r="Z522" s="2" t="n">
        <v>30</v>
      </c>
      <c r="AA522" s="3" t="inlineStr">
        <is>
          <t>pescatarian, gluten-free, dairy-free, low-carb, high-protein, quick</t>
        </is>
      </c>
      <c r="AB522" s="3" t="inlineStr">
        <is>
          <t>1. Sauté shrimp with garlic in oil 3 minutes.
2. Whisk peanut butter, tamari, lime, sriracha, water.
3. Fill lettuce with shrimp, carrot, cucumber, cilantro; drizzle sauce; top peanuts.</t>
        </is>
      </c>
      <c r="AC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0% of this dish's available carbohydrate comes from ingredients with a published, measured GI; the rest uses conventional placeholders (see Ingredients sheet)</t>
        </is>
      </c>
      <c r="Z523" s="2" t="n">
        <v>0</v>
      </c>
      <c r="AA523" s="3" t="inlineStr">
        <is>
          <t>pescatarian, gluten-free, nut-free, low-carb, high-protein, one-pan</t>
        </is>
      </c>
      <c r="AB523" s="3" t="inlineStr">
        <is>
          <t>1. Place tilapia in a dish; top with tomato, olives, onion, garlic, oregano, oil, lemon.
2. Bake at 400°F 15–18 minutes.
3. Top with feta and parsley.</t>
        </is>
      </c>
      <c r="AC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0% of this dish's available carbohydrate comes from ingredients with a published, measured GI; the rest uses conventional placeholders (see Ingredients sheet)</t>
        </is>
      </c>
      <c r="Z524" s="2" t="n">
        <v>0</v>
      </c>
      <c r="AA524" s="3" t="inlineStr">
        <is>
          <t>gluten-free, dairy-free, nut-free, low-carb, high-protein, one-pan, quick</t>
        </is>
      </c>
      <c r="AB524" s="3" t="inlineStr">
        <is>
          <t>1. Brown sausage in oil; remove.
2. Sauté peppers, zucchini, onion, garlic 6 minutes.
3. Add shrimp and Cajun seasoning; cook 3 minutes; return sausage; finish with lemon.</t>
        </is>
      </c>
      <c r="AC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0% of this dish's available carbohydrate comes from ingredients with a published, measured GI; the rest uses conventional placeholders (see Ingredients sheet)</t>
        </is>
      </c>
      <c r="Z525" s="2" t="n">
        <v>0</v>
      </c>
      <c r="AA525" s="3" t="inlineStr">
        <is>
          <t>pescatarian, gluten-free, dairy-free, nut-free, low-carb, high-protein, quick</t>
        </is>
      </c>
      <c r="AB525" s="3" t="inlineStr">
        <is>
          <t>1. Press tuna into sesame seeds; sear in avocado oil 1–2 minutes per side; slice.
2. Whisk tamari, sesame oil, vinegar, ginger; toss half with slaw.
3. Serve tuna over slaw with remaining sauce and green onion.</t>
        </is>
      </c>
      <c r="AC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27% of this dish's available carbohydrate comes from ingredients with a published, measured GI; the rest uses conventional placeholders (see Ingredients sheet)</t>
        </is>
      </c>
      <c r="Z526" s="2" t="n">
        <v>27</v>
      </c>
      <c r="AA526" s="3" t="inlineStr">
        <is>
          <t>pescatarian, gluten-free, low-carb, high-protein, omega-3</t>
        </is>
      </c>
      <c r="AB526" s="3" t="inlineStr">
        <is>
          <t>1. Mix salmon, eggs, almond flour, green onion, Dijon, lemon zest; form 8 cakes.
2. Pan-fry in oil 4 minutes per side.
3. Mix yogurt, dill, lemon juice; serve cakes over greens.</t>
        </is>
      </c>
      <c r="AC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24</v>
      </c>
      <c r="U527" s="2" t="inlineStr">
        <is>
          <t>low</t>
        </is>
      </c>
      <c r="V527" s="5" t="n">
        <v>2.3</v>
      </c>
      <c r="W527" s="2" t="inlineStr">
        <is>
          <t>low</t>
        </is>
      </c>
      <c r="X527" s="3" t="inlineStr"/>
      <c r="Y527" s="3" t="inlineStr">
        <is>
          <t>36% of this dish's available carbohydrate comes from ingredients with a published, measured GI; the rest uses conventional placeholders (see Ingredients sheet)</t>
        </is>
      </c>
      <c r="Z527" s="2" t="n">
        <v>36</v>
      </c>
      <c r="AA527" s="3" t="inlineStr">
        <is>
          <t>pescatarian, gluten-free, dairy-free, nut-free, low-carb, high-protein, quick</t>
        </is>
      </c>
      <c r="AB527" s="3" t="inlineStr">
        <is>
          <t>1. Sauté shrimp with half the garlic in oil; remove.
2. Scramble eggs; add carrot, remaining garlic, ginger, cauliflower rice 5 minutes.
3. Add peas, shrimp, tamari, sesame oil, green onion.</t>
        </is>
      </c>
      <c r="AC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0% of this dish's available carbohydrate comes from ingredients with a published, measured GI; the rest uses conventional placeholders (see Ingredients sheet)</t>
        </is>
      </c>
      <c r="Z528" s="2" t="n">
        <v>0</v>
      </c>
      <c r="AA528" s="3" t="inlineStr">
        <is>
          <t>pescatarian, gluten-free, dairy-free, nut-free, low-carb, high-protein, omega-3, quick</t>
        </is>
      </c>
      <c r="AB528" s="3" t="inlineStr">
        <is>
          <t>1. Rub salmon with oil, cumin, salt; broil 8–10 minutes.
2. Dice avocado, tomato, onion, jalapeño; toss with cilantro and lime.
3. Serve salmon over greens with salsa.</t>
        </is>
      </c>
      <c r="AC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0% of this dish's available carbohydrate comes from ingredients with a published, measured GI; the rest uses conventional placeholders (see Ingredients sheet)</t>
        </is>
      </c>
      <c r="Z529" s="2" t="n">
        <v>0</v>
      </c>
      <c r="AA529" s="3" t="inlineStr">
        <is>
          <t>pescatarian, gluten-free, low-carb, high-protein, quick, one-pan</t>
        </is>
      </c>
      <c r="AB529" s="3" t="inlineStr">
        <is>
          <t>1. Sauté zucchini chunks with garlic in oil 4 minutes.
2. Add shrimp and tomatoes; cook 3 minutes.
3. Toss with pesto; top parmesan and lemon.</t>
        </is>
      </c>
      <c r="AC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20% of this dish's available carbohydrate comes from ingredients with a published, measured GI; the rest uses conventional placeholders (see Ingredients sheet)</t>
        </is>
      </c>
      <c r="Z530" s="2" t="n">
        <v>20</v>
      </c>
      <c r="AA530" s="3" t="inlineStr">
        <is>
          <t>pescatarian, gluten-free, low-carb, high-protein</t>
        </is>
      </c>
      <c r="AB530" s="3" t="inlineStr">
        <is>
          <t>1. Mix crab, egg, almond flour, half the mayo, Dijon, Old Bay, green onion; form 8 cakes; chill 15 minutes.
2. Pan-fry in oil 4 minutes per side.
3. Mix yogurt, remaining mayo, chopped pickle, hot sauce, lemon; serve over arugula.</t>
        </is>
      </c>
      <c r="AC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0% of this dish's available carbohydrate comes from ingredients with a published, measured GI; the rest uses conventional placeholders (see Ingredients sheet)</t>
        </is>
      </c>
      <c r="Z531" s="2" t="n">
        <v>0</v>
      </c>
      <c r="AA531" s="3" t="inlineStr">
        <is>
          <t>pescatarian, gluten-free, dairy-free, nut-free, low-carb, high-protein, omega-3, one-pan</t>
        </is>
      </c>
      <c r="AB531" s="3" t="inlineStr">
        <is>
          <t>1. Lay trout on a pan with broccolini; rub with oil, garlic, salt; top with lemon slices and dill.
2. Bake at 400°F 12–15 minutes.
3. Serve with lemon juice.</t>
        </is>
      </c>
      <c r="AC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0% of this dish's available carbohydrate comes from ingredients with a published, measured GI; the rest uses conventional placeholders (see Ingredients sheet)</t>
        </is>
      </c>
      <c r="Z532" s="2" t="n">
        <v>0</v>
      </c>
      <c r="AA532" s="3" t="inlineStr">
        <is>
          <t>pescatarian, gluten-free, dairy-free, nut-free, low-carb, high-protein, make-ahead</t>
        </is>
      </c>
      <c r="AB532" s="3" t="inlineStr">
        <is>
          <t>1. Poach shrimp 2–3 minutes; chop; chill.
2. Toss with lime, tomato, onion, cucumber, cilantro, jalapeño, salt; marinate 30 minutes.
3. Fold in avocado and oil.</t>
        </is>
      </c>
      <c r="AC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83% of this dish's available carbohydrate comes from ingredients with a published, measured GI; the rest uses conventional placeholders (see Ingredients sheet)</t>
        </is>
      </c>
      <c r="Z533" s="2" t="n">
        <v>83</v>
      </c>
      <c r="AA533" s="3" t="inlineStr">
        <is>
          <t>pescatarian, gluten-free, dairy-free, nut-free, high-protein, high-fiber, omega-3, no-cook</t>
        </is>
      </c>
      <c r="AB533" s="3" t="inlineStr">
        <is>
          <t>1. Toss beans, tomato, onion, parsley, capers with lemon and oil.
2. Plate over arugula.
3. Top with sardines.</t>
        </is>
      </c>
      <c r="AC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0% of this dish's available carbohydrate comes from ingredients with a published, measured GI; the rest uses conventional placeholders (see Ingredients sheet)</t>
        </is>
      </c>
      <c r="Z534" s="2" t="n">
        <v>0</v>
      </c>
      <c r="AA534" s="3" t="inlineStr">
        <is>
          <t>pescatarian, gluten-free, dairy-free, nut-free, low-carb, high-protein, quick</t>
        </is>
      </c>
      <c r="AB534" s="3" t="inlineStr">
        <is>
          <t>1. Stir-fry garlic and shrimp in oil 2 minutes; push aside and scramble eggs.
2. Add broccolini 2 minutes; add zoodles, tamari, fish sauce, sweetener.
3. Toss 2 minutes.</t>
        </is>
      </c>
      <c r="AC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0% of this dish's available carbohydrate comes from ingredients with a published, measured GI; the rest uses conventional placeholders (see Ingredients sheet)</t>
        </is>
      </c>
      <c r="Z535" s="2" t="n">
        <v>0</v>
      </c>
      <c r="AA535" s="3" t="inlineStr">
        <is>
          <t>pescatarian, gluten-free, dairy-free, low-carb, high-protein, omega-3, one-pan</t>
        </is>
      </c>
      <c r="AB535" s="3" t="inlineStr">
        <is>
          <t>1. Roast halved sprouts with two-thirds of the oil at 425°F 12 minutes.
2. Add salmon rubbed with Dijon, garlic, remaining oil; roast 12 minutes more.
3. Top with walnuts and lemon.</t>
        </is>
      </c>
      <c r="AC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0% of this dish's available carbohydrate comes from ingredients with a published, measured GI; the rest uses conventional placeholders (see Ingredients sheet)</t>
        </is>
      </c>
      <c r="Z536" s="2" t="n">
        <v>0</v>
      </c>
      <c r="AA536" s="3" t="inlineStr">
        <is>
          <t>pescatarian, gluten-free, dairy-free, nut-free, low-carb, high-protein, one-pan</t>
        </is>
      </c>
      <c r="AB536" s="3" t="inlineStr">
        <is>
          <t>1. Sauté onion, garlic, jalapeño in oil; add tomatoes, olives, capers, oregano; simmer 8 minutes.
2. Nestle tilapia in the sauce; cover; cook 8 minutes.
3. Serve over cauliflower rice with cilantro.</t>
        </is>
      </c>
      <c r="AC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17% of this dish's available carbohydrate comes from ingredients with a published, measured GI; the rest uses conventional placeholders (see Ingredients sheet)</t>
        </is>
      </c>
      <c r="Z537" s="2" t="n">
        <v>17</v>
      </c>
      <c r="AA537" s="3" t="inlineStr">
        <is>
          <t>pescatarian, gluten-free, nut-free, low-carb, high-protein, high-fiber, quick</t>
        </is>
      </c>
      <c r="AB537" s="3" t="inlineStr">
        <is>
          <t>1. Sauté shrimp in oil 3 minutes; chop; cool.
2. Mix with yogurt, lime, cilantro, onion, jalapeño, salt.
3. Fill avocado halves.</t>
        </is>
      </c>
      <c r="AC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0% of this dish's available carbohydrate comes from ingredients with a published, measured GI; the rest uses conventional placeholders (see Ingredients sheet)</t>
        </is>
      </c>
      <c r="Z538" s="2" t="n">
        <v>0</v>
      </c>
      <c r="AA538" s="3" t="inlineStr">
        <is>
          <t>pescatarian, gluten-free, dairy-free, nut-free, low-carb, high-protein</t>
        </is>
      </c>
      <c r="AB538" s="3" t="inlineStr">
        <is>
          <t>1. Pulse olives, sun-dried tomato, capers, garlic, oil into tapenade.
2. Bake cod at 400°F 12 minutes; top with tapenade last 3 minutes.
3. Serve with green beans, lemon, basil.</t>
        </is>
      </c>
      <c r="AC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0% of this dish's available carbohydrate comes from ingredients with a published, measured GI; the rest uses conventional placeholders (see Ingredients sheet)</t>
        </is>
      </c>
      <c r="Z539" s="2" t="n">
        <v>0</v>
      </c>
      <c r="AA539" s="3" t="inlineStr">
        <is>
          <t>pescatarian, gluten-free, dairy-free, nut-free, low-carb, high-protein, quick, one-pan</t>
        </is>
      </c>
      <c r="AB539" s="3" t="inlineStr">
        <is>
          <t>1. Sauté shrimp with garlic and ginger in oil; remove.
2. Add slaw, tamari, vinegar; cook 5 minutes; scramble eggs in.
3. Return shrimp; finish with sesame oil and green onion.</t>
        </is>
      </c>
      <c r="AC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0% of this dish's available carbohydrate comes from ingredients with a published, measured GI; the rest uses conventional placeholders (see Ingredients sheet)</t>
        </is>
      </c>
      <c r="Z540" s="2" t="n">
        <v>0</v>
      </c>
      <c r="AA540" s="3" t="inlineStr">
        <is>
          <t>pescatarian, gluten-free, dairy-free, nut-free, low-carb, high-protein, omega-3</t>
        </is>
      </c>
      <c r="AB540" s="3" t="inlineStr">
        <is>
          <t>1. Roast salmon 12 minutes; blanch green beans; boil eggs.
2. Whisk oil, Dijon, vinegar.
3. Arrange greens, salmon, beans, eggs, tomato, olives, capers; drizzle dressing.</t>
        </is>
      </c>
      <c r="AC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0% of this dish's available carbohydrate comes from ingredients with a published, measured GI; the rest uses conventional placeholders (see Ingredients sheet)</t>
        </is>
      </c>
      <c r="Z541" s="2" t="n">
        <v>0</v>
      </c>
      <c r="AA541" s="3" t="inlineStr">
        <is>
          <t>pescatarian, gluten-free, nut-free, low-carb, high-protein, quick</t>
        </is>
      </c>
      <c r="AB541" s="3" t="inlineStr">
        <is>
          <t>1. Toss shrimp with spices and garlic; sauté in oil 3 minutes.
2. Fill romaine leaves with shrimp.
3. Top with pico, avocado, cotija, lime.</t>
        </is>
      </c>
      <c r="AC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0% of this dish's available carbohydrate comes from ingredients with a published, measured GI; the rest uses conventional placeholders (see Ingredients sheet)</t>
        </is>
      </c>
      <c r="Z542" s="2" t="n">
        <v>0</v>
      </c>
      <c r="AA542" s="3" t="inlineStr">
        <is>
          <t>pescatarian, gluten-free, dairy-free, nut-free, high-protein, quick</t>
        </is>
      </c>
      <c r="AB542" s="3" t="inlineStr">
        <is>
          <t>1. Sauté shallot and garlic in oil; add wine and tomatoes; simmer 5 minutes.
2. Add mussels; cover; cook 5–6 minutes until open.
3. Top with parsley, lemon, pepper flakes.</t>
        </is>
      </c>
      <c r="AC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0% of this dish's available carbohydrate comes from ingredients with a published, measured GI; the rest uses conventional placeholders (see Ingredients sheet)</t>
        </is>
      </c>
      <c r="Z543" s="2" t="n">
        <v>0</v>
      </c>
      <c r="AA543" s="3" t="inlineStr">
        <is>
          <t>pescatarian, gluten-free, low-carb, high-protein</t>
        </is>
      </c>
      <c r="AB543" s="3" t="inlineStr">
        <is>
          <t>1. Pulse almonds with parmesan, garlic powder, paprika; dip fish in egg then crumbs.
2. Bake at 425°F 12 minutes.
3. Serve with green beans and lemon.</t>
        </is>
      </c>
      <c r="AC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11% of this dish's available carbohydrate comes from ingredients with a published, measured GI; the rest uses conventional placeholders (see Ingredients sheet)</t>
        </is>
      </c>
      <c r="Z544" s="2" t="n">
        <v>11</v>
      </c>
      <c r="AA544" s="3" t="inlineStr">
        <is>
          <t>pescatarian, gluten-free, dairy-free, nut-free, low-carb, high-protein, quick</t>
        </is>
      </c>
      <c r="AB544" s="3" t="inlineStr">
        <is>
          <t>1. Stir-fry broccoli with garlic and ginger in oil 4 minutes; add broth and cover 2 minutes.
2. Add shrimp; cook 3 minutes.
3. Add tamari, vinegar, arrowroot slurry, sesame oil; toss; top sesame.</t>
        </is>
      </c>
      <c r="AC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70% of this dish's available carbohydrate comes from ingredients with a published, measured GI; the rest uses conventional placeholders (see Ingredients sheet)</t>
        </is>
      </c>
      <c r="Z545" s="2" t="n">
        <v>70</v>
      </c>
      <c r="AA545" s="3" t="inlineStr">
        <is>
          <t>pescatarian, gluten-free, dairy-free, nut-free, high-protein, high-fiber, omega-3</t>
        </is>
      </c>
      <c r="AB545" s="3" t="inlineStr">
        <is>
          <t>1. Roast salmon 12 minutes.
2. Whisk tahini, lemon, garlic, water; massage half into kale.
3. Bowl quinoa, kale, cucumber, edamame, avocado, salmon; drizzle remaining dressing.</t>
        </is>
      </c>
      <c r="AC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18% of this dish's available carbohydrate comes from ingredients with a published, measured GI; the rest uses conventional placeholders (see Ingredients sheet)</t>
        </is>
      </c>
      <c r="Z546" s="2" t="n">
        <v>18</v>
      </c>
      <c r="AA546" s="3" t="inlineStr">
        <is>
          <t>pescatarian, gluten-free, nut-free, low-carb, high-protein, no-cook</t>
        </is>
      </c>
      <c r="AB546" s="3" t="inlineStr">
        <is>
          <t>1. Mix lobster with celery, chives, lemon, mayo, yogurt, pepper.
2. Fold in avocado.
3. Serve in lettuce cups.</t>
        </is>
      </c>
      <c r="AC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26% of this dish's available carbohydrate comes from ingredients with a published, measured GI; the rest uses conventional placeholders (see Ingredients sheet)</t>
        </is>
      </c>
      <c r="Z547" s="2" t="n">
        <v>26</v>
      </c>
      <c r="AA547" s="3" t="inlineStr">
        <is>
          <t>pescatarian, gluten-free, nut-free, low-carb, high-protein, omega-3</t>
        </is>
      </c>
      <c r="AB547" s="3" t="inlineStr">
        <is>
          <t>1. Rub salmon with Cajun seasoning; sear 4 minutes per side.
2. Whisk yogurt, lemon, Dijon, anchovy, oil.
3. Toss romaine with dressing; top salmon, parmesan, avocado.</t>
        </is>
      </c>
      <c r="AC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0% of this dish's available carbohydrate comes from ingredients with a published, measured GI; the rest uses conventional placeholders (see Ingredients sheet)</t>
        </is>
      </c>
      <c r="Z548" s="2" t="n">
        <v>0</v>
      </c>
      <c r="AA548" s="3" t="inlineStr">
        <is>
          <t>pescatarian, gluten-free, nut-free, high-protein</t>
        </is>
      </c>
      <c r="AB548" s="3" t="inlineStr">
        <is>
          <t>1. Roast halved squash 40 minutes; scrape strands.
2. Sauté garlic in oil and butter; add shrimp 3 minutes; add tomatoes and spinach.
3. Toss with squash, lemon, parmesan, pepper flakes.</t>
        </is>
      </c>
      <c r="AC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22% of this dish's available carbohydrate comes from ingredients with a published, measured GI; the rest uses conventional placeholders (see Ingredients sheet)</t>
        </is>
      </c>
      <c r="Z549" s="2" t="n">
        <v>22</v>
      </c>
      <c r="AA549" s="3" t="inlineStr">
        <is>
          <t>pescatarian, gluten-free, dairy-free, nut-free, low-carb, high-protein, one-pan</t>
        </is>
      </c>
      <c r="AB549" s="3" t="inlineStr">
        <is>
          <t>1. Place julienned vegetables on parchment; top with cod, lemon slices, thyme, oil, wine, salt.
2. Fold parchment into sealed packets.
3. Bake at 400°F 15–18 minutes; open at the table.</t>
        </is>
      </c>
      <c r="AC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15% of this dish's available carbohydrate comes from ingredients with a published, measured GI; the rest uses conventional placeholders (see Ingredients sheet)</t>
        </is>
      </c>
      <c r="Z550" s="2" t="n">
        <v>15</v>
      </c>
      <c r="AA550" s="3" t="inlineStr">
        <is>
          <t>pescatarian, gluten-free, dairy-free, nut-free, low-carb, high-protein, high-fiber</t>
        </is>
      </c>
      <c r="AB550" s="3" t="inlineStr">
        <is>
          <t>1. Steam cauliflower rice; season with rice vinegar; cool.
2. Sauté shrimp 3 minutes.
3. Bowl with avocado, cucumber, carrot, edamame, nori strips; drizzle tamari and sriracha mayo; sprinkle sesame.</t>
        </is>
      </c>
      <c r="AC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0% of this dish's available carbohydrate comes from ingredients with a published, measured GI; the rest uses conventional placeholders (see Ingredients sheet)</t>
        </is>
      </c>
      <c r="Z551" s="2" t="n">
        <v>0</v>
      </c>
      <c r="AA551" s="3" t="inlineStr">
        <is>
          <t>pescatarian, gluten-free, nut-free, low-carb, high-protein, omega-3, quick</t>
        </is>
      </c>
      <c r="AB551" s="3" t="inlineStr">
        <is>
          <t>1. Sear salmon in oil 4 minutes per side; remove.
2. Add garlic, broth, lemon juice, capers; simmer 2 minutes; whisk in butter.
3. Spoon over salmon; serve with roasted asparagus and parsley.</t>
        </is>
      </c>
      <c r="AC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0% of this dish's available carbohydrate comes from ingredients with a published, measured GI; the rest uses conventional placeholders (see Ingredients sheet)</t>
        </is>
      </c>
      <c r="Z552" s="2" t="n">
        <v>0</v>
      </c>
      <c r="AA552" s="3" t="inlineStr">
        <is>
          <t>pescatarian, gluten-free, nut-free, low-carb, high-protein, quick</t>
        </is>
      </c>
      <c r="AB552" s="3" t="inlineStr">
        <is>
          <t>1. Sauté shrimp 3 minutes; chop.
2. Lay cucumber ribbons overlapping; spread cream cheese; add shrimp and avocado.
3. Roll tightly; slice; sprinkle sesame and chives; serve with tamari.</t>
        </is>
      </c>
      <c r="AC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0% of this dish's available carbohydrate comes from ingredients with a published, measured GI; the rest uses conventional placeholders (see Ingredients sheet)</t>
        </is>
      </c>
      <c r="Z553" s="2" t="n">
        <v>0</v>
      </c>
      <c r="AA553" s="3" t="inlineStr">
        <is>
          <t>pescatarian, gluten-free, dairy-free, nut-free, low-carb, high-protein, quick</t>
        </is>
      </c>
      <c r="AB553" s="3" t="inlineStr">
        <is>
          <t>1. Blend parsley, capers, anchovy, garlic, lemon, most of the oil, Dijon into salsa verde.
2. Brush swordfish with remaining oil; grill 4 minutes per side.
3. Serve over arugula with salsa verde.</t>
        </is>
      </c>
      <c r="AC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19% of this dish's available carbohydrate comes from ingredients with a published, measured GI; the rest uses conventional placeholders (see Ingredients sheet)</t>
        </is>
      </c>
      <c r="Z554" s="2" t="n">
        <v>19</v>
      </c>
      <c r="AA554" s="3" t="inlineStr">
        <is>
          <t>pescatarian, gluten-free, nut-free, low-carb, high-protein</t>
        </is>
      </c>
      <c r="AB554" s="3" t="inlineStr">
        <is>
          <t>1. Halve zucchini; scoop centers.
2. Sauté chopped shrimp with garlic and zucchini flesh; mix with marinara.
3. Fill boats; top cheeses; bake at 400°F 18 minutes; add basil.</t>
        </is>
      </c>
      <c r="AC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82% of this dish's available carbohydrate comes from ingredients with a published, measured GI; the rest uses conventional placeholders (see Ingredients sheet)</t>
        </is>
      </c>
      <c r="Z555" s="2" t="n">
        <v>82</v>
      </c>
      <c r="AA555" s="3" t="inlineStr">
        <is>
          <t>pescatarian, gluten-free, nut-free, low-carb, high-protein, omega-3</t>
        </is>
      </c>
      <c r="AB555" s="3" t="inlineStr">
        <is>
          <t>1. Roast beets wrapped in foil 40 minutes; peel and slice.
2. Broil mackerel with oil and salt 8 minutes.
3. Mix yogurt, Dijon, dill, lemon; serve fish with beets, greens and sauce.</t>
        </is>
      </c>
      <c r="AC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0% of this dish's available carbohydrate comes from ingredients with a published, measured GI; the rest uses conventional placeholders (see Ingredients sheet)</t>
        </is>
      </c>
      <c r="Z556" s="2" t="n">
        <v>0</v>
      </c>
      <c r="AA556" s="3" t="inlineStr">
        <is>
          <t>pescatarian, gluten-free, dairy-free, nut-free, high-protein, quick</t>
        </is>
      </c>
      <c r="AB556" s="3" t="inlineStr">
        <is>
          <t>1. Sauté garlic in oil; add wine and clams; cover 5 minutes until open.
2. Add zoodles; toss 2 minutes.
3. Finish with parsley, lemon, pepper flakes.</t>
        </is>
      </c>
      <c r="AC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17% of this dish's available carbohydrate comes from ingredients with a published, measured GI; the rest uses conventional placeholders (see Ingredients sheet)</t>
        </is>
      </c>
      <c r="Z557" s="2" t="n">
        <v>17</v>
      </c>
      <c r="AA557" s="3" t="inlineStr">
        <is>
          <t>gluten-free, nut-free, low-carb, high-protein</t>
        </is>
      </c>
      <c r="AB557" s="3" t="inlineStr">
        <is>
          <t>1. Sauté shrimp; crisp bacon; boil eggs.
2. Mix yogurt, blue cheese, lemon.
3. Fill lettuce with shrimp, egg, bacon, avocado, tomato; drizzle.</t>
        </is>
      </c>
      <c r="AC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0% of this dish's available carbohydrate comes from ingredients with a published, measured GI; the rest uses conventional placeholders (see Ingredients sheet)</t>
        </is>
      </c>
      <c r="Z558" s="2" t="n">
        <v>0</v>
      </c>
      <c r="AA558" s="3" t="inlineStr">
        <is>
          <t>pescatarian, gluten-free, dairy-free, nut-free, low-carb, high-protein, omega-3, quick</t>
        </is>
      </c>
      <c r="AB558" s="3" t="inlineStr">
        <is>
          <t>1. Sear salmon cubes in oil 3 minutes; remove.
2. Stir-fry green beans, pepper, ginger, garlic 4 minutes.
3. Return salmon with tamari, vinegar, sesame oil; top sesame.</t>
        </is>
      </c>
      <c r="AC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0% of this dish's available carbohydrate comes from ingredients with a published, measured GI; the rest uses conventional placeholders (see Ingredients sheet)</t>
        </is>
      </c>
      <c r="Z559" s="2" t="n">
        <v>0</v>
      </c>
      <c r="AA559" s="3" t="inlineStr">
        <is>
          <t>pescatarian, gluten-free, dairy-free, nut-free, low-carb, high-protein</t>
        </is>
      </c>
      <c r="AB559" s="3" t="inlineStr">
        <is>
          <t>1. Sizzle mustard seeds in oil; add onion, garlic, ginger, spices.
2. Add tomatoes and coconut milk; simmer 8 minutes.
3. Add cod and spinach; cook 6 minutes; finish with lime, cilantro.</t>
        </is>
      </c>
      <c r="AC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0% of this dish's available carbohydrate comes from ingredients with a published, measured GI; the rest uses conventional placeholders (see Ingredients sheet)</t>
        </is>
      </c>
      <c r="Z560" s="2" t="n">
        <v>0</v>
      </c>
      <c r="AA560" s="3" t="inlineStr">
        <is>
          <t>pescatarian, gluten-free, dairy-free, nut-free, low-carb, high-protein, quick</t>
        </is>
      </c>
      <c r="AB560" s="3" t="inlineStr">
        <is>
          <t>1. Skewer shrimp and zucchini chunks; brush with a third of the oil; grill 3 minutes per side.
2. Blend remaining oil, herbs, garlic, vinegar, oregano, pepper flakes.
3. Spoon chimichurri over skewers.</t>
        </is>
      </c>
      <c r="AC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11% of this dish's available carbohydrate comes from ingredients with a published, measured GI; the rest uses conventional placeholders (see Ingredients sheet)</t>
        </is>
      </c>
      <c r="Z561" s="2" t="n">
        <v>11</v>
      </c>
      <c r="AA561" s="3" t="inlineStr">
        <is>
          <t>pescatarian, gluten-free, nut-free, low-carb, high-protein, quick</t>
        </is>
      </c>
      <c r="AB561" s="3" t="inlineStr">
        <is>
          <t>1. Halve and seed peppers.
2. Mix tuna, yogurt, Dijon, celery, green onion; fill peppers.
3. Top with cheddar; bake at 400°F 12 minutes.</t>
        </is>
      </c>
      <c r="AC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9% of this dish's available carbohydrate comes from ingredients with a published, measured GI; the rest uses conventional placeholders (see Ingredients sheet)</t>
        </is>
      </c>
      <c r="Z562" s="2" t="n">
        <v>9</v>
      </c>
      <c r="AA562" s="3" t="inlineStr">
        <is>
          <t>pescatarian, nut-free, low-carb, high-protein, high-fiber, omega-3</t>
        </is>
      </c>
      <c r="AB562" s="3" t="inlineStr">
        <is>
          <t>1. Roast salmon; flake.
2. Toss chopped kale with yogurt, lemon, Dijon, parmesan.
3. Roll salmon and kale in tortillas.</t>
        </is>
      </c>
      <c r="AC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0% of this dish's available carbohydrate comes from ingredients with a published, measured GI; the rest uses conventional placeholders (see Ingredients sheet)</t>
        </is>
      </c>
      <c r="Z563" s="2" t="n">
        <v>0</v>
      </c>
      <c r="AA563" s="3" t="inlineStr">
        <is>
          <t>pescatarian, gluten-free, dairy-free, nut-free, low-carb, high-protein, quick</t>
        </is>
      </c>
      <c r="AB563" s="3" t="inlineStr">
        <is>
          <t>1. Sauté cauliflower rice with coconut milk, garlic, ginger 6 minutes.
2. Sauté shrimp with jalapeño in oil 3 minutes.
3. Combine; finish with lime, green onion, cilantro.</t>
        </is>
      </c>
      <c r="AC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0% of this dish's available carbohydrate comes from ingredients with a published, measured GI; the rest uses conventional placeholders (see Ingredients sheet)</t>
        </is>
      </c>
      <c r="Z564" s="2" t="n">
        <v>0</v>
      </c>
      <c r="AA564" s="3" t="inlineStr">
        <is>
          <t>pescatarian, gluten-free, low-carb, high-protein</t>
        </is>
      </c>
      <c r="AB564" s="3" t="inlineStr">
        <is>
          <t>1. Sauté onion, garlic, eggplant, zucchini, pepper in oil 10 minutes; add tomato, thyme; simmer 15 minutes.
2. Press almond flour-parmesan-basil onto halibut; bake at 400°F 12 minutes.
3. Serve fish over ratatouille.</t>
        </is>
      </c>
      <c r="AC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84% of this dish's available carbohydrate comes from ingredients with a published, measured GI; the rest uses conventional placeholders (see Ingredients sheet)</t>
        </is>
      </c>
      <c r="Z565" s="2" t="n">
        <v>84</v>
      </c>
      <c r="AA565" s="3" t="inlineStr">
        <is>
          <t>pescatarian, gluten-free, dairy-free, nut-free, high-protein, high-fiber, quick, one-pan</t>
        </is>
      </c>
      <c r="AB565" s="3" t="inlineStr">
        <is>
          <t>1. Sauté garlic in oil; add tomatoes 2 minutes.
2. Add shrimp 3 minutes; add beans and spinach until wilted.
3. Finish with lemon, parsley, pepper flakes.</t>
        </is>
      </c>
      <c r="AC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70% of this dish's available carbohydrate comes from ingredients with a published, measured GI; the rest uses conventional placeholders (see Ingredients sheet)</t>
        </is>
      </c>
      <c r="Z566" s="2" t="n">
        <v>70</v>
      </c>
      <c r="AA566" s="3" t="inlineStr">
        <is>
          <t>pescatarian, gluten-free, dairy-free, nut-free, high-protein, omega-3, one-pan</t>
        </is>
      </c>
      <c r="AB566" s="3" t="inlineStr">
        <is>
          <t>1. Roast sweet potato cubes with half the oil 15 minutes.
2. Add broccoli and salmon rubbed with garlic, paprika, remaining oil; roast 15 minutes more.
3. Finish with lemon.</t>
        </is>
      </c>
      <c r="AC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0% of this dish's available carbohydrate comes from ingredients with a published, measured GI; the rest uses conventional placeholders (see Ingredients sheet)</t>
        </is>
      </c>
      <c r="Z567" s="2" t="n">
        <v>0</v>
      </c>
      <c r="AA567" s="3" t="inlineStr">
        <is>
          <t>pescatarian, gluten-free, dairy-free, nut-free, low-carb, high-protein</t>
        </is>
      </c>
      <c r="AB567" s="3" t="inlineStr">
        <is>
          <t>1. Simmer broth with lemongrass, ginger, jalapeño 8 minutes.
2. Add mushrooms and tomato 3 minutes; add shrimp 3 minutes.
3. Add fish sauce, lime; pour over zoodles; top cilantro.</t>
        </is>
      </c>
      <c r="AC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43% of this dish's available carbohydrate comes from ingredients with a published, measured GI; the rest uses conventional placeholders (see Ingredients sheet)</t>
        </is>
      </c>
      <c r="Z568" s="2" t="n">
        <v>43</v>
      </c>
      <c r="AA568" s="3" t="inlineStr">
        <is>
          <t>pescatarian, gluten-free, dairy-free, nut-free, low-carb, high-protein, one-pan</t>
        </is>
      </c>
      <c r="AB568" s="3" t="inlineStr">
        <is>
          <t>1. Roast sliced fennel with half the oil at 425°F 12 minutes.
2. Add sea bass, orange slices, olives, garlic, thyme, remaining oil; roast 12 minutes.
3. Serve with pan juices.</t>
        </is>
      </c>
      <c r="AC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9% of this dish's available carbohydrate comes from ingredients with a published, measured GI; the rest uses conventional placeholders (see Ingredients sheet)</t>
        </is>
      </c>
      <c r="Z569" s="2" t="n">
        <v>9</v>
      </c>
      <c r="AA569" s="3" t="inlineStr">
        <is>
          <t>pescatarian, gluten-free, nut-free, low-carb, high-protein</t>
        </is>
      </c>
      <c r="AB569" s="3" t="inlineStr">
        <is>
          <t>1. Blend steamed cauliflower with milk, cheddar, salt.
2. Sauté kale with half the garlic; sauté shrimp with remaining garlic and Old Bay.
3. Bowl grits, kale, shrimp; finish lemon, green onion.</t>
        </is>
      </c>
      <c r="AC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0% of this dish's available carbohydrate comes from ingredients with a published, measured GI; the rest uses conventional placeholders (see Ingredients sheet)</t>
        </is>
      </c>
      <c r="Z570" s="2" t="n">
        <v>0</v>
      </c>
      <c r="AA570" s="3" t="inlineStr">
        <is>
          <t>pescatarian, gluten-free, dairy-free, nut-free, low-carb, high-protein, omega-3</t>
        </is>
      </c>
      <c r="AB570" s="3" t="inlineStr">
        <is>
          <t>1. Roast or sear salmon; flake. Steam and cool cauliflower rice seasoned with vinegar.
2. In a ring mold layer cauliflower rice, avocado, cucumber, salmon; unmold.
3. Top with nori strips, sesame, green onion, tamari, sriracha.</t>
        </is>
      </c>
      <c r="AC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0% of this dish's available carbohydrate comes from ingredients with a published, measured GI; the rest uses conventional placeholders (see Ingredients sheet)</t>
        </is>
      </c>
      <c r="Z571" s="2" t="n">
        <v>0</v>
      </c>
      <c r="AA571" s="3" t="inlineStr">
        <is>
          <t>pescatarian, gluten-free, low-carb, high-protein, omega-3, quick</t>
        </is>
      </c>
      <c r="AB571" s="3" t="inlineStr">
        <is>
          <t>1. Sear trout in oil 3 minutes per side; remove.
2. Toast sliced almonds in butter; add lemon juice and parsley.
3. Spoon over trout; serve with green beans.</t>
        </is>
      </c>
      <c r="AC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0% of this dish's available carbohydrate comes from ingredients with a published, measured GI; the rest uses conventional placeholders (see Ingredients sheet)</t>
        </is>
      </c>
      <c r="Z572" s="2" t="n">
        <v>0</v>
      </c>
      <c r="AA572" s="3" t="inlineStr">
        <is>
          <t>pescatarian, dairy-free, nut-free, low-carb, high-protein, probiotic</t>
        </is>
      </c>
      <c r="AB572" s="3" t="inlineStr">
        <is>
          <t>1. Sauté shrimp with garlic in oil; remove.
2. Stir-fry kimchi and cauliflower rice 5 minutes; scramble eggs in.
3. Return shrimp with tamari, gochujang, sesame oil, green onion.</t>
        </is>
      </c>
      <c r="AC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26% of this dish's available carbohydrate comes from ingredients with a published, measured GI; the rest uses conventional placeholders (see Ingredients sheet)</t>
        </is>
      </c>
      <c r="Z573" s="2" t="n">
        <v>26</v>
      </c>
      <c r="AA573" s="3" t="inlineStr">
        <is>
          <t>pescatarian, gluten-free, low-carb, high-protein</t>
        </is>
      </c>
      <c r="AB573" s="3" t="inlineStr">
        <is>
          <t>1. Mix flaked cod, eggs, almond flour, green onion, Dijon, Old Bay; form 8 cakes.
2. Pan-fry in oil 4 minutes per side.
3. Mix yogurt, dill, lemon; serve cakes over arugula.</t>
        </is>
      </c>
      <c r="AC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28</v>
      </c>
      <c r="U574" s="2" t="inlineStr">
        <is>
          <t>low</t>
        </is>
      </c>
      <c r="V574" s="5" t="n">
        <v>6.5</v>
      </c>
      <c r="W574" s="2" t="inlineStr">
        <is>
          <t>low</t>
        </is>
      </c>
      <c r="X574" s="3" t="inlineStr"/>
      <c r="Y574" s="3" t="inlineStr">
        <is>
          <t>7% of this dish's available carbohydrate comes from ingredients with a published, measured GI; the rest uses conventional placeholders (see Ingredients sheet)</t>
        </is>
      </c>
      <c r="Z574" s="2" t="n">
        <v>7</v>
      </c>
      <c r="AA574" s="3" t="inlineStr">
        <is>
          <t>pescatarian, gluten-free, nut-free, high-protein, high-fiber</t>
        </is>
      </c>
      <c r="AB574" s="3" t="inlineStr">
        <is>
          <t>1. Cook pasta al dente.
2. Sauté garlic, asparagus, zucchini 4 minutes; add shrimp and tomatoes 3 minutes; add peas.
3. Toss with pasta, lemon, parmesan, basil.</t>
        </is>
      </c>
      <c r="AC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0% of this dish's available carbohydrate comes from ingredients with a published, measured GI; the rest uses conventional placeholders (see Ingredients sheet)</t>
        </is>
      </c>
      <c r="Z575" s="2" t="n">
        <v>0</v>
      </c>
      <c r="AA575" s="3" t="inlineStr">
        <is>
          <t>pescatarian, gluten-free, dairy-free, nut-free, low-carb, high-protein, no-cook, omega-3</t>
        </is>
      </c>
      <c r="AB575" s="3" t="inlineStr">
        <is>
          <t>1. Cube salmon; toss with tamari, sesame oil, vinegar, green onion.
2. Fill lettuce cups with poke, avocado, cucumber, seaweed.
3. Sprinkle sesame.</t>
        </is>
      </c>
      <c r="AC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0% of this dish's available carbohydrate comes from ingredients with a published, measured GI; the rest uses conventional placeholders (see Ingredients sheet)</t>
        </is>
      </c>
      <c r="Z576" s="2" t="n">
        <v>0</v>
      </c>
      <c r="AA576" s="3" t="inlineStr">
        <is>
          <t>pescatarian, gluten-free, dairy-free, nut-free, low-carb, high-protein, one-pan</t>
        </is>
      </c>
      <c r="AB576" s="3" t="inlineStr">
        <is>
          <t>1. Place snapper in a dish with tomatoes, zucchini, garlic; drizzle oil, wine, lemon; season.
2. Bake at 400°F 15–18 minutes.
3. Top with basil.</t>
        </is>
      </c>
      <c r="AC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17% of this dish's available carbohydrate comes from ingredients with a published, measured GI; the rest uses conventional placeholders (see Ingredients sheet)</t>
        </is>
      </c>
      <c r="Z577" s="2" t="n">
        <v>17</v>
      </c>
      <c r="AA577" s="3" t="inlineStr">
        <is>
          <t>pescatarian, gluten-free, nut-free, low-carb, high-protein, quick</t>
        </is>
      </c>
      <c r="AB577" s="3" t="inlineStr">
        <is>
          <t>1. Sauté shrimp 3 minutes.
2. Whisk yogurt, lemon, Dijon, anchovy, garlic, oil.
3. Toss zoodles and romaine with dressing; top shrimp and parmesan.</t>
        </is>
      </c>
      <c r="AC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84% of this dish's available carbohydrate comes from ingredients with a published, measured GI; the rest uses conventional placeholders (see Ingredients sheet)</t>
        </is>
      </c>
      <c r="Z578" s="2" t="n">
        <v>84</v>
      </c>
      <c r="AA578" s="3" t="inlineStr">
        <is>
          <t>pescatarian, gluten-free, nut-free, high-protein, high-fiber, omega-3</t>
        </is>
      </c>
      <c r="AB578" s="3" t="inlineStr">
        <is>
          <t>1. Rub salmon with spices and oil; broil 8 minutes; flake.
2. Mix yogurt with minced chipotle and lime.
3. Fill tortillas with cabbage, salmon, avocado, chipotle yogurt, cilantro.</t>
        </is>
      </c>
      <c r="AC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11% of this dish's available carbohydrate comes from ingredients with a published, measured GI; the rest uses conventional placeholders (see Ingredients sheet)</t>
        </is>
      </c>
      <c r="Z579" s="2" t="n">
        <v>11</v>
      </c>
      <c r="AA579" s="3" t="inlineStr">
        <is>
          <t>pescatarian, gluten-free, nut-free, low-carb, high-protein, one-pan</t>
        </is>
      </c>
      <c r="AB579" s="3" t="inlineStr">
        <is>
          <t>1. Sauté shrimp with garlic in oil; remove.
2. Wilt spinach; add artichokes, cream cheese, yogurt, parmesan; stir until creamy.
3. Return shrimp; finish with lemon.</t>
        </is>
      </c>
      <c r="AC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0% of this dish's available carbohydrate comes from ingredients with a published, measured GI; the rest uses conventional placeholders (see Ingredients sheet)</t>
        </is>
      </c>
      <c r="Z580" s="2" t="n">
        <v>0</v>
      </c>
      <c r="AA580" s="3" t="inlineStr">
        <is>
          <t>pescatarian, gluten-free, dairy-free, nut-free, low-carb, high-protein, quick</t>
        </is>
      </c>
      <c r="AB580" s="3" t="inlineStr">
        <is>
          <t>1. Brush tuna with oil; grill 2 minutes per side.
2. Toss avocado, tomato, onion, basil, capers with lemon and oil.
3. Slice tuna; serve with salad.</t>
        </is>
      </c>
      <c r="AC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0% of this dish's available carbohydrate comes from ingredients with a published, measured GI; the rest uses conventional placeholders (see Ingredients sheet)</t>
        </is>
      </c>
      <c r="Z581" s="2" t="n">
        <v>0</v>
      </c>
      <c r="AA581" s="3" t="inlineStr">
        <is>
          <t>pescatarian, gluten-free, dairy-free, low-carb, high-protein, high-fiber</t>
        </is>
      </c>
      <c r="AB581" s="3" t="inlineStr">
        <is>
          <t>1. Simmer collards with onion, garlic, broth, vinegar 20 minutes.
2. Dip catfish in egg then almond flour-Cajun; pan-fry in oil 4 minutes per side.
3. Serve with collards and hot sauce.</t>
        </is>
      </c>
      <c r="AC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33</v>
      </c>
      <c r="U582" s="2" t="inlineStr">
        <is>
          <t>low</t>
        </is>
      </c>
      <c r="V582" s="5" t="n">
        <v>2</v>
      </c>
      <c r="W582" s="2" t="inlineStr">
        <is>
          <t>low</t>
        </is>
      </c>
      <c r="X582" s="3" t="inlineStr"/>
      <c r="Y582" s="3" t="inlineStr">
        <is>
          <t>65% of this dish's available carbohydrate comes from ingredients with a published, measured GI; the rest uses conventional placeholders (see Ingredients sheet)</t>
        </is>
      </c>
      <c r="Z582" s="2" t="n">
        <v>65</v>
      </c>
      <c r="AA582" s="3" t="inlineStr">
        <is>
          <t>pescatarian, gluten-free, dairy-free, nut-free, low-carb, high-protein, quick</t>
        </is>
      </c>
      <c r="AB582" s="3" t="inlineStr">
        <is>
          <t>1. Sauté shrimp with cumin 3 minutes; cool slightly.
2. Toss with mango, onion, jalapeño, cilantro, lime, avocado.
3. Spoon into lettuce cups.</t>
        </is>
      </c>
      <c r="AC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0% of this dish's available carbohydrate comes from ingredients with a published, measured GI; the rest uses conventional placeholders (see Ingredients sheet)</t>
        </is>
      </c>
      <c r="Z583" s="2" t="n">
        <v>0</v>
      </c>
      <c r="AA583" s="3" t="inlineStr">
        <is>
          <t>pescatarian, gluten-free, dairy-free, nut-free, low-carb, high-protein, omega-3, quick</t>
        </is>
      </c>
      <c r="AB583" s="3" t="inlineStr">
        <is>
          <t>1. Rub sardines with oil, garlic, salt; roast at 425°F 10–12 minutes.
2. Toss arugula and tomato with lemon.
3. Serve sardines over the salad with parsley.</t>
        </is>
      </c>
      <c r="AC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52</v>
      </c>
      <c r="U584" s="2" t="inlineStr">
        <is>
          <t>low</t>
        </is>
      </c>
      <c r="V584" s="5" t="n">
        <v>10.2</v>
      </c>
      <c r="W584" s="2" t="inlineStr">
        <is>
          <t>medium</t>
        </is>
      </c>
      <c r="X584" s="3" t="inlineStr"/>
      <c r="Y584" s="3" t="inlineStr">
        <is>
          <t>77% of this dish's available carbohydrate comes from ingredients with a published, measured GI; the rest uses conventional placeholders (see Ingredients sheet)</t>
        </is>
      </c>
      <c r="Z584" s="2" t="n">
        <v>77</v>
      </c>
      <c r="AA584" s="3" t="inlineStr">
        <is>
          <t>gluten-free, nut-free, high-protein, one-pan</t>
        </is>
      </c>
      <c r="AB584" s="3" t="inlineStr">
        <is>
          <t>1. Toss potatoes with half the oil and Old Bay; roast 15 minutes.
2. Add zucchini, sausage, corn, shrimp, remaining oil, garlic; roast 10 minutes.
3. Drizzle melted butter and lemon; parsley.</t>
        </is>
      </c>
      <c r="AC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33% of this dish's available carbohydrate comes from ingredients with a published, measured GI; the rest uses conventional placeholders (see Ingredients sheet)</t>
        </is>
      </c>
      <c r="Z585" s="2" t="n">
        <v>33</v>
      </c>
      <c r="AA585" s="3" t="inlineStr">
        <is>
          <t>pescatarian, gluten-free, nut-free, low-carb, high-protein, omega-3, quick</t>
        </is>
      </c>
      <c r="AB585" s="3" t="inlineStr">
        <is>
          <t>1. Roast salmon with oil and salt 12 minutes.
2. Mix yogurt, grated cucumber, dill, garlic, lemon.
3. Serve salmon over greens with sauce.</t>
        </is>
      </c>
      <c r="AC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0% of this dish's available carbohydrate comes from ingredients with a published, measured GI; the rest uses conventional placeholders (see Ingredients sheet)</t>
        </is>
      </c>
      <c r="Z586" s="2" t="n">
        <v>0</v>
      </c>
      <c r="AA586" s="3" t="inlineStr">
        <is>
          <t>pescatarian, gluten-free, dairy-free, nut-free, low-carb, high-protein, quick</t>
        </is>
      </c>
      <c r="AB586" s="3" t="inlineStr">
        <is>
          <t>1. Sear scallops in oil 90 seconds per side; remove.
2. Stir-fry asparagus, garlic, ginger 3 minutes.
3. Return scallops with tamari, vinegar, sesame oil; green onion.</t>
        </is>
      </c>
      <c r="AC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33</v>
      </c>
      <c r="U587" s="2" t="inlineStr">
        <is>
          <t>low</t>
        </is>
      </c>
      <c r="V587" s="5" t="n">
        <v>12.5</v>
      </c>
      <c r="W587" s="2" t="inlineStr">
        <is>
          <t>medium</t>
        </is>
      </c>
      <c r="X587" s="3" t="inlineStr"/>
      <c r="Y587" s="3" t="inlineStr">
        <is>
          <t>64% of this dish's available carbohydrate comes from ingredients with a published, measured GI; the rest uses conventional placeholders (see Ingredients sheet)</t>
        </is>
      </c>
      <c r="Z587" s="2" t="n">
        <v>64</v>
      </c>
      <c r="AA587" s="3" t="inlineStr">
        <is>
          <t>vegan, gluten-free, dairy-free, nut-free, high-fiber, make-ahead</t>
        </is>
      </c>
      <c r="AB587" s="3" t="inlineStr">
        <is>
          <t>1. Sauté onion, garlic, ginger, spices in oil 5 minutes.
2. Add tomatoes, coconut milk, chickpeas; simmer 12 minutes.
3. Stir in spinach; finish lime, cilantro; serve over cauliflower rice.</t>
        </is>
      </c>
      <c r="AC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21% of this dish's available carbohydrate comes from ingredients with a published, measured GI; the rest uses conventional placeholders (see Ingredients sheet)</t>
        </is>
      </c>
      <c r="Z588" s="2" t="n">
        <v>21</v>
      </c>
      <c r="AA588" s="3" t="inlineStr">
        <is>
          <t>vegan, gluten-free, dairy-free, nut-free, low-carb, high-protein, high-fiber</t>
        </is>
      </c>
      <c r="AB588" s="3" t="inlineStr">
        <is>
          <t>1. Press tofu; cube; toss with arrowroot; pan-fry in oil until crisp; remove.
2. Stir-fry vegetables, garlic, ginger 5 minutes.
3. Return tofu with tamari, vinegar, sesame oil; top sesame.</t>
        </is>
      </c>
      <c r="AC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84% of this dish's available carbohydrate comes from ingredients with a published, measured GI; the rest uses conventional placeholders (see Ingredients sheet)</t>
        </is>
      </c>
      <c r="Z589" s="2" t="n">
        <v>84</v>
      </c>
      <c r="AA589" s="3" t="inlineStr">
        <is>
          <t>vegetarian, dairy-free, nut-free, high-fiber</t>
        </is>
      </c>
      <c r="AB589" s="3" t="inlineStr">
        <is>
          <t>1. Mash beans; mix with oats, egg, onion, garlic, spices, salt; form 4 patties; chill 15 minutes.
2. Pan-fry in oil 5 minutes per side.
3. Serve in lettuce with avocado, tomato, salsa.</t>
        </is>
      </c>
      <c r="AC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31</v>
      </c>
      <c r="U590" s="2" t="inlineStr">
        <is>
          <t>low</t>
        </is>
      </c>
      <c r="V590" s="5" t="n">
        <v>9.699999999999999</v>
      </c>
      <c r="W590" s="2" t="inlineStr">
        <is>
          <t>low</t>
        </is>
      </c>
      <c r="X590" s="3" t="inlineStr"/>
      <c r="Y590" s="3" t="inlineStr">
        <is>
          <t>54% of this dish's available carbohydrate comes from ingredients with a published, measured GI; the rest uses conventional placeholders (see Ingredients sheet)</t>
        </is>
      </c>
      <c r="Z590" s="2" t="n">
        <v>54</v>
      </c>
      <c r="AA590" s="3" t="inlineStr">
        <is>
          <t>vegetarian, gluten-free, nut-free, high-fiber, make-ahead</t>
        </is>
      </c>
      <c r="AB590" s="3" t="inlineStr">
        <is>
          <t>1. Sauté onion, carrot, celery, mushrooms, garlic in oil 8 minutes.
2. Add wine, tomatoes, lentils, seasoning; simmer 20 minutes.
3. Serve over sautéed zoodles with parmesan.</t>
        </is>
      </c>
      <c r="AC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26% of this dish's available carbohydrate comes from ingredients with a published, measured GI; the rest uses conventional placeholders (see Ingredients sheet)</t>
        </is>
      </c>
      <c r="Z591" s="2" t="n">
        <v>26</v>
      </c>
      <c r="AA591" s="3" t="inlineStr">
        <is>
          <t>vegetarian, gluten-free, low-carb, high-protein, high-fiber, make-ahead</t>
        </is>
      </c>
      <c r="AB591" s="3" t="inlineStr">
        <is>
          <t>1. Slice eggplant; salt 15 minutes; blot. Dip in egg then almond flour-parmesan-seasoning; bake at 425°F 20 minutes.
2. Layer with marinara and mozzarella in a dish.
3. Bake at 375°F 20 minutes; top basil.</t>
        </is>
      </c>
      <c r="AC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49% of this dish's available carbohydrate comes from ingredients with a published, measured GI; the rest uses conventional placeholders (see Ingredients sheet)</t>
        </is>
      </c>
      <c r="Z592" s="2" t="n">
        <v>49</v>
      </c>
      <c r="AA592" s="3" t="inlineStr">
        <is>
          <t>vegan, gluten-free, dairy-free, nut-free, high-protein, high-fiber</t>
        </is>
      </c>
      <c r="AB592" s="3" t="inlineStr">
        <is>
          <t>1. Crumble tempeh; sauté in oil with seasoning and tamari 8 minutes until browned.
2. Sauté cauliflower rice.
3. Bowl with beans, pico, avocado, romaine, lime, cilantro.</t>
        </is>
      </c>
      <c r="AC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13% of this dish's available carbohydrate comes from ingredients with a published, measured GI; the rest uses conventional placeholders (see Ingredients sheet)</t>
        </is>
      </c>
      <c r="Z593" s="2" t="n">
        <v>13</v>
      </c>
      <c r="AA593" s="3" t="inlineStr">
        <is>
          <t>vegetarian, gluten-free, low-carb</t>
        </is>
      </c>
      <c r="AB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C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66% of this dish's available carbohydrate comes from ingredients with a published, measured GI; the rest uses conventional placeholders (see Ingredients sheet)</t>
        </is>
      </c>
      <c r="Z594" s="2" t="n">
        <v>66</v>
      </c>
      <c r="AA594" s="3" t="inlineStr">
        <is>
          <t>vegetarian, gluten-free</t>
        </is>
      </c>
      <c r="AB594" s="3" t="inlineStr">
        <is>
          <t>1. Brush caps with oil and balsamic; roast 8 minutes.
2. Sauté chopped mushrooms, garlic, spinach; mix with quinoa, walnuts, thyme.
3. Fill caps; top goat cheese; bake at 400°F 12 minutes.</t>
        </is>
      </c>
      <c r="AC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0% of this dish's available carbohydrate comes from ingredients with a published, measured GI; the rest uses conventional placeholders (see Ingredients sheet)</t>
        </is>
      </c>
      <c r="Z595" s="2" t="n">
        <v>0</v>
      </c>
      <c r="AA595" s="3" t="inlineStr">
        <is>
          <t>vegan, gluten-free, dairy-free, nut-free, low-carb, high-protein, high-fiber</t>
        </is>
      </c>
      <c r="AB595" s="3" t="inlineStr">
        <is>
          <t>1. Pan-fry tofu cubes in oil until golden; remove.
2. Fry curry paste, garlic, ginger; add coconut milk, vegetables; simmer 8 minutes.
3. Return tofu; add tamari, lime, basil; serve over cauliflower rice.</t>
        </is>
      </c>
      <c r="AC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67% of this dish's available carbohydrate comes from ingredients with a published, measured GI; the rest uses conventional placeholders (see Ingredients sheet)</t>
        </is>
      </c>
      <c r="Z596" s="2" t="n">
        <v>67</v>
      </c>
      <c r="AA596" s="3" t="inlineStr">
        <is>
          <t>vegan, gluten-free, dairy-free, high-fiber, quick</t>
        </is>
      </c>
      <c r="AB596" s="3" t="inlineStr">
        <is>
          <t>1. Blend avocado, basil, garlic, lemon, oil, pine nuts, salt into pesto.
2. Warm zoodles 2 minutes; toss with pesto.
3. Add beans and tomatoes.</t>
        </is>
      </c>
      <c r="AC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32</v>
      </c>
      <c r="U597" s="2" t="inlineStr">
        <is>
          <t>low</t>
        </is>
      </c>
      <c r="V597" s="5" t="n">
        <v>10.3</v>
      </c>
      <c r="W597" s="2" t="inlineStr">
        <is>
          <t>medium</t>
        </is>
      </c>
      <c r="X597" s="3" t="inlineStr"/>
      <c r="Y597" s="3" t="inlineStr">
        <is>
          <t>50% of this dish's available carbohydrate comes from ingredients with a published, measured GI; the rest uses conventional placeholders (see Ingredients sheet)</t>
        </is>
      </c>
      <c r="Z597" s="2" t="n">
        <v>50</v>
      </c>
      <c r="AA597" s="3" t="inlineStr">
        <is>
          <t>vegetarian, gluten-free, nut-free, high-protein, high-fiber, one-pan</t>
        </is>
      </c>
      <c r="AB597" s="3" t="inlineStr">
        <is>
          <t>1. Sauté onion, pepper, garlic with spices in oil 7 minutes.
2. Add tomatoes, chickpeas, harissa; simmer 10 minutes.
3. Crack in eggs; cover 7 minutes; top feta, parsley.</t>
        </is>
      </c>
      <c r="AC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38</v>
      </c>
      <c r="U598" s="2" t="inlineStr">
        <is>
          <t>low</t>
        </is>
      </c>
      <c r="V598" s="5" t="n">
        <v>12.5</v>
      </c>
      <c r="W598" s="2" t="inlineStr">
        <is>
          <t>medium</t>
        </is>
      </c>
      <c r="X598" s="3" t="inlineStr"/>
      <c r="Y598" s="3" t="inlineStr">
        <is>
          <t>71% of this dish's available carbohydrate comes from ingredients with a published, measured GI; the rest uses conventional placeholders (see Ingredients sheet)</t>
        </is>
      </c>
      <c r="Z598" s="2" t="n">
        <v>71</v>
      </c>
      <c r="AA598" s="3" t="inlineStr">
        <is>
          <t>vegetarian, gluten-free, nut-free, high-fiber, meal-prep</t>
        </is>
      </c>
      <c r="AB598" s="3" t="inlineStr">
        <is>
          <t>1. Halve peppers; roast 10 minutes.
2. Mix quinoa, chickpeas, chopped spinach, olives, tomato, garlic, oregano, lemon, oil, half the feta.
3. Fill peppers; top remaining feta; bake at 400°F 20 minutes.</t>
        </is>
      </c>
      <c r="AC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18% of this dish's available carbohydrate comes from ingredients with a published, measured GI; the rest uses conventional placeholders (see Ingredients sheet)</t>
        </is>
      </c>
      <c r="Z599" s="2" t="n">
        <v>18</v>
      </c>
      <c r="AA599" s="3" t="inlineStr">
        <is>
          <t>vegan, gluten-free, dairy-free, low-carb, high-protein, high-fiber</t>
        </is>
      </c>
      <c r="AB599" s="3" t="inlineStr">
        <is>
          <t>1. Toss tofu cubes with arrowroot and half the oil; roast at 425°F 25 minutes with broccoli tossed in remaining oil.
2. Whisk peanut butter, tamari, lime, ginger, sriracha, warm water.
3. Drizzle sauce; top green onion, peanuts.</t>
        </is>
      </c>
      <c r="AC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29</v>
      </c>
      <c r="U600" s="2" t="inlineStr">
        <is>
          <t>low</t>
        </is>
      </c>
      <c r="V600" s="5" t="n">
        <v>7.2</v>
      </c>
      <c r="W600" s="2" t="inlineStr">
        <is>
          <t>low</t>
        </is>
      </c>
      <c r="X600" s="3" t="inlineStr"/>
      <c r="Y600" s="3" t="inlineStr">
        <is>
          <t>64% of this dish's available carbohydrate comes from ingredients with a published, measured GI; the rest uses conventional placeholders (see Ingredients sheet)</t>
        </is>
      </c>
      <c r="Z600" s="2" t="n">
        <v>64</v>
      </c>
      <c r="AA600" s="3" t="inlineStr">
        <is>
          <t>vegetarian, gluten-free, nut-free, high-fiber, make-ahead</t>
        </is>
      </c>
      <c r="AB600" s="3" t="inlineStr">
        <is>
          <t>1. Sauté onion, carrot, mushrooms, garlic; add lentils, tomato paste, broth, thyme, peas; simmer 10 minutes.
2. Mash steamed cauliflower with butter, milk, parmesan, salt.
3. Top filling with mash; bake at 400°F 25 minutes.</t>
        </is>
      </c>
      <c r="AC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15% of this dish's available carbohydrate comes from ingredients with a published, measured GI; the rest uses conventional placeholders (see Ingredients sheet)</t>
        </is>
      </c>
      <c r="Z601" s="2" t="n">
        <v>15</v>
      </c>
      <c r="AA601" s="3" t="inlineStr">
        <is>
          <t>vegetarian, gluten-free, dairy-free, nut-free, low-carb, high-fiber, quick</t>
        </is>
      </c>
      <c r="AB601" s="3" t="inlineStr">
        <is>
          <t>1. Scramble eggs in oil; remove.
2. Stir-fry carrot, garlic, ginger, cauliflower rice 5 minutes.
3. Add edamame, eggs, tamari, sesame oil, green onion.</t>
        </is>
      </c>
      <c r="AC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33</v>
      </c>
      <c r="U602" s="2" t="inlineStr">
        <is>
          <t>low</t>
        </is>
      </c>
      <c r="V602" s="5" t="n">
        <v>10.7</v>
      </c>
      <c r="W602" s="2" t="inlineStr">
        <is>
          <t>medium</t>
        </is>
      </c>
      <c r="X602" s="3" t="inlineStr"/>
      <c r="Y602" s="3" t="inlineStr">
        <is>
          <t>74% of this dish's available carbohydrate comes from ingredients with a published, measured GI; the rest uses conventional placeholders (see Ingredients sheet)</t>
        </is>
      </c>
      <c r="Z602" s="2" t="n">
        <v>74</v>
      </c>
      <c r="AA602" s="3" t="inlineStr">
        <is>
          <t>vegan, gluten-free, dairy-free, high-fiber</t>
        </is>
      </c>
      <c r="AB602" s="3" t="inlineStr">
        <is>
          <t>1. Pulse chickpeas, onion, garlic, herbs, spices, baking powder, almond flour, salt; form 16 balls; brush with oil.
2. Bake at 425°F 22 minutes, flipping once.
3. Whisk tahini, lemon, water; serve with cucumber-tomato salad.</t>
        </is>
      </c>
      <c r="AC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34% of this dish's available carbohydrate comes from ingredients with a published, measured GI; the rest uses conventional placeholders (see Ingredients sheet)</t>
        </is>
      </c>
      <c r="Z603" s="2" t="n">
        <v>34</v>
      </c>
      <c r="AA603" s="3" t="inlineStr">
        <is>
          <t>vegetarian, gluten-free, nut-free, high-fiber</t>
        </is>
      </c>
      <c r="AB603" s="3" t="inlineStr">
        <is>
          <t>1. Roast halved squash 40 minutes; scrape.
2. Sauté garlic and vegetables 5 minutes; add beans.
3. Toss with squash, lemon, parmesan, basil.</t>
        </is>
      </c>
      <c r="AC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59% of this dish's available carbohydrate comes from ingredients with a published, measured GI; the rest uses conventional placeholders (see Ingredients sheet)</t>
        </is>
      </c>
      <c r="Z604" s="2" t="n">
        <v>59</v>
      </c>
      <c r="AA604" s="3" t="inlineStr">
        <is>
          <t>vegetarian, gluten-free, nut-free</t>
        </is>
      </c>
      <c r="AB604" s="3" t="inlineStr">
        <is>
          <t>1. Brush caps with oil and garlic; roast 8 minutes.
2. Fill with halved tomato, mozzarella, beans; bake 10 minutes.
3. Top basil and balsamic.</t>
        </is>
      </c>
      <c r="AC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55% of this dish's available carbohydrate comes from ingredients with a published, measured GI; the rest uses conventional placeholders (see Ingredients sheet)</t>
        </is>
      </c>
      <c r="Z605" s="2" t="n">
        <v>55</v>
      </c>
      <c r="AA605" s="3" t="inlineStr">
        <is>
          <t>vegan, gluten-free, dairy-free, nut-free, high-protein, high-fiber, quick</t>
        </is>
      </c>
      <c r="AB605" s="3" t="inlineStr">
        <is>
          <t>1. Crumble tofu; sauté with turmeric, cumin, nutritional yeast, pepper 6 minutes.
2. Sauté cauliflower rice.
3. Bowl with beans, salsa, avocado, cilantro.</t>
        </is>
      </c>
      <c r="AC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40</v>
      </c>
      <c r="U606" s="2" t="inlineStr">
        <is>
          <t>low</t>
        </is>
      </c>
      <c r="V606" s="5" t="n">
        <v>9.6</v>
      </c>
      <c r="W606" s="2" t="inlineStr">
        <is>
          <t>low</t>
        </is>
      </c>
      <c r="X606" s="3" t="inlineStr"/>
      <c r="Y606" s="3" t="inlineStr">
        <is>
          <t>79% of this dish's available carbohydrate comes from ingredients with a published, measured GI; the rest uses conventional placeholders (see Ingredients sheet)</t>
        </is>
      </c>
      <c r="Z606" s="2" t="n">
        <v>79</v>
      </c>
      <c r="AA606" s="3" t="inlineStr">
        <is>
          <t>vegetarian, dairy-free, high-fiber, make-ahead</t>
        </is>
      </c>
      <c r="AB606" s="3" t="inlineStr">
        <is>
          <t>1. Sauté onion, carrot, mushrooms, garlic; pulse with lentils, oats, walnuts, eggs, half the tomato paste, tamari, thyme.
2. Press into a loaf pan; glaze with remaining tomato paste.
3. Bake at 375°F 50 minutes; rest 10.</t>
        </is>
      </c>
      <c r="AC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75% of this dish's available carbohydrate comes from ingredients with a published, measured GI; the rest uses conventional placeholders (see Ingredients sheet)</t>
        </is>
      </c>
      <c r="Z607" s="2" t="n">
        <v>75</v>
      </c>
      <c r="AA607" s="3" t="inlineStr">
        <is>
          <t>vegan, dairy-free, nut-free, high-fiber</t>
        </is>
      </c>
      <c r="AB607" s="3" t="inlineStr">
        <is>
          <t>1. Cook soba; rinse cold.
2. Whisk tamari, vinegar, sesame oil, ginger.
3. Toss soba with edamame, vegetables, dressing; sesame.</t>
        </is>
      </c>
      <c r="AC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21% of this dish's available carbohydrate comes from ingredients with a published, measured GI; the rest uses conventional placeholders (see Ingredients sheet)</t>
        </is>
      </c>
      <c r="Z608" s="2" t="n">
        <v>21</v>
      </c>
      <c r="AA608" s="3" t="inlineStr">
        <is>
          <t>vegetarian, gluten-free, nut-free, low-carb, make-ahead</t>
        </is>
      </c>
      <c r="AB608" s="3" t="inlineStr">
        <is>
          <t>1. Slice zucchini; salt, blot, grill briefly. Sauté mushrooms and garlic; add marinara.
2. Mix ricotta, egg, spinach, seasoning.
3. Layer zucchini, ricotta, sauce; top cheeses; bake at 375°F 40 minutes.</t>
        </is>
      </c>
      <c r="AC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29</v>
      </c>
      <c r="U609" s="2" t="inlineStr">
        <is>
          <t>low</t>
        </is>
      </c>
      <c r="V609" s="5" t="n">
        <v>8.5</v>
      </c>
      <c r="W609" s="2" t="inlineStr">
        <is>
          <t>low</t>
        </is>
      </c>
      <c r="X609" s="3" t="inlineStr"/>
      <c r="Y609" s="3" t="inlineStr">
        <is>
          <t>44% of this dish's available carbohydrate comes from ingredients with a published, measured GI; the rest uses conventional placeholders (see Ingredients sheet)</t>
        </is>
      </c>
      <c r="Z609" s="2" t="n">
        <v>44</v>
      </c>
      <c r="AA609" s="3" t="inlineStr">
        <is>
          <t>vegetarian, gluten-free, nut-free, high-fiber</t>
        </is>
      </c>
      <c r="AB609" s="3" t="inlineStr">
        <is>
          <t>1. Roast cauliflower florets with half the oil and half the spices at 425°F 20 minutes.
2. Sauté onion, garlic, ginger, remaining spices; add tomatoes; simmer 10 minutes; add coconut milk.
3. Stir in cauliflower, chickpeas, yogurt; garnish cilantro.</t>
        </is>
      </c>
      <c r="AC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19% of this dish's available carbohydrate comes from ingredients with a published, measured GI; the rest uses conventional placeholders (see Ingredients sheet)</t>
        </is>
      </c>
      <c r="Z610" s="2" t="n">
        <v>19</v>
      </c>
      <c r="AA610" s="3" t="inlineStr">
        <is>
          <t>vegetarian, gluten-free, low-carb</t>
        </is>
      </c>
      <c r="AB610" s="3" t="inlineStr">
        <is>
          <t>1. Grate zucchini; salt; squeeze very dry. Mix with eggs, feta, almond flour, green onion, herbs.
2. Pan-fry spoonfuls in oil 3 minutes per side.
3. Mix yogurt, grated cucumber, garlic; serve.</t>
        </is>
      </c>
      <c r="AC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180 g (6.3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180.0,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401</v>
      </c>
      <c r="O611" s="5" t="n">
        <v>14.7</v>
      </c>
      <c r="P611" s="5" t="n">
        <v>17</v>
      </c>
      <c r="Q611" s="5" t="n">
        <v>52.6</v>
      </c>
      <c r="R611" s="5" t="n">
        <v>14.2</v>
      </c>
      <c r="S611" s="5" t="n">
        <v>38.5</v>
      </c>
      <c r="T611" s="2" t="n">
        <v>48</v>
      </c>
      <c r="U611" s="2" t="inlineStr">
        <is>
          <t>low</t>
        </is>
      </c>
      <c r="V611" s="5" t="n">
        <v>18.5</v>
      </c>
      <c r="W611" s="2" t="inlineStr">
        <is>
          <t>medium</t>
        </is>
      </c>
      <c r="X611" s="3" t="inlineStr"/>
      <c r="Y611" s="3" t="inlineStr">
        <is>
          <t>81% of this dish's available carbohydrate comes from ingredients with a published, measured GI; the rest uses conventional placeholders (see Ingredients sheet)</t>
        </is>
      </c>
      <c r="Z611" s="2" t="n">
        <v>81</v>
      </c>
      <c r="AA611" s="3" t="inlineStr">
        <is>
          <t>vegan, gluten-free, dairy-free, nut-free, high-fiber, meal-prep</t>
        </is>
      </c>
      <c r="AB611" s="3" t="inlineStr">
        <is>
          <t>1. Roast chickpeas, sweet potato, broccoli with oil, paprika, salt at 425°F 22 minutes.
2. Whisk tahini, lemon, garlic, water.
3. Bowl quinoa, kale, cabbage, roasted items, avocado; drizzle tahini.</t>
        </is>
      </c>
      <c r="AC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12% of this dish's available carbohydrate comes from ingredients with a published, measured GI; the rest uses conventional placeholders (see Ingredients sheet)</t>
        </is>
      </c>
      <c r="Z612" s="2" t="n">
        <v>12</v>
      </c>
      <c r="AA612" s="3" t="inlineStr">
        <is>
          <t>vegetarian, gluten-free, nut-free, low-carb</t>
        </is>
      </c>
      <c r="AB612" s="3" t="inlineStr">
        <is>
          <t>1. Sear mushrooms in oil until browned; add onion, garlic, thyme, paprika.
2. Add broth; reduce; stir in yogurt and Dijon off heat.
3. Serve over sautéed zoodles with parsley.</t>
        </is>
      </c>
      <c r="AC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79% of this dish's available carbohydrate comes from ingredients with a published, measured GI; the rest uses conventional placeholders (see Ingredients sheet)</t>
        </is>
      </c>
      <c r="Z613" s="2" t="n">
        <v>79</v>
      </c>
      <c r="AA613" s="3" t="inlineStr">
        <is>
          <t>vegetarian, gluten-free, nut-free, high-fiber, one-pan</t>
        </is>
      </c>
      <c r="AB613" s="3" t="inlineStr">
        <is>
          <t>1. Sauté diced sweet potato in oil covered 8 minutes; add onion, pepper, garlic, cumin.
2. Add beans and enchilada sauce; simmer 8 minutes.
3. Top cheddar; cover to melt; serve with yogurt, avocado, cilantro.</t>
        </is>
      </c>
      <c r="AC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28% of this dish's available carbohydrate comes from ingredients with a published, measured GI; the rest uses conventional placeholders (see Ingredients sheet)</t>
        </is>
      </c>
      <c r="Z614" s="2" t="n">
        <v>28</v>
      </c>
      <c r="AA614" s="3" t="inlineStr">
        <is>
          <t>vegetarian, gluten-free, dairy-free, nut-free, low-carb</t>
        </is>
      </c>
      <c r="AB614" s="3" t="inlineStr">
        <is>
          <t>1. Marinate tofu slabs in tamari, garlic, five-spice; pan-fry in oil until crisp.
2. Quick-pickle carrot and daikon in vinegar 15 minutes.
3. Fill lettuce with tofu, pickles, cucumber, jalapeño, cilantro, sriracha mayo.</t>
        </is>
      </c>
      <c r="AC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55% of this dish's available carbohydrate comes from ingredients with a published, measured GI; the rest uses conventional placeholders (see Ingredients sheet)</t>
        </is>
      </c>
      <c r="Z615" s="2" t="n">
        <v>55</v>
      </c>
      <c r="AA615" s="3" t="inlineStr">
        <is>
          <t>vegan, gluten-free, dairy-free, nut-free, high-fiber, make-ahead</t>
        </is>
      </c>
      <c r="AB615" s="3" t="inlineStr">
        <is>
          <t>1. Sauté onion and garlic in oil; add eggplant, pepper 8 minutes.
2. Add zucchini, tomato, thyme; simmer 20 minutes.
3. Stir in beans; finish basil.</t>
        </is>
      </c>
      <c r="AC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0% of this dish's available carbohydrate comes from ingredients with a published, measured GI; the rest uses conventional placeholders (see Ingredients sheet)</t>
        </is>
      </c>
      <c r="Z616" s="2" t="n">
        <v>0</v>
      </c>
      <c r="AA616" s="3" t="inlineStr">
        <is>
          <t>vegetarian, gluten-free, nut-free, low-carb, make-ahead</t>
        </is>
      </c>
      <c r="AB616" s="3" t="inlineStr">
        <is>
          <t>1. Whisk eggs with cottage cheese, garlic powder, salt.
2. Stir in chopped vegetables and half the cheddar; pour into oiled dish.
3. Top remaining cheddar; bake at 350°F 35–40 minutes.</t>
        </is>
      </c>
      <c r="AC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40</v>
      </c>
      <c r="U617" s="2" t="inlineStr">
        <is>
          <t>low</t>
        </is>
      </c>
      <c r="V617" s="5" t="n">
        <v>16.8</v>
      </c>
      <c r="W617" s="2" t="inlineStr">
        <is>
          <t>medium</t>
        </is>
      </c>
      <c r="X617" s="3" t="inlineStr"/>
      <c r="Y617" s="3" t="inlineStr">
        <is>
          <t>84% of this dish's available carbohydrate comes from ingredients with a published, measured GI; the rest uses conventional placeholders (see Ingredients sheet)</t>
        </is>
      </c>
      <c r="Z617" s="2" t="n">
        <v>84</v>
      </c>
      <c r="AA617" s="3" t="inlineStr">
        <is>
          <t>vegetarian, gluten-free, nut-free, high-fiber</t>
        </is>
      </c>
      <c r="AB617" s="3" t="inlineStr">
        <is>
          <t>1. Sauté onion, garlic; add lentils, seasoning, tomato paste, splash of water; cook 6 minutes.
2. Toss cabbage with lime and half the yogurt.
3. Fill tortillas with lentils, slaw, avocado, yogurt, cilantro.</t>
        </is>
      </c>
      <c r="AC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0% of this dish's available carbohydrate comes from ingredients with a published, measured GI; the rest uses conventional placeholders (see Ingredients sheet)</t>
        </is>
      </c>
      <c r="Z618" s="2" t="n">
        <v>0</v>
      </c>
      <c r="AA618" s="3" t="inlineStr">
        <is>
          <t>vegan, gluten-free, dairy-free, nut-free, low-carb, high-protein, high-fiber, quick</t>
        </is>
      </c>
      <c r="AB618" s="3" t="inlineStr">
        <is>
          <t>1. Pan-fry tempeh slices in oil until golden; remove.
2. Stir-fry shiitake, garlic, ginger; add bok choy 3 minutes.
3. Return tempeh with tamari, vinegar, sesame oil; sesame.</t>
        </is>
      </c>
      <c r="AC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54% of this dish's available carbohydrate comes from ingredients with a published, measured GI; the rest uses conventional placeholders (see Ingredients sheet)</t>
        </is>
      </c>
      <c r="Z619" s="2" t="n">
        <v>54</v>
      </c>
      <c r="AA619" s="3" t="inlineStr">
        <is>
          <t>vegetarian, gluten-free</t>
        </is>
      </c>
      <c r="AB619" s="3" t="inlineStr">
        <is>
          <t>1. Brush caps with oil; roast 8 minutes.
2. Sauté spinach and garlic; mix with feta, ricotta, dill, beans.
3. Fill; top pine nuts; bake at 400°F 12 minutes.</t>
        </is>
      </c>
      <c r="AC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77% of this dish's available carbohydrate comes from ingredients with a published, measured GI; the rest uses conventional placeholders (see Ingredients sheet)</t>
        </is>
      </c>
      <c r="Z620" s="2" t="n">
        <v>77</v>
      </c>
      <c r="AA620" s="3" t="inlineStr">
        <is>
          <t>vegetarian, gluten-free, nut-free, high-fiber</t>
        </is>
      </c>
      <c r="AB620" s="3" t="inlineStr">
        <is>
          <t>1. Halve zucchini; scoop.
2. Mix quinoa, beans, corn, salsa, cumin, chopped zucchini flesh.
3. Fill; top cheese; bake at 400°F 25 minutes; cilantro.</t>
        </is>
      </c>
      <c r="AC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0% of this dish's available carbohydrate comes from ingredients with a published, measured GI; the rest uses conventional placeholders (see Ingredients sheet)</t>
        </is>
      </c>
      <c r="Z621" s="2" t="n">
        <v>0</v>
      </c>
      <c r="AA621" s="3" t="inlineStr">
        <is>
          <t>vegetarian, gluten-free, dairy-free, nut-free, low-carb</t>
        </is>
      </c>
      <c r="AB621" s="3" t="inlineStr">
        <is>
          <t>1. Sauté onion, garlic, ginger, curry powder in oil.
2. Add tomatoes, coconut milk, cauliflower, green beans; simmer 15 minutes.
3. Add halved eggs; warm; garnish cilantro.</t>
        </is>
      </c>
      <c r="AC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77% of this dish's available carbohydrate comes from ingredients with a published, measured GI; the rest uses conventional placeholders (see Ingredients sheet)</t>
        </is>
      </c>
      <c r="Z622" s="2" t="n">
        <v>77</v>
      </c>
      <c r="AA622" s="3" t="inlineStr">
        <is>
          <t>vegetarian, gluten-free, nut-free, make-ahead</t>
        </is>
      </c>
      <c r="AB622" s="3" t="inlineStr">
        <is>
          <t>1. Sauté onion and garlic; steam broccoli.
2. Mix quinoa, broccoli, yogurt, eggs, milk, Dijon, half the cheddar, salt.
3. Spread in a dish; top cheddar; bake at 375°F 25 minutes.</t>
        </is>
      </c>
      <c r="AC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34</v>
      </c>
      <c r="U623" s="2" t="inlineStr">
        <is>
          <t>low</t>
        </is>
      </c>
      <c r="V623" s="5" t="n">
        <v>11.1</v>
      </c>
      <c r="W623" s="2" t="inlineStr">
        <is>
          <t>medium</t>
        </is>
      </c>
      <c r="X623" s="3" t="inlineStr"/>
      <c r="Y623" s="3" t="inlineStr">
        <is>
          <t>74% of this dish's available carbohydrate comes from ingredients with a published, measured GI; the rest uses conventional placeholders (see Ingredients sheet)</t>
        </is>
      </c>
      <c r="Z623" s="2" t="n">
        <v>74</v>
      </c>
      <c r="AA623" s="3" t="inlineStr">
        <is>
          <t>vegetarian, gluten-free, nut-free, high-fiber, one-pan, quick</t>
        </is>
      </c>
      <c r="AB623" s="3" t="inlineStr">
        <is>
          <t>1. Sauté onion and garlic in oil; add tomatoes, chickpeas, oregano; simmer 10 minutes.
2. Stir in spinach and olives.
3. Top feta and lemon.</t>
        </is>
      </c>
      <c r="AC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7% of this dish's available carbohydrate comes from ingredients with a published, measured GI; the rest uses conventional placeholders (see Ingredients sheet)</t>
        </is>
      </c>
      <c r="Z624" s="2" t="n">
        <v>7</v>
      </c>
      <c r="AA624" s="3" t="inlineStr">
        <is>
          <t>vegetarian, gluten-free, dairy-free, low-carb, high-protein</t>
        </is>
      </c>
      <c r="AB624" s="3" t="inlineStr">
        <is>
          <t>1. Pan-fry tofu cubes until crisp; push aside; scramble eggs.
2. Add zoodles, garlic, tamari, lime, sweetener, sriracha; toss 2 minutes.
3. Add sprouts, green onion; top peanuts, cilantro.</t>
        </is>
      </c>
      <c r="AC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24</v>
      </c>
      <c r="U625" s="2" t="inlineStr">
        <is>
          <t>low</t>
        </is>
      </c>
      <c r="V625" s="5" t="n">
        <v>2.9</v>
      </c>
      <c r="W625" s="2" t="inlineStr">
        <is>
          <t>low</t>
        </is>
      </c>
      <c r="X625" s="3" t="inlineStr"/>
      <c r="Y625" s="3" t="inlineStr">
        <is>
          <t>33% of this dish's available carbohydrate comes from ingredients with a published, measured GI; the rest uses conventional placeholders (see Ingredients sheet)</t>
        </is>
      </c>
      <c r="Z625" s="2" t="n">
        <v>33</v>
      </c>
      <c r="AA625" s="3" t="inlineStr">
        <is>
          <t>vegetarian, gluten-free, dairy-free, nut-free, low-carb, high-protein, high-fiber, quick</t>
        </is>
      </c>
      <c r="AB625" s="3" t="inlineStr">
        <is>
          <t>1. Pan-fry tofu cubes until golden; remove.
2. Scramble eggs; add carrot, garlic, ginger, cauliflower rice 5 minutes.
3. Add peas, tofu, tamari, sesame oil, green onion.</t>
        </is>
      </c>
      <c r="AC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36</v>
      </c>
      <c r="U626" s="2" t="inlineStr">
        <is>
          <t>low</t>
        </is>
      </c>
      <c r="V626" s="5" t="n">
        <v>14.1</v>
      </c>
      <c r="W626" s="2" t="inlineStr">
        <is>
          <t>medium</t>
        </is>
      </c>
      <c r="X626" s="3" t="inlineStr"/>
      <c r="Y626" s="3" t="inlineStr">
        <is>
          <t>80% of this dish's available carbohydrate comes from ingredients with a published, measured GI; the rest uses conventional placeholders (see Ingredients sheet)</t>
        </is>
      </c>
      <c r="Z626" s="2" t="n">
        <v>80</v>
      </c>
      <c r="AA626" s="3" t="inlineStr">
        <is>
          <t>vegetarian, gluten-free, nut-free, high-fiber</t>
        </is>
      </c>
      <c r="AB626" s="3" t="inlineStr">
        <is>
          <t>1. Boil whole sweet potatoes 20–25 minutes until tender (boiling keeps the GI far lower than baking).
2. Sauté onion, pepper, garlic, spices; add beans and tomatoes; simmer 15 minutes.
3. Split potatoes; fill with chili; top yogurt, cheddar, green onion.</t>
        </is>
      </c>
      <c r="AC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23% of this dish's available carbohydrate comes from ingredients with a published, measured GI; the rest uses conventional placeholders (see Ingredients sheet)</t>
        </is>
      </c>
      <c r="Z627" s="2" t="n">
        <v>23</v>
      </c>
      <c r="AA627" s="3" t="inlineStr">
        <is>
          <t>vegetarian, gluten-free, nut-free, high-fiber, make-ahead</t>
        </is>
      </c>
      <c r="AB627" s="3" t="inlineStr">
        <is>
          <t>1. Slice eggplant lengthwise thin; brush with oil; roast at 425°F 12 minutes until pliable.
2. Mix ricotta, egg, spinach, parmesan, garlic; spread on slices and roll.
3. Place in marinara; top mozzarella; bake at 375°F 25 minutes; basil.</t>
        </is>
      </c>
      <c r="AC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71% of this dish's available carbohydrate comes from ingredients with a published, measured GI; the rest uses conventional placeholders (see Ingredients sheet)</t>
        </is>
      </c>
      <c r="Z628" s="2" t="n">
        <v>71</v>
      </c>
      <c r="AA628" s="3" t="inlineStr">
        <is>
          <t>vegetarian, gluten-free, nut-free, high-protein, high-fiber, one-pan</t>
        </is>
      </c>
      <c r="AB628" s="3" t="inlineStr">
        <is>
          <t>1. Sauté garlic and pepper flakes in oil; add tomatoes and beans; simmer 5 minutes.
2. Add kale until wilted; make wells; crack eggs; cover 6 minutes.
3. Top parmesan and lemon.</t>
        </is>
      </c>
      <c r="AC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5% of this dish's available carbohydrate comes from ingredients with a published, measured GI; the rest uses conventional placeholders (see Ingredients sheet)</t>
        </is>
      </c>
      <c r="Z629" s="2" t="n">
        <v>5</v>
      </c>
      <c r="AA629" s="3" t="inlineStr">
        <is>
          <t>vegetarian, gluten-free, nut-free, high-protein, high-fiber</t>
        </is>
      </c>
      <c r="AB629" s="3" t="inlineStr">
        <is>
          <t>1. Crumble tempeh; brown in oil with onion, carrot, celery, garlic.
2. Add wine, tomatoes, seasoning; simmer 20 minutes.
3. Serve over al dente pasta with parmesan.</t>
        </is>
      </c>
      <c r="AC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28</v>
      </c>
      <c r="U630" s="2" t="inlineStr">
        <is>
          <t>low</t>
        </is>
      </c>
      <c r="V630" s="5" t="n">
        <v>8.300000000000001</v>
      </c>
      <c r="W630" s="2" t="inlineStr">
        <is>
          <t>low</t>
        </is>
      </c>
      <c r="X630" s="3" t="inlineStr"/>
      <c r="Y630" s="3" t="inlineStr">
        <is>
          <t>41% of this dish's available carbohydrate comes from ingredients with a published, measured GI; the rest uses conventional placeholders (see Ingredients sheet)</t>
        </is>
      </c>
      <c r="Z630" s="2" t="n">
        <v>41</v>
      </c>
      <c r="AA630" s="3" t="inlineStr">
        <is>
          <t>vegan, gluten-free, dairy-free, high-fiber, make-ahead</t>
        </is>
      </c>
      <c r="AB630" s="3" t="inlineStr">
        <is>
          <t>1. Blanch cabbage leaves. Mix lentils, cauliflower rice, sautéed onion, garlic, walnuts, paprika, salt.
2. Roll filling in leaves; place in a dish; cover with tomato sauce and tomatoes.
3. Bake covered at 350°F 60 minutes; dill.</t>
        </is>
      </c>
      <c r="AC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26</v>
      </c>
      <c r="U631" s="2" t="inlineStr">
        <is>
          <t>low</t>
        </is>
      </c>
      <c r="V631" s="5" t="n">
        <v>5.7</v>
      </c>
      <c r="W631" s="2" t="inlineStr">
        <is>
          <t>low</t>
        </is>
      </c>
      <c r="X631" s="3" t="inlineStr"/>
      <c r="Y631" s="3" t="inlineStr">
        <is>
          <t>56% of this dish's available carbohydrate comes from ingredients with a published, measured GI; the rest uses conventional placeholders (see Ingredients sheet)</t>
        </is>
      </c>
      <c r="Z631" s="2" t="n">
        <v>56</v>
      </c>
      <c r="AA631" s="3" t="inlineStr">
        <is>
          <t>vegetarian, gluten-free, nut-free, high-fiber</t>
        </is>
      </c>
      <c r="AB631" s="3" t="inlineStr">
        <is>
          <t>1. Thread feta cubes and vegetables on skewers; brush with oil and oregano.
2. Grill 8–10 minutes, turning gently.
3. Serve over chickpeas dressed with lemon.</t>
        </is>
      </c>
      <c r="AC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69% of this dish's available carbohydrate comes from ingredients with a published, measured GI; the rest uses conventional placeholders (see Ingredients sheet)</t>
        </is>
      </c>
      <c r="Z632" s="2" t="n">
        <v>69</v>
      </c>
      <c r="AA632" s="3" t="inlineStr">
        <is>
          <t>vegan, gluten-free, dairy-free, nut-free, high-fiber</t>
        </is>
      </c>
      <c r="AB632" s="3" t="inlineStr">
        <is>
          <t>1. Cut cauliflower into 1-inch steaks; brush with a third of the oil; roast at 425°F 25 minutes, flipping once.
2. Blend remaining oil, herbs, garlic, vinegar, oregano, pepper flakes.
3. Serve steaks over warm beans with chimichurri.</t>
        </is>
      </c>
      <c r="AC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7% of this dish's available carbohydrate comes from ingredients with a published, measured GI; the rest uses conventional placeholders (see Ingredients sheet)</t>
        </is>
      </c>
      <c r="Z633" s="2" t="n">
        <v>7</v>
      </c>
      <c r="AA633" s="3" t="inlineStr">
        <is>
          <t>vegetarian, gluten-free, nut-free, high-protein, high-fiber</t>
        </is>
      </c>
      <c r="AB633" s="3" t="inlineStr">
        <is>
          <t>1. Toss tofu cubes with half the yogurt and spices; roast at 425°F 20 minutes.
2. Sauté onion, ginger, garlic, remaining spices; add tomatoes, simmer 10 minutes; add coconut milk and yogurt.
3. Add tofu; serve over cauliflower rice with cilantro.</t>
        </is>
      </c>
      <c r="AC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32% of this dish's available carbohydrate comes from ingredients with a published, measured GI; the rest uses conventional placeholders (see Ingredients sheet)</t>
        </is>
      </c>
      <c r="Z634" s="2" t="n">
        <v>32</v>
      </c>
      <c r="AA634" s="3" t="inlineStr">
        <is>
          <t>vegetarian, gluten-free, nut-free, high-fiber</t>
        </is>
      </c>
      <c r="AB634" s="3" t="inlineStr">
        <is>
          <t>1. Roast halved squash 40 minutes; scrape strands.
2. Mix strands with sautéed spinach and garlic, artichokes, cream cheese, yogurt, beans, half the cheeses.
3. Return to shells; top remaining cheese; broil 4 minutes.</t>
        </is>
      </c>
      <c r="AC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32</v>
      </c>
      <c r="U635" s="2" t="inlineStr">
        <is>
          <t>low</t>
        </is>
      </c>
      <c r="V635" s="5" t="n">
        <v>8.9</v>
      </c>
      <c r="W635" s="2" t="inlineStr">
        <is>
          <t>low</t>
        </is>
      </c>
      <c r="X635" s="3" t="inlineStr"/>
      <c r="Y635" s="3" t="inlineStr">
        <is>
          <t>63% of this dish's available carbohydrate comes from ingredients with a published, measured GI; the rest uses conventional placeholders (see Ingredients sheet)</t>
        </is>
      </c>
      <c r="Z635" s="2" t="n">
        <v>63</v>
      </c>
      <c r="AA635" s="3" t="inlineStr">
        <is>
          <t>vegan, gluten-free, dairy-free, high-fiber, make-ahead</t>
        </is>
      </c>
      <c r="AB635" s="3" t="inlineStr">
        <is>
          <t>1. Sauté onion, garlic, spices in oil.
2. Add vegetables, tomatoes, chickpeas, harissa; simmer covered 25 minutes.
3. Top cilantro and toasted almonds.</t>
        </is>
      </c>
      <c r="AC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0% of this dish's available carbohydrate comes from ingredients with a published, measured GI; the rest uses conventional placeholders (see Ingredients sheet)</t>
        </is>
      </c>
      <c r="Z636" s="2" t="n">
        <v>0</v>
      </c>
      <c r="AA636" s="3" t="inlineStr">
        <is>
          <t>vegetarian, gluten-free, nut-free, low-carb</t>
        </is>
      </c>
      <c r="AB636" s="3" t="inlineStr">
        <is>
          <t>1. Sauté asparagus in oil in an ovenproof skillet 4 minutes; add spinach.
2. Pour in whisked egg whites and eggs with salt; add tomatoes, dot goat cheese.
3. Bake at 375°F 15 minutes; chives.</t>
        </is>
      </c>
      <c r="AC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24% of this dish's available carbohydrate comes from ingredients with a published, measured GI; the rest uses conventional placeholders (see Ingredients sheet)</t>
        </is>
      </c>
      <c r="Z637" s="2" t="n">
        <v>24</v>
      </c>
      <c r="AA637" s="3" t="inlineStr">
        <is>
          <t>vegan, gluten-free, dairy-free, low-carb, high-protein</t>
        </is>
      </c>
      <c r="AB637" s="3" t="inlineStr">
        <is>
          <t>1. Crumble tofu; pan-fry in oil 8 minutes until browned.
2. Whisk peanut butter, tamari, lime, sriracha, garlic, water; toss half with tofu.
3. Fill lettuce; add vegetables; drizzle remaining sauce; peanuts.</t>
        </is>
      </c>
      <c r="AC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27</v>
      </c>
      <c r="U638" s="2" t="inlineStr">
        <is>
          <t>low</t>
        </is>
      </c>
      <c r="V638" s="5" t="n">
        <v>6</v>
      </c>
      <c r="W638" s="2" t="inlineStr">
        <is>
          <t>low</t>
        </is>
      </c>
      <c r="X638" s="3" t="inlineStr"/>
      <c r="Y638" s="3" t="inlineStr">
        <is>
          <t>55% of this dish's available carbohydrate comes from ingredients with a published, measured GI; the rest uses conventional placeholders (see Ingredients sheet)</t>
        </is>
      </c>
      <c r="Z638" s="2" t="n">
        <v>55</v>
      </c>
      <c r="AA638" s="3" t="inlineStr">
        <is>
          <t>vegetarian, gluten-free, nut-free, high-fiber, make-ahead</t>
        </is>
      </c>
      <c r="AB638" s="3" t="inlineStr">
        <is>
          <t>1. Roast eggplant slices with oil 20 minutes.
2. Simmer lentils with onion, garlic, tomatoes, cinnamon, oregano 10 minutes.
3. Layer; top yogurt whisked with eggs, parmesan, nutmeg; bake at 375°F 30 minutes.</t>
        </is>
      </c>
      <c r="AC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37</v>
      </c>
      <c r="U639" s="2" t="inlineStr">
        <is>
          <t>low</t>
        </is>
      </c>
      <c r="V639" s="5" t="n">
        <v>12.6</v>
      </c>
      <c r="W639" s="2" t="inlineStr">
        <is>
          <t>medium</t>
        </is>
      </c>
      <c r="X639" s="3" t="inlineStr"/>
      <c r="Y639" s="3" t="inlineStr">
        <is>
          <t>87% of this dish's available carbohydrate comes from ingredients with a published, measured GI; the rest uses conventional placeholders (see Ingredients sheet)</t>
        </is>
      </c>
      <c r="Z639" s="2" t="n">
        <v>87</v>
      </c>
      <c r="AA639" s="3" t="inlineStr">
        <is>
          <t>vegetarian, dairy-free, nut-free, high-fiber</t>
        </is>
      </c>
      <c r="AB639" s="3" t="inlineStr">
        <is>
          <t>1. Mash chickpeas with oats, egg, garlic, cumin, parsley, salt; form patties; pan-fry 5 minutes per side.
2. Bowl greens, cucumber, tomato, olives.
3. Add patties and hummus; lemon.</t>
        </is>
      </c>
      <c r="AC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0% of this dish's available carbohydrate comes from ingredients with a published, measured GI; the rest uses conventional placeholders (see Ingredients sheet)</t>
        </is>
      </c>
      <c r="Z640" s="2" t="n">
        <v>0</v>
      </c>
      <c r="AA640" s="3" t="inlineStr">
        <is>
          <t>vegan, gluten-free, dairy-free, nut-free, low-carb</t>
        </is>
      </c>
      <c r="AB640" s="3" t="inlineStr">
        <is>
          <t>1. Thread pressed tofu and vegetables; brush with a third of the oil; grill 10–12 minutes.
2. Blend remaining oil, herbs, garlic, vinegar, oregano, salt.
3. Spoon over skewers.</t>
        </is>
      </c>
      <c r="AC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0% of this dish's available carbohydrate comes from ingredients with a published, measured GI; the rest uses conventional placeholders (see Ingredients sheet)</t>
        </is>
      </c>
      <c r="Z641" s="2" t="n">
        <v>0</v>
      </c>
      <c r="AA641" s="3" t="inlineStr">
        <is>
          <t>vegetarian, gluten-free, dairy-free, nut-free, low-carb, quick</t>
        </is>
      </c>
      <c r="AB641" s="3" t="inlineStr">
        <is>
          <t>1. Scramble eggs in oil; remove.
2. Stir-fry mushrooms until browned; add garlic, ginger, cabbage 5 minutes.
3. Return eggs; add tamari, vinegar, sesame oil, green onion, chili crisp.</t>
        </is>
      </c>
      <c r="AC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31</v>
      </c>
      <c r="U642" s="2" t="inlineStr">
        <is>
          <t>low</t>
        </is>
      </c>
      <c r="V642" s="5" t="n">
        <v>8</v>
      </c>
      <c r="W642" s="2" t="inlineStr">
        <is>
          <t>low</t>
        </is>
      </c>
      <c r="X642" s="3" t="inlineStr"/>
      <c r="Y642" s="3" t="inlineStr">
        <is>
          <t>75% of this dish's available carbohydrate comes from ingredients with a published, measured GI; the rest uses conventional placeholders (see Ingredients sheet)</t>
        </is>
      </c>
      <c r="Z642" s="2" t="n">
        <v>75</v>
      </c>
      <c r="AA642" s="3" t="inlineStr">
        <is>
          <t>vegetarian, gluten-free, nut-free, high-fiber, one-pan</t>
        </is>
      </c>
      <c r="AB642" s="3" t="inlineStr">
        <is>
          <t>1. Place feta in a dish surrounded by tomatoes, chickpeas, olives, garlic; drizzle oil, oregano, pepper flakes.
2. Bake at 400°F 25 minutes until tomatoes burst.
3. Stir in spinach and basil; mash feta into the sauce.</t>
        </is>
      </c>
      <c r="AC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11% of this dish's available carbohydrate comes from ingredients with a published, measured GI; the rest uses conventional placeholders (see Ingredients sheet)</t>
        </is>
      </c>
      <c r="Z643" s="2" t="n">
        <v>11</v>
      </c>
      <c r="AA643" s="3" t="inlineStr">
        <is>
          <t>vegetarian, gluten-free, dairy-free, nut-free, low-carb, high-fiber, quick</t>
        </is>
      </c>
      <c r="AB643" s="3" t="inlineStr">
        <is>
          <t>1. Scramble eggs; remove.
2. Stir-fry carrot, garlic, ginger, cauliflower rice 5 minutes; add edamame.
3. Return eggs; add tamari, sesame oil, green onion, torn nori.</t>
        </is>
      </c>
      <c r="AC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50% of this dish's available carbohydrate comes from ingredients with a published, measured GI; the rest uses conventional placeholders (see Ingredients sheet)</t>
        </is>
      </c>
      <c r="Z644" s="2" t="n">
        <v>50</v>
      </c>
      <c r="AA644" s="3" t="inlineStr">
        <is>
          <t>vegetarian, gluten-free, low-carb</t>
        </is>
      </c>
      <c r="AB644" s="3" t="inlineStr">
        <is>
          <t>1. Grate zucchini; salt; squeeze dry; mix with corn, eggs, almond flour, parmesan, green onion.
2. Pan-fry spoonfuls in oil 3 minutes per side.
3. Serve with yogurt, lime, cilantro.</t>
        </is>
      </c>
      <c r="AC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51% of this dish's available carbohydrate comes from ingredients with a published, measured GI; the rest uses conventional placeholders (see Ingredients sheet)</t>
        </is>
      </c>
      <c r="Z645" s="2" t="n">
        <v>51</v>
      </c>
      <c r="AA645" s="3" t="inlineStr">
        <is>
          <t>vegetarian, gluten-free, nut-free, high-fiber</t>
        </is>
      </c>
      <c r="AB645" s="3" t="inlineStr">
        <is>
          <t>1. Marinate caps in balsamic, tamari, garlic, half the oil; roast at 425°F 18 minutes.
2. Mash steamed cauliflower with butter, milk, parmesan, salt.
3. Serve mushrooms over mash with warm beans and thyme.</t>
        </is>
      </c>
      <c r="AC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11% of this dish's available carbohydrate comes from ingredients with a published, measured GI; the rest uses conventional placeholders (see Ingredients sheet)</t>
        </is>
      </c>
      <c r="Z646" s="2" t="n">
        <v>11</v>
      </c>
      <c r="AA646" s="3" t="inlineStr">
        <is>
          <t>vegan, gluten-free, dairy-free, low-carb, high-protein, high-fiber</t>
        </is>
      </c>
      <c r="AB646" s="3" t="inlineStr">
        <is>
          <t>1. Pan-fry tempeh cubes in oil; steam broccoli.
2. Whisk peanut butter, tamari, lime, ginger, sriracha, water.
3. Bowl cauliflower rice, vegetables, tempeh; sauce; peanuts.</t>
        </is>
      </c>
      <c r="AC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31</v>
      </c>
      <c r="U647" s="2" t="inlineStr">
        <is>
          <t>low</t>
        </is>
      </c>
      <c r="V647" s="5" t="n">
        <v>8.699999999999999</v>
      </c>
      <c r="W647" s="2" t="inlineStr">
        <is>
          <t>low</t>
        </is>
      </c>
      <c r="X647" s="3" t="inlineStr"/>
      <c r="Y647" s="3" t="inlineStr">
        <is>
          <t>69% of this dish's available carbohydrate comes from ingredients with a published, measured GI; the rest uses conventional placeholders (see Ingredients sheet)</t>
        </is>
      </c>
      <c r="Z647" s="2" t="n">
        <v>69</v>
      </c>
      <c r="AA647" s="3" t="inlineStr">
        <is>
          <t>vegetarian, gluten-free, nut-free, high-fiber, quick</t>
        </is>
      </c>
      <c r="AB647" s="3" t="inlineStr">
        <is>
          <t>1. Warm zoodles with garlic in oil 2 minutes.
2. Toss with chickpeas, tomato, mozzarella.
3. Balsamic, basil, salt.</t>
        </is>
      </c>
      <c r="AC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62% of this dish's available carbohydrate comes from ingredients with a published, measured GI; the rest uses conventional placeholders (see Ingredients sheet)</t>
        </is>
      </c>
      <c r="Z648" s="2" t="n">
        <v>62</v>
      </c>
      <c r="AA648" s="3" t="inlineStr">
        <is>
          <t>vegetarian, nut-free, high-fiber, make-ahead</t>
        </is>
      </c>
      <c r="AB648" s="3" t="inlineStr">
        <is>
          <t>1. Sauté onion, pepper, cumin; mix with beans, corn, chiles.
2. Layer tortillas, filling, sauce, cheese.
3. Bake at 375°F 25 minutes; yogurt, cilantro.</t>
        </is>
      </c>
      <c r="AC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0% of this dish's available carbohydrate comes from ingredients with a published, measured GI; the rest uses conventional placeholders (see Ingredients sheet)</t>
        </is>
      </c>
      <c r="Z649" s="2" t="n">
        <v>0</v>
      </c>
      <c r="AA649" s="3" t="inlineStr">
        <is>
          <t>vegan, dairy-free, nut-free, low-carb, high-fiber</t>
        </is>
      </c>
      <c r="AB649" s="3" t="inlineStr">
        <is>
          <t>1. Halve eggplants; score; brush with avocado oil; roast at 425°F 20 minutes.
2. Whisk miso, tamari, vinegar, sesame oil, ginger, sweetener; brush on; broil 3 minutes.
3. Serve with edamame, green onion, sesame.</t>
        </is>
      </c>
      <c r="AC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0% of this dish's available carbohydrate comes from ingredients with a published, measured GI; the rest uses conventional placeholders (see Ingredients sheet)</t>
        </is>
      </c>
      <c r="Z650" s="2" t="n">
        <v>0</v>
      </c>
      <c r="AA650" s="3" t="inlineStr">
        <is>
          <t>vegan, gluten-free, dairy-free, nut-free, low-carb, quick</t>
        </is>
      </c>
      <c r="AB650" s="3" t="inlineStr">
        <is>
          <t>1. Crumble tofu; brown in oil 8 minutes.
2. Add garlic, ginger, slaw, tamari, vinegar; cook 5 minutes.
3. Sesame oil, green onion, sriracha.</t>
        </is>
      </c>
      <c r="AC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11% of this dish's available carbohydrate comes from ingredients with a published, measured GI; the rest uses conventional placeholders (see Ingredients sheet)</t>
        </is>
      </c>
      <c r="Z651" s="2" t="n">
        <v>11</v>
      </c>
      <c r="AA651" s="3" t="inlineStr">
        <is>
          <t>vegetarian, gluten-free, nut-free, low-carb, make-ahead</t>
        </is>
      </c>
      <c r="AB651" s="3" t="inlineStr">
        <is>
          <t>1. Roast vegetables with oil at 425°F 15 minutes.
2. Whisk eggs, milk, salt; pour over vegetables in an ovenproof skillet; dot goat cheese, thyme.
3. Bake at 375°F 18 minutes.</t>
        </is>
      </c>
      <c r="AC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36</v>
      </c>
      <c r="U652" s="2" t="inlineStr">
        <is>
          <t>low</t>
        </is>
      </c>
      <c r="V652" s="5" t="n">
        <v>10.3</v>
      </c>
      <c r="W652" s="2" t="inlineStr">
        <is>
          <t>medium</t>
        </is>
      </c>
      <c r="X652" s="3" t="inlineStr"/>
      <c r="Y652" s="3" t="inlineStr">
        <is>
          <t>92% of this dish's available carbohydrate comes from ingredients with a published, measured GI; the rest uses conventional placeholders (see Ingredients sheet)</t>
        </is>
      </c>
      <c r="Z652" s="2" t="n">
        <v>92</v>
      </c>
      <c r="AA652" s="3" t="inlineStr">
        <is>
          <t>vegetarian, gluten-free, nut-free, high-fiber, no-cook</t>
        </is>
      </c>
      <c r="AB652" s="3" t="inlineStr">
        <is>
          <t>1. Mash chickpeas roughly.
2. Mix with celery, onion, pickle, mayo, yogurt, Dijon, lemon, crumbled nori, dill.
3. Serve in lettuce cups.</t>
        </is>
      </c>
      <c r="AC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18% of this dish's available carbohydrate comes from ingredients with a published, measured GI; the rest uses conventional placeholders (see Ingredients sheet)</t>
        </is>
      </c>
      <c r="Z653" s="2" t="n">
        <v>18</v>
      </c>
      <c r="AA653" s="3" t="inlineStr">
        <is>
          <t>vegetarian, gluten-free, nut-free, low-carb, make-ahead</t>
        </is>
      </c>
      <c r="AB653" s="3" t="inlineStr">
        <is>
          <t>1. Steam cauliflower; chop.
2. Mix yogurt, cream cheese, eggs, garlic powder, half the cheddar, salt; fold in cauliflower.
3. Top cheddar; bake at 375°F 25 minutes; green onion.</t>
        </is>
      </c>
      <c r="AC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15% of this dish's available carbohydrate comes from ingredients with a published, measured GI; the rest uses conventional placeholders (see Ingredients sheet)</t>
        </is>
      </c>
      <c r="Z654" s="2" t="n">
        <v>15</v>
      </c>
      <c r="AA654" s="3" t="inlineStr">
        <is>
          <t>vegan, gluten-free, dairy-free, nut-free, low-carb, high-protein, high-fiber</t>
        </is>
      </c>
      <c r="AB654" s="3" t="inlineStr">
        <is>
          <t>1. Pan-fry tofu until crisp.
2. Rinse and dry-fry shirataki; stir-fry vegetables 3 minutes.
3. Whisk tahini, tamari, vinegar, sesame oil, garlic, ginger, water; toss everything; sesame.</t>
        </is>
      </c>
      <c r="AC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74% of this dish's available carbohydrate comes from ingredients with a published, measured GI; the rest uses conventional placeholders (see Ingredients sheet)</t>
        </is>
      </c>
      <c r="Z655" s="2" t="n">
        <v>74</v>
      </c>
      <c r="AA655" s="3" t="inlineStr">
        <is>
          <t>vegetarian, gluten-free, nut-free, high-fiber, quick</t>
        </is>
      </c>
      <c r="AB655" s="3" t="inlineStr">
        <is>
          <t>1. Sauté onion, garlic, cumin; add beans, chipotle, splash of water; mash lightly; cook 6 minutes.
2. Fill romaine leaves.
3. Top avocado, pico, cotija, cilantro, lime.</t>
        </is>
      </c>
      <c r="AC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16% of this dish's available carbohydrate comes from ingredients with a published, measured GI; the rest uses conventional placeholders (see Ingredients sheet)</t>
        </is>
      </c>
      <c r="Z656" s="2" t="n">
        <v>16</v>
      </c>
      <c r="AA656" s="3" t="inlineStr">
        <is>
          <t>vegetarian, gluten-free, nut-free, low-carb</t>
        </is>
      </c>
      <c r="AB656" s="3" t="inlineStr">
        <is>
          <t>1. Halve zucchini; scoop.
2. Mix ricotta, spinach, egg, parmesan, garlic, nutmeg, salt; fill.
3. Spoon marinara over; top mozzarella; bake at 400°F 25 minutes.</t>
        </is>
      </c>
      <c r="AC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36</v>
      </c>
      <c r="U657" s="2" t="inlineStr">
        <is>
          <t>low</t>
        </is>
      </c>
      <c r="V657" s="5" t="n">
        <v>12.3</v>
      </c>
      <c r="W657" s="2" t="inlineStr">
        <is>
          <t>medium</t>
        </is>
      </c>
      <c r="X657" s="3" t="inlineStr"/>
      <c r="Y657" s="3" t="inlineStr">
        <is>
          <t>76% of this dish's available carbohydrate comes from ingredients with a published, measured GI; the rest uses conventional placeholders (see Ingredients sheet)</t>
        </is>
      </c>
      <c r="Z657" s="2" t="n">
        <v>76</v>
      </c>
      <c r="AA657" s="3" t="inlineStr">
        <is>
          <t>vegan, dairy-free, nut-free, high-fiber</t>
        </is>
      </c>
      <c r="AB657" s="3" t="inlineStr">
        <is>
          <t>1. Sauté onion, pepper, garlic in oil.
2. Add lentils, sauce, paste, vinegar, Dijon, paprika, sweetener; simmer 10 minutes.
3. Serve on toasted muffin halves or lettuce.</t>
        </is>
      </c>
      <c r="AC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0% of this dish's available carbohydrate comes from ingredients with a published, measured GI; the rest uses conventional placeholders (see Ingredients sheet)</t>
        </is>
      </c>
      <c r="Z658" s="2" t="n">
        <v>0</v>
      </c>
      <c r="AA658" s="3" t="inlineStr">
        <is>
          <t>vegan, gluten-free, dairy-free, nut-free, high-protein, high-fiber</t>
        </is>
      </c>
      <c r="AB658" s="3" t="inlineStr">
        <is>
          <t>1. Sauté onion, pepper, garlic, spices in oil.
2. Add tomatoes and harissa; simmer 10 minutes.
3. Nestle tofu slabs into the sauce; cover 8 minutes; parsley.</t>
        </is>
      </c>
      <c r="AC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12% of this dish's available carbohydrate comes from ingredients with a published, measured GI; the rest uses conventional placeholders (see Ingredients sheet)</t>
        </is>
      </c>
      <c r="Z659" s="2" t="n">
        <v>12</v>
      </c>
      <c r="AA659" s="3" t="inlineStr">
        <is>
          <t>vegan, gluten-free, dairy-free, nut-free, low-carb, high-protein, high-fiber, quick</t>
        </is>
      </c>
      <c r="AB659" s="3" t="inlineStr">
        <is>
          <t>1. Pan-fry tofu cubes until golden; remove.
2. Stir-fry broccoli, garlic, ginger; add broth, cover 2 minutes.
3. Add tamari, vinegar, arrowroot slurry, sesame oil, tofu, pepper flakes.</t>
        </is>
      </c>
      <c r="AC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28</v>
      </c>
      <c r="U660" s="2" t="inlineStr">
        <is>
          <t>low</t>
        </is>
      </c>
      <c r="V660" s="5" t="n">
        <v>7.2</v>
      </c>
      <c r="W660" s="2" t="inlineStr">
        <is>
          <t>low</t>
        </is>
      </c>
      <c r="X660" s="3" t="inlineStr"/>
      <c r="Y660" s="3" t="inlineStr">
        <is>
          <t>56% of this dish's available carbohydrate comes from ingredients with a published, measured GI; the rest uses conventional placeholders (see Ingredients sheet)</t>
        </is>
      </c>
      <c r="Z660" s="2" t="n">
        <v>56</v>
      </c>
      <c r="AA660" s="3" t="inlineStr">
        <is>
          <t>vegetarian, gluten-free, nut-free, high-fiber</t>
        </is>
      </c>
      <c r="AB660" s="3" t="inlineStr">
        <is>
          <t>1. Score and roast eggplant halves with half the oil at 400°F 25 minutes; scoop flesh.
2. Sauté onion, garlic, flesh, tomato, chickpeas, oregano, cinnamon.
3. Refill shells; top feta; bake 15 minutes; parsley.</t>
        </is>
      </c>
      <c r="AC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8% of this dish's available carbohydrate comes from ingredients with a published, measured GI; the rest uses conventional placeholders (see Ingredients sheet)</t>
        </is>
      </c>
      <c r="Z661" s="2" t="n">
        <v>8</v>
      </c>
      <c r="AA661" s="3" t="inlineStr">
        <is>
          <t>vegetarian, gluten-free, nut-free</t>
        </is>
      </c>
      <c r="AB661" s="3" t="inlineStr">
        <is>
          <t>1. Cook pasta al dente; steam cauliflower.
2. Blend half the cauliflower with milk, cream cheese, Dijon, garlic powder, nutritional yeast, salt; warm with cheddar.
3. Toss with pasta and remaining florets.</t>
        </is>
      </c>
      <c r="AC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20% of this dish's available carbohydrate comes from ingredients with a published, measured GI; the rest uses conventional placeholders (see Ingredients sheet)</t>
        </is>
      </c>
      <c r="Z662" s="2" t="n">
        <v>20</v>
      </c>
      <c r="AA662" s="3" t="inlineStr">
        <is>
          <t>vegetarian, gluten-free, nut-free, low-carb, high-fiber</t>
        </is>
      </c>
      <c r="AB662" s="3" t="inlineStr">
        <is>
          <t>1. Crumble tempeh; sauté in oil with seasoning, fennel, paprika, tamari until browned.
2. Add peppers, onion, garlic; cook 8 minutes; add marinara.
3. Simmer 5 minutes; parmesan.</t>
        </is>
      </c>
      <c r="AC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0% of this dish's available carbohydrate comes from ingredients with a published, measured GI; the rest uses conventional placeholders (see Ingredients sheet)</t>
        </is>
      </c>
      <c r="Z663" s="2" t="n">
        <v>0</v>
      </c>
      <c r="AA663" s="3" t="inlineStr">
        <is>
          <t>vegetarian, gluten-free, nut-free, low-carb</t>
        </is>
      </c>
      <c r="AB663" s="3" t="inlineStr">
        <is>
          <t>1. Halve peppers; roast 10 minutes.
2. Mix cottage cheese, eggs, spinach, parmesan, herbs, garlic, salt; fill.
3. Top tomato; bake at 375°F 20 minutes until set.</t>
        </is>
      </c>
      <c r="AC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69% of this dish's available carbohydrate comes from ingredients with a published, measured GI; the rest uses conventional placeholders (see Ingredients sheet)</t>
        </is>
      </c>
      <c r="Z664" s="2" t="n">
        <v>69</v>
      </c>
      <c r="AA664" s="3" t="inlineStr">
        <is>
          <t>vegan, gluten-free, dairy-free, nut-free, high-fiber, make-ahead</t>
        </is>
      </c>
      <c r="AB664" s="3" t="inlineStr">
        <is>
          <t>1. Sauté onion, pepper, garlic, spices in oil.
2. Add beans, broth, bay; simmer 15 minutes; mash some; add vinegar.
3. Serve over cauliflower rice with avocado, cilantro.</t>
        </is>
      </c>
      <c r="AC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24</v>
      </c>
      <c r="U665" s="2" t="inlineStr">
        <is>
          <t>low</t>
        </is>
      </c>
      <c r="V665" s="5" t="n">
        <v>7.8</v>
      </c>
      <c r="W665" s="2" t="inlineStr">
        <is>
          <t>low</t>
        </is>
      </c>
      <c r="X665" s="3" t="inlineStr"/>
      <c r="Y665" s="3" t="inlineStr">
        <is>
          <t>56% of this dish's available carbohydrate comes from ingredients with a published, measured GI; the rest uses conventional placeholders (see Ingredients sheet)</t>
        </is>
      </c>
      <c r="Z665" s="2" t="n">
        <v>56</v>
      </c>
      <c r="AA665" s="3" t="inlineStr">
        <is>
          <t>vegan, gluten-free, dairy-free, nut-free, high-fiber</t>
        </is>
      </c>
      <c r="AB665" s="3" t="inlineStr">
        <is>
          <t>1. Roast cauliflower, broccoli, pepper, onion, chickpeas with oil and za'atar at 425°F 22 minutes.
2. Spread hummus in bowls.
3. Top roasted vegetables, cucumber, tomato, lemon, parsley.</t>
        </is>
      </c>
      <c r="AC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38% of this dish's available carbohydrate comes from ingredients with a published, measured GI; the rest uses conventional placeholders (see Ingredients sheet)</t>
        </is>
      </c>
      <c r="Z666" s="2" t="n">
        <v>38</v>
      </c>
      <c r="AA666" s="3" t="inlineStr">
        <is>
          <t>vegetarian, gluten-free, nut-free, low-carb, make-ahead</t>
        </is>
      </c>
      <c r="AB666" s="3" t="inlineStr">
        <is>
          <t>1. Hard-boil eggs; cool; halve; remove yolks.
2. Mash yolks with yogurt, mayo, Dijon, salt.
3. Pipe into whites; paprika, chives.</t>
        </is>
      </c>
      <c r="AC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37</v>
      </c>
      <c r="U667" s="2" t="inlineStr">
        <is>
          <t>low</t>
        </is>
      </c>
      <c r="V667" s="5" t="n">
        <v>7.4</v>
      </c>
      <c r="W667" s="2" t="inlineStr">
        <is>
          <t>low</t>
        </is>
      </c>
      <c r="X667" s="3" t="inlineStr"/>
      <c r="Y667" s="3" t="inlineStr">
        <is>
          <t>97% of this dish's available carbohydrate comes from ingredients with a published, measured GI; the rest uses conventional placeholders (see Ingredients sheet)</t>
        </is>
      </c>
      <c r="Z667" s="2" t="n">
        <v>97</v>
      </c>
      <c r="AA667" s="3" t="inlineStr">
        <is>
          <t>vegan, gluten-free, dairy-free, nut-free, high-fiber, make-ahead</t>
        </is>
      </c>
      <c r="AB667" s="3" t="inlineStr">
        <is>
          <t>1. Pat chickpeas very dry.
2. Toss with oil, spices, salt.
3. Roast at 400°F 30–35 minutes, shaking twice; cool to crisp.</t>
        </is>
      </c>
      <c r="AC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43% of this dish's available carbohydrate comes from ingredients with a published, measured GI; the rest uses conventional placeholders (see Ingredients sheet)</t>
        </is>
      </c>
      <c r="Z668" s="2" t="n">
        <v>43</v>
      </c>
      <c r="AA668" s="3" t="inlineStr">
        <is>
          <t>vegan, gluten-free, dairy-free, nut-free, low-carb, no-cook, quick</t>
        </is>
      </c>
      <c r="AB668" s="3" t="inlineStr">
        <is>
          <t>1. Slice cucumber into thick rounds.
2. Top each with hummus and a tomato half.
3. Sprinkle za'atar; drizzle oil.</t>
        </is>
      </c>
      <c r="AC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57% of this dish's available carbohydrate comes from ingredients with a published, measured GI; the rest uses conventional placeholders (see Ingredients sheet)</t>
        </is>
      </c>
      <c r="Z669" s="2" t="n">
        <v>57</v>
      </c>
      <c r="AA669" s="3" t="inlineStr">
        <is>
          <t>vegetarian, gluten-free, nut-free, low-carb, no-cook</t>
        </is>
      </c>
      <c r="AB669" s="3" t="inlineStr">
        <is>
          <t>1. Mix yogurt, ranch seasoning, lemon, chives.
2. Cut vegetables into sticks.
3. Serve together.</t>
        </is>
      </c>
      <c r="AC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0% of this dish's available carbohydrate comes from ingredients with a published, measured GI; the rest uses conventional placeholders (see Ingredients sheet)</t>
        </is>
      </c>
      <c r="Z670" s="2" t="n">
        <v>0</v>
      </c>
      <c r="AA670" s="3" t="inlineStr">
        <is>
          <t>gluten-free, nut-free, low-carb, no-cook, quick</t>
        </is>
      </c>
      <c r="AB670" s="3" t="inlineStr">
        <is>
          <t>1. Spread turkey slices with cream cheese.
2. Add avocado and cucumber sticks.
3. Roll; sprinkle seasoning.</t>
        </is>
      </c>
      <c r="AC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0% of this dish's available carbohydrate comes from ingredients with a published, measured GI; the rest uses conventional placeholders (see Ingredients sheet)</t>
        </is>
      </c>
      <c r="Z671" s="2" t="n">
        <v>0</v>
      </c>
      <c r="AA671" s="3" t="inlineStr">
        <is>
          <t>vegetarian, gluten-free, nut-free, low-carb, no-cook, quick</t>
        </is>
      </c>
      <c r="AB671" s="3" t="inlineStr">
        <is>
          <t>1. Spoon cottage cheese into a bowl.
2. Top with halved tomatoes.
3. Seasoning and oil.</t>
        </is>
      </c>
      <c r="AC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86% of this dish's available carbohydrate comes from ingredients with a published, measured GI; the rest uses conventional placeholders (see Ingredients sheet)</t>
        </is>
      </c>
      <c r="Z672" s="2" t="n">
        <v>86</v>
      </c>
      <c r="AA672" s="3" t="inlineStr">
        <is>
          <t>vegan, gluten-free, dairy-free, no-cook, quick</t>
        </is>
      </c>
      <c r="AB672" s="3" t="inlineStr">
        <is>
          <t>1. Slice apple.
2. Spread or dip in almond butter.
3. Sprinkle cinnamon and hemp seeds.</t>
        </is>
      </c>
      <c r="AC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0% of this dish's available carbohydrate comes from ingredients with a published, measured GI; the rest uses conventional placeholders (see Ingredients sheet)</t>
        </is>
      </c>
      <c r="Z673" s="2" t="n">
        <v>0</v>
      </c>
      <c r="AA673" s="3" t="inlineStr">
        <is>
          <t>vegan, gluten-free, dairy-free, nut-free, low-carb, quick</t>
        </is>
      </c>
      <c r="AB673" s="3" t="inlineStr">
        <is>
          <t>1. Boil or steam edamame pods 4 minutes.
2. Toss with tamari, sesame oil, garlic, pepper flakes.
3. Sesame seeds.</t>
        </is>
      </c>
      <c r="AC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0% of this dish's available carbohydrate comes from ingredients with a published, measured GI; the rest uses conventional placeholders (see Ingredients sheet)</t>
        </is>
      </c>
      <c r="Z674" s="2" t="n">
        <v>0</v>
      </c>
      <c r="AA674" s="3" t="inlineStr">
        <is>
          <t>vegetarian, gluten-free, nut-free, low-carb, no-cook, quick</t>
        </is>
      </c>
      <c r="AB674" s="3" t="inlineStr">
        <is>
          <t>1. Thread tomato, mozzarella, basil onto picks.
2. Drizzle balsamic and oil.
3. Serve.</t>
        </is>
      </c>
      <c r="AC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0% of this dish's available carbohydrate comes from ingredients with a published, measured GI; the rest uses conventional placeholders (see Ingredients sheet)</t>
        </is>
      </c>
      <c r="Z675" s="2" t="n">
        <v>0</v>
      </c>
      <c r="AA675" s="3" t="inlineStr">
        <is>
          <t>pescatarian, gluten-free, nut-free, low-carb, no-cook, quick, omega-3</t>
        </is>
      </c>
      <c r="AB675" s="3" t="inlineStr">
        <is>
          <t>1. Slice cucumber into rounds.
2. Top with cream cheese and salmon.
3. Dill, capers, lemon zest.</t>
        </is>
      </c>
      <c r="AC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0% of this dish's available carbohydrate comes from ingredients with a published, measured GI; the rest uses conventional placeholders (see Ingredients sheet)</t>
        </is>
      </c>
      <c r="Z676" s="2" t="n">
        <v>0</v>
      </c>
      <c r="AA676" s="3" t="inlineStr">
        <is>
          <t>vegan, gluten-free, dairy-free, nut-free, low-carb, high-fiber, no-cook</t>
        </is>
      </c>
      <c r="AB676" s="3" t="inlineStr">
        <is>
          <t>1. Mash avocado with lime, salt.
2. Fold in onion, cilantro, jalapeño, tomato.
3. Serve with jicama sticks.</t>
        </is>
      </c>
      <c r="AC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0% of this dish's available carbohydrate comes from ingredients with a published, measured GI; the rest uses conventional placeholders (see Ingredients sheet)</t>
        </is>
      </c>
      <c r="Z677" s="2" t="n">
        <v>0</v>
      </c>
      <c r="AA677" s="3" t="inlineStr">
        <is>
          <t>vegetarian, gluten-free, dairy-free, nut-free, low-carb, quick</t>
        </is>
      </c>
      <c r="AB677" s="3" t="inlineStr">
        <is>
          <t>1. Boil eggs 9–10 minutes; cool in ice water.
2. Peel and halve.
3. Sprinkle seasoning; dash hot sauce.</t>
        </is>
      </c>
      <c r="AC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21% of this dish's available carbohydrate comes from ingredients with a published, measured GI; the rest uses conventional placeholders (see Ingredients sheet)</t>
        </is>
      </c>
      <c r="Z678" s="2" t="n">
        <v>21</v>
      </c>
      <c r="AA678" s="3" t="inlineStr">
        <is>
          <t>vegan, gluten-free, dairy-free, low-carb, no-cook, make-ahead</t>
        </is>
      </c>
      <c r="AB678" s="3" t="inlineStr">
        <is>
          <t>1. Combine nuts and seeds.
2. Add coconut and chopped dark chocolate.
3. Portion into 40 g servings.</t>
        </is>
      </c>
      <c r="AC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0% of this dish's available carbohydrate comes from ingredients with a published, measured GI; the rest uses conventional placeholders (see Ingredients sheet)</t>
        </is>
      </c>
      <c r="Z679" s="2" t="n">
        <v>0</v>
      </c>
      <c r="AA679" s="3" t="inlineStr">
        <is>
          <t>vegan, gluten-free, dairy-free, low-carb, no-cook, quick</t>
        </is>
      </c>
      <c r="AB679" s="3" t="inlineStr">
        <is>
          <t>1. Cut celery into sticks.
2. Fill with peanut butter.
3. Sprinkle chia.</t>
        </is>
      </c>
      <c r="AC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0% of this dish's available carbohydrate comes from ingredients with a published, measured GI; the rest uses conventional placeholders (see Ingredients sheet)</t>
        </is>
      </c>
      <c r="Z680" s="2" t="n">
        <v>0</v>
      </c>
      <c r="AA680" s="3" t="inlineStr">
        <is>
          <t>vegetarian, gluten-free, nut-free, low-carb</t>
        </is>
      </c>
      <c r="AB680" s="3" t="inlineStr">
        <is>
          <t>1. Slice zucchini thin; blot dry.
2. Toss with oil, parmesan, seasonings.
3. Bake on racks at 400°F 25–30 minutes until crisp.</t>
        </is>
      </c>
      <c r="AC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0% of this dish's available carbohydrate comes from ingredients with a published, measured GI; the rest uses conventional placeholders (see Ingredients sheet)</t>
        </is>
      </c>
      <c r="Z681" s="2" t="n">
        <v>0</v>
      </c>
      <c r="AA681" s="3" t="inlineStr">
        <is>
          <t>pescatarian, gluten-free, dairy-free, nut-free, low-carb, quick</t>
        </is>
      </c>
      <c r="AB681" s="3" t="inlineStr">
        <is>
          <t>1. Poach shrimp with Old Bay 3 minutes; chill.
2. Mix tomato paste, hot sauce, lemon, Dijon, a little water for cocktail sauce.
3. Serve shrimp with sauce and avocado slices.</t>
        </is>
      </c>
      <c r="AC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15% of this dish's available carbohydrate comes from ingredients with a published, measured GI; the rest uses conventional placeholders (see Ingredients sheet)</t>
        </is>
      </c>
      <c r="Z682" s="2" t="n">
        <v>15</v>
      </c>
      <c r="AA682" s="3" t="inlineStr">
        <is>
          <t>vegetarian, gluten-free, nut-free, low-carb</t>
        </is>
      </c>
      <c r="AB682" s="3" t="inlineStr">
        <is>
          <t>1. Toss florets with oil and garlic powder; roast at 425°F 22 minutes.
2. Toss in hot sauce melted with butter; roast 6 minutes.
3. Serve with yogurt-blue cheese dip and celery.</t>
        </is>
      </c>
      <c r="AC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55% of this dish's available carbohydrate comes from ingredients with a published, measured GI; the rest uses conventional placeholders (see Ingredients sheet)</t>
        </is>
      </c>
      <c r="Z683" s="2" t="n">
        <v>55</v>
      </c>
      <c r="AA683" s="3" t="inlineStr">
        <is>
          <t>vegetarian, gluten-free, nut-free, low-carb, no-cook, quick</t>
        </is>
      </c>
      <c r="AB683" s="3" t="inlineStr">
        <is>
          <t>1. Spoon yogurt into a bowl.
2. Top berries and chia.
3. Cinnamon.</t>
        </is>
      </c>
      <c r="AC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10% of this dish's available carbohydrate comes from ingredients with a published, measured GI; the rest uses conventional placeholders (see Ingredients sheet)</t>
        </is>
      </c>
      <c r="Z684" s="2" t="n">
        <v>10</v>
      </c>
      <c r="AA684" s="3" t="inlineStr">
        <is>
          <t>pescatarian, gluten-free, nut-free, low-carb, no-cook, quick</t>
        </is>
      </c>
      <c r="AB684" s="3" t="inlineStr">
        <is>
          <t>1. Halve cucumber lengthwise; scoop seeds.
2. Mix tuna, yogurt, Dijon, celery, dill, lemon.
3. Fill boats.</t>
        </is>
      </c>
      <c r="AC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11% of this dish's available carbohydrate comes from ingredients with a published, measured GI; the rest uses conventional placeholders (see Ingredients sheet)</t>
        </is>
      </c>
      <c r="Z685" s="2" t="n">
        <v>11</v>
      </c>
      <c r="AA685" s="3" t="inlineStr">
        <is>
          <t>vegetarian, gluten-free, nut-free, low-carb, no-cook</t>
        </is>
      </c>
      <c r="AB685" s="3" t="inlineStr">
        <is>
          <t>1. Halve and seed mini peppers.
2. Mix goat cheese, yogurt, herbs, garlic, pepper.
3. Pipe into peppers.</t>
        </is>
      </c>
      <c r="AC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0% of this dish's available carbohydrate comes from ingredients with a published, measured GI; the rest uses conventional placeholders (see Ingredients sheet)</t>
        </is>
      </c>
      <c r="Z686" s="2" t="n">
        <v>0</v>
      </c>
      <c r="AA686" s="3" t="inlineStr">
        <is>
          <t>vegan, gluten-free, dairy-free, nut-free, low-carb</t>
        </is>
      </c>
      <c r="AB686" s="3" t="inlineStr">
        <is>
          <t>1. Tear kale; dry thoroughly; massage with oil.
2. Sprinkle nutritional yeast, salt, paprika.
3. Bake at 300°F 12–15 minutes until crisp.</t>
        </is>
      </c>
      <c r="AC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0% of this dish's available carbohydrate comes from ingredients with a published, measured GI; the rest uses conventional placeholders (see Ingredients sheet)</t>
        </is>
      </c>
      <c r="Z687" s="2" t="n">
        <v>0</v>
      </c>
      <c r="AA687" s="3" t="inlineStr">
        <is>
          <t>vegetarian, gluten-free, low-carb, no-cook, quick</t>
        </is>
      </c>
      <c r="AB687" s="3" t="inlineStr">
        <is>
          <t>1. Slice cheese and cucumber.
2. Arrange with almonds, olives, pickle.
3. Serve.</t>
        </is>
      </c>
      <c r="AC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74% of this dish's available carbohydrate comes from ingredients with a published, measured GI; the rest uses conventional placeholders (see Ingredients sheet)</t>
        </is>
      </c>
      <c r="Z688" s="2" t="n">
        <v>74</v>
      </c>
      <c r="AA688" s="3" t="inlineStr">
        <is>
          <t>vegetarian, low-carb, make-ahead, no-cook</t>
        </is>
      </c>
      <c r="AB688" s="3" t="inlineStr">
        <is>
          <t>1. Mix all ingredients into a stiff dough, adding almond milk as needed.
2. Roll into 16 balls.
3. Chill 30 minutes; store refrigerated up to 1 week.</t>
        </is>
      </c>
      <c r="AC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0% of this dish's available carbohydrate comes from ingredients with a published, measured GI; the rest uses conventional placeholders (see Ingredients sheet)</t>
        </is>
      </c>
      <c r="Z689" s="2" t="n">
        <v>0</v>
      </c>
      <c r="AA689" s="3" t="inlineStr">
        <is>
          <t>vegetarian, gluten-free, dairy-free, low-carb, make-ahead</t>
        </is>
      </c>
      <c r="AB689" s="3" t="inlineStr">
        <is>
          <t>1. Whisk egg white with vanilla; toss almonds to coat.
2. Toss with cinnamon, sweetener, salt.
3. Bake at 325°F 15 minutes; cool.</t>
        </is>
      </c>
      <c r="AC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10% of this dish's available carbohydrate comes from ingredients with a published, measured GI; the rest uses conventional placeholders (see Ingredients sheet)</t>
        </is>
      </c>
      <c r="Z690" s="2" t="n">
        <v>10</v>
      </c>
      <c r="AA690" s="3" t="inlineStr">
        <is>
          <t>vegetarian, gluten-free, nut-free, low-carb</t>
        </is>
      </c>
      <c r="AB690" s="3" t="inlineStr">
        <is>
          <t>1. Hard-boil and chop eggs; mix with yogurt, Dijon, chives, salt.
2. Cut cucumber into thick rounds; scoop centers.
3. Fill; paprika.</t>
        </is>
      </c>
      <c r="AC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0% of this dish's available carbohydrate comes from ingredients with a published, measured GI; the rest uses conventional placeholders (see Ingredients sheet)</t>
        </is>
      </c>
      <c r="Z691" s="2" t="n">
        <v>0</v>
      </c>
      <c r="AA691" s="3" t="inlineStr">
        <is>
          <t>gluten-free, nut-free, low-carb, quick</t>
        </is>
      </c>
      <c r="AB691" s="3" t="inlineStr">
        <is>
          <t>1. Wrap 2–3 spears in half a prosciutto slice.
2. Brush with oil; roast at 425°F 10–12 minutes.
3. Parmesan, pepper.</t>
        </is>
      </c>
      <c r="AC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17% of this dish's available carbohydrate comes from ingredients with a published, measured GI; the rest uses conventional placeholders (see Ingredients sheet)</t>
        </is>
      </c>
      <c r="Z692" s="2" t="n">
        <v>17</v>
      </c>
      <c r="AA692" s="3" t="inlineStr">
        <is>
          <t>vegetarian, gluten-free, nut-free, low-carb</t>
        </is>
      </c>
      <c r="AB692" s="3" t="inlineStr">
        <is>
          <t>1. Wilt spinach; squeeze dry; chop artichokes.
2. Mix with yogurt, cream cheese, half the cheeses, garlic, salt; top remaining cheese.
3. Bake at 375°F 18 minutes; serve with vegetable dippers.</t>
        </is>
      </c>
      <c r="AC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0% of this dish's available carbohydrate comes from ingredients with a published, measured GI; the rest uses conventional placeholders (see Ingredients sheet)</t>
        </is>
      </c>
      <c r="Z693" s="2" t="n">
        <v>0</v>
      </c>
      <c r="AA693" s="3" t="inlineStr">
        <is>
          <t>vegetarian, gluten-free, dairy-free, nut-free, low-carb</t>
        </is>
      </c>
      <c r="AB693" s="3" t="inlineStr">
        <is>
          <t>1. Hard-boil eggs; halve; remove yolks.
2. Mash yolks with avocado, lime, cilantro, jalapeño, salt.
3. Fill whites; paprika.</t>
        </is>
      </c>
      <c r="AC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0% of this dish's available carbohydrate comes from ingredients with a published, measured GI; the rest uses conventional placeholders (see Ingredients sheet)</t>
        </is>
      </c>
      <c r="Z694" s="2" t="n">
        <v>0</v>
      </c>
      <c r="AA694" s="3" t="inlineStr">
        <is>
          <t>pescatarian, gluten-free, dairy-free, nut-free, low-carb, no-cook, quick</t>
        </is>
      </c>
      <c r="AB694" s="3" t="inlineStr">
        <is>
          <t>1. Mix tuna with mayo and sriracha.
2. Lay on nori with avocado and cucumber.
3. Roll; slice; sesame.</t>
        </is>
      </c>
      <c r="AC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0% of this dish's available carbohydrate comes from ingredients with a published, measured GI; the rest uses conventional placeholders (see Ingredients sheet)</t>
        </is>
      </c>
      <c r="Z695" s="2" t="n">
        <v>0</v>
      </c>
      <c r="AA695" s="3" t="inlineStr">
        <is>
          <t>vegan, gluten-free, dairy-free, nut-free, low-carb, make-ahead</t>
        </is>
      </c>
      <c r="AB695" s="3" t="inlineStr">
        <is>
          <t>1. Toss seeds with oil, chili powder, lime zest, salt.
2. Roast at 325°F 15 minutes, stirring once.
3. Cool.</t>
        </is>
      </c>
      <c r="AC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0% of this dish's available carbohydrate comes from ingredients with a published, measured GI; the rest uses conventional placeholders (see Ingredients sheet)</t>
        </is>
      </c>
      <c r="Z696" s="2" t="n">
        <v>0</v>
      </c>
      <c r="AA696" s="3" t="inlineStr">
        <is>
          <t>gluten-free, nut-free, low-carb, no-cook, quick</t>
        </is>
      </c>
      <c r="AB696" s="3" t="inlineStr">
        <is>
          <t>1. Layer turkey and cheese on romaine leaves.
2. Add Dijon and tomato.
3. Roll and eat.</t>
        </is>
      </c>
      <c r="AC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0% of this dish's available carbohydrate comes from ingredients with a published, measured GI; the rest uses conventional placeholders (see Ingredients sheet)</t>
        </is>
      </c>
      <c r="Z697" s="2" t="n">
        <v>0</v>
      </c>
      <c r="AA697" s="3" t="inlineStr">
        <is>
          <t>vegetarian, gluten-free, low-carb, no-cook, quick</t>
        </is>
      </c>
      <c r="AB697" s="3" t="inlineStr">
        <is>
          <t>1. Whisk ricotta with vanilla and stevia.
2. Top raspberries.
3. Almonds.</t>
        </is>
      </c>
      <c r="AC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17% of this dish's available carbohydrate comes from ingredients with a published, measured GI; the rest uses conventional placeholders (see Ingredients sheet)</t>
        </is>
      </c>
      <c r="Z698" s="2" t="n">
        <v>17</v>
      </c>
      <c r="AA698" s="3" t="inlineStr">
        <is>
          <t>vegan, gluten-free, dairy-free, nut-free, low-carb, make-ahead</t>
        </is>
      </c>
      <c r="AB698" s="3" t="inlineStr">
        <is>
          <t>1. Roast whole eggplants at 425°F 40 minutes; cool; scoop flesh.
2. Blend with tahini, lemon, garlic, half the oil, cumin, salt.
3. Drizzle oil, parsley; serve with vegetables.</t>
        </is>
      </c>
      <c r="AC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0% of this dish's available carbohydrate comes from ingredients with a published, measured GI; the rest uses conventional placeholders (see Ingredients sheet)</t>
        </is>
      </c>
      <c r="Z699" s="2" t="n">
        <v>0</v>
      </c>
      <c r="AA699" s="3" t="inlineStr">
        <is>
          <t>vegetarian, gluten-free, low-carb, no-cook, quick</t>
        </is>
      </c>
      <c r="AB699" s="3" t="inlineStr">
        <is>
          <t>1. Halve tomatoes; cube mozzarella.
2. Toss with pesto.
3. Basil.</t>
        </is>
      </c>
      <c r="AC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0% of this dish's available carbohydrate comes from ingredients with a published, measured GI; the rest uses conventional placeholders (see Ingredients sheet)</t>
        </is>
      </c>
      <c r="Z700" s="2" t="n">
        <v>0</v>
      </c>
      <c r="AA700" s="3" t="inlineStr">
        <is>
          <t>vegetarian, gluten-free, nut-free, low-carb, no-cook</t>
        </is>
      </c>
      <c r="AB700" s="3" t="inlineStr">
        <is>
          <t>1. Slice tops off tomatoes; scoop seeds.
2. Mix cottage cheese with herbs and pepper.
3. Fill tomatoes.</t>
        </is>
      </c>
      <c r="AC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0% of this dish's available carbohydrate comes from ingredients with a published, measured GI; the rest uses conventional placeholders (see Ingredients sheet)</t>
        </is>
      </c>
      <c r="Z701" s="2" t="n">
        <v>0</v>
      </c>
      <c r="AA701" s="3" t="inlineStr">
        <is>
          <t>vegan, gluten-free, dairy-free, nut-free, low-carb, quick</t>
        </is>
      </c>
      <c r="AB701" s="3" t="inlineStr">
        <is>
          <t>1. Steam edamame 4 minutes.
2. Plate with roasted seaweed.
3. Tamari, sesame.</t>
        </is>
      </c>
      <c r="AC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14% of this dish's available carbohydrate comes from ingredients with a published, measured GI; the rest uses conventional placeholders (see Ingredients sheet)</t>
        </is>
      </c>
      <c r="Z702" s="2" t="n">
        <v>14</v>
      </c>
      <c r="AA702" s="3" t="inlineStr">
        <is>
          <t>vegetarian, gluten-free, nut-free, low-carb, quick</t>
        </is>
      </c>
      <c r="AB702" s="3" t="inlineStr">
        <is>
          <t>1. Slice cucumber into rounds.
2. Top with marinara, mozzarella, olives, seasoning.
3. Broil 2–3 minutes.</t>
        </is>
      </c>
      <c r="AC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0% of this dish's available carbohydrate comes from ingredients with a published, measured GI; the rest uses conventional placeholders (see Ingredients sheet)</t>
        </is>
      </c>
      <c r="Z703" s="2" t="n">
        <v>0</v>
      </c>
      <c r="AA703" s="3" t="inlineStr">
        <is>
          <t>vegetarian, gluten-free, low-carb, make-ahead</t>
        </is>
      </c>
      <c r="AB703" s="3" t="inlineStr">
        <is>
          <t>1. Mix almond flour, egg, parmesan, rosemary, salt into a dough; roll thin between parchment.
2. Cut into squares; bake at 350°F 12–15 minutes.
3. Serve with cheddar slices.</t>
        </is>
      </c>
      <c r="AC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86% of this dish's available carbohydrate comes from ingredients with a published, measured GI; the rest uses conventional placeholders (see Ingredients sheet)</t>
        </is>
      </c>
      <c r="Z704" s="2" t="n">
        <v>86</v>
      </c>
      <c r="AA704" s="3" t="inlineStr">
        <is>
          <t>vegetarian, gluten-free, low-carb, no-cook, quick</t>
        </is>
      </c>
      <c r="AB704" s="3" t="inlineStr">
        <is>
          <t>1. Whisk yogurt, peanut butter, cinnamon, vanilla.
2. Slice apple.
3. Dip.</t>
        </is>
      </c>
      <c r="AC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40% of this dish's available carbohydrate comes from ingredients with a published, measured GI; the rest uses conventional placeholders (see Ingredients sheet)</t>
        </is>
      </c>
      <c r="Z705" s="2" t="n">
        <v>40</v>
      </c>
      <c r="AA705" s="3" t="inlineStr">
        <is>
          <t>pescatarian, gluten-free, nut-free, low-carb, no-cook, omega-3</t>
        </is>
      </c>
      <c r="AB705" s="3" t="inlineStr">
        <is>
          <t>1. Mix salmon, yogurt, dill, lemon, celery, capers.
2. Spoon into romaine leaves.
3. Serve.</t>
        </is>
      </c>
      <c r="AC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0% of this dish's available carbohydrate comes from ingredients with a published, measured GI; the rest uses conventional placeholders (see Ingredients sheet)</t>
        </is>
      </c>
      <c r="Z706" s="2" t="n">
        <v>0</v>
      </c>
      <c r="AA706" s="3" t="inlineStr">
        <is>
          <t>vegetarian, gluten-free, nut-free, low-carb, quick</t>
        </is>
      </c>
      <c r="AB706" s="3" t="inlineStr">
        <is>
          <t>1. Spoon tablespoon mounds of parmesan on parchment.
2. Sprinkle pepper and seasoning.
3. Bake at 400°F 5–6 minutes until golden; cool to crisp.</t>
        </is>
      </c>
      <c r="AC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0% of this dish's available carbohydrate comes from ingredients with a published, measured GI; the rest uses conventional placeholders (see Ingredients sheet)</t>
        </is>
      </c>
      <c r="Z707" s="2" t="n">
        <v>0</v>
      </c>
      <c r="AA707" s="3" t="inlineStr">
        <is>
          <t>gluten-free, nut-free, low-carb</t>
        </is>
      </c>
      <c r="AB707" s="3" t="inlineStr">
        <is>
          <t>1. Halve and seed jalapeños.
2. Mix cream cheese, cheddar, garlic powder; fill peppers; wrap each in half a slice of turkey bacon.
3. Bake at 400°F 18–20 minutes; green onion.</t>
        </is>
      </c>
      <c r="AC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64% of this dish's available carbohydrate comes from ingredients with a published, measured GI; the rest uses conventional placeholders (see Ingredients sheet)</t>
        </is>
      </c>
      <c r="Z708" s="2" t="n">
        <v>64</v>
      </c>
      <c r="AA708" s="3" t="inlineStr">
        <is>
          <t>vegan, gluten-free, dairy-free, low-carb, make-ahead</t>
        </is>
      </c>
      <c r="AB708" s="3" t="inlineStr">
        <is>
          <t>1. Whisk chia, milk, vanilla, sweetener.
2. Divide into 4 jars; refrigerate overnight.
3. Top blueberries.</t>
        </is>
      </c>
      <c r="AC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0% of this dish's available carbohydrate comes from ingredients with a published, measured GI; the rest uses conventional placeholders (see Ingredients sheet)</t>
        </is>
      </c>
      <c r="Z709" s="2" t="n">
        <v>0</v>
      </c>
      <c r="AA709" s="3" t="inlineStr">
        <is>
          <t>vegan, gluten-free, dairy-free, nut-free, low-carb, make-ahead</t>
        </is>
      </c>
      <c r="AB709" s="3" t="inlineStr">
        <is>
          <t>1. Roast cauliflower with half the oil at 425°F 20 minutes.
2. Blend with tahini, lemon, garlic, remaining oil, cumin, salt until smooth.
3. Paprika; serve with vegetables.</t>
        </is>
      </c>
      <c r="AC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20% of this dish's available carbohydrate comes from ingredients with a published, measured GI; the rest uses conventional placeholders (see Ingredients sheet)</t>
        </is>
      </c>
      <c r="Z710" s="2" t="n">
        <v>20</v>
      </c>
      <c r="AA710" s="3" t="inlineStr">
        <is>
          <t>gluten-free, low-carb, make-ahead</t>
        </is>
      </c>
      <c r="AB710" s="3" t="inlineStr">
        <is>
          <t>1. Mix turkey, egg, almond flour, garlic, oregano, feta, salt; form small meatballs; bake at 400°F 18 minutes.
2. Thread meatballs with tomato and cucumber onto picks.
3. Serve with yogurt-dill dip.</t>
        </is>
      </c>
      <c r="AC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0% of this dish's available carbohydrate comes from ingredients with a published, measured GI; the rest uses conventional placeholders (see Ingredients sheet)</t>
        </is>
      </c>
      <c r="Z711" s="2" t="n">
        <v>0</v>
      </c>
      <c r="AA711" s="3" t="inlineStr">
        <is>
          <t>pescatarian, gluten-free, dairy-free, nut-free, low-carb, no-cook, quick</t>
        </is>
      </c>
      <c r="AB711" s="3" t="inlineStr">
        <is>
          <t>1. Cut cucumber into thick rounds; scoop centers.
2. Fill with mashed avocado and a piece of salmon.
3. Nori strip, sesame, tamari.</t>
        </is>
      </c>
      <c r="AC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0% of this dish's available carbohydrate comes from ingredients with a published, measured GI; the rest uses conventional placeholders (see Ingredients sheet)</t>
        </is>
      </c>
      <c r="Z712" s="2" t="n">
        <v>0</v>
      </c>
      <c r="AA712" s="3" t="inlineStr">
        <is>
          <t>vegan, gluten-free, dairy-free, nut-free, low-carb, make-ahead</t>
        </is>
      </c>
      <c r="AB712" s="3" t="inlineStr">
        <is>
          <t>1. Pat shelled edamame dry; toss with oil and spices.
2. Roast at 400°F 25–30 minutes until crunchy.
3. Cool.</t>
        </is>
      </c>
      <c r="AC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22% of this dish's available carbohydrate comes from ingredients with a published, measured GI; the rest uses conventional placeholders (see Ingredients sheet)</t>
        </is>
      </c>
      <c r="Z713" s="2" t="n">
        <v>22</v>
      </c>
      <c r="AA713" s="3" t="inlineStr">
        <is>
          <t>vegetarian, gluten-free, nut-free, low-carb, make-ahead</t>
        </is>
      </c>
      <c r="AB713" s="3" t="inlineStr">
        <is>
          <t>1. Whisk eggs, milk, salt; stir in spinach, feta, green onion, dill.
2. Pour into oiled mini muffin cups.
3. Bake at 350°F 15–18 minutes.</t>
        </is>
      </c>
      <c r="AC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0% of this dish's available carbohydrate comes from ingredients with a published, measured GI; the rest uses conventional placeholders (see Ingredients sheet)</t>
        </is>
      </c>
      <c r="Z714" s="2" t="n">
        <v>0</v>
      </c>
      <c r="AA714" s="3" t="inlineStr">
        <is>
          <t>vegetarian, gluten-free, nut-free, low-carb, no-cook, quick</t>
        </is>
      </c>
      <c r="AB714" s="3" t="inlineStr">
        <is>
          <t>1. Arrange olives, feta, cucumber and tomato on a plate.
2. Drizzle oil.
3. Oregano.</t>
        </is>
      </c>
      <c r="AC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0% of this dish's available carbohydrate comes from ingredients with a published, measured GI; the rest uses conventional placeholders (see Ingredients sheet)</t>
        </is>
      </c>
      <c r="Z715" s="2" t="n">
        <v>0</v>
      </c>
      <c r="AA715" s="3" t="inlineStr">
        <is>
          <t>vegan, gluten-free, dairy-free, low-carb, no-cook, quick</t>
        </is>
      </c>
      <c r="AB715" s="3" t="inlineStr">
        <is>
          <t>1. Cut celery into boats.
2. Fill with peanut butter.
3. Hemp seeds, cinnamon.</t>
        </is>
      </c>
      <c r="AC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59% of this dish's available carbohydrate comes from ingredients with a published, measured GI; the rest uses conventional placeholders (see Ingredients sheet)</t>
        </is>
      </c>
      <c r="Z716" s="2" t="n">
        <v>59</v>
      </c>
      <c r="AA716" s="3" t="inlineStr">
        <is>
          <t>vegetarian, gluten-free, nut-free, low-carb, no-cook</t>
        </is>
      </c>
      <c r="AB716" s="3" t="inlineStr">
        <is>
          <t>1. Grate cucumber; squeeze dry.
2. Mix with yogurt, garlic, dill, lemon, oil, salt.
3. Serve with vegetable sticks.</t>
        </is>
      </c>
      <c r="AC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0% of this dish's available carbohydrate comes from ingredients with a published, measured GI; the rest uses conventional placeholders (see Ingredients sheet)</t>
        </is>
      </c>
      <c r="Z717" s="2" t="n">
        <v>0</v>
      </c>
      <c r="AA717" s="3" t="inlineStr">
        <is>
          <t>pescatarian, gluten-free, dairy-free, nut-free, low-carb, no-cook, quick</t>
        </is>
      </c>
      <c r="AB717" s="3" t="inlineStr">
        <is>
          <t>1. Mix tuna, mayo, sriracha, green onion.
2. Spoon onto seaweed sheets with cucumber.
3. Fold and eat.</t>
        </is>
      </c>
      <c r="AC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17</v>
      </c>
      <c r="U718" s="2" t="inlineStr">
        <is>
          <t>low</t>
        </is>
      </c>
      <c r="V718" s="5" t="n">
        <v>2.1</v>
      </c>
      <c r="W718" s="2" t="inlineStr">
        <is>
          <t>low</t>
        </is>
      </c>
      <c r="X718" s="3" t="inlineStr"/>
      <c r="Y718" s="3" t="inlineStr">
        <is>
          <t>21% of this dish's available carbohydrate comes from ingredients with a published, measured GI; the rest uses conventional placeholders (see Ingredients sheet)</t>
        </is>
      </c>
      <c r="Z718" s="2" t="n">
        <v>21</v>
      </c>
      <c r="AA718" s="3" t="inlineStr">
        <is>
          <t>vegetarian, gluten-free, low-carb, no-cook, quick</t>
        </is>
      </c>
      <c r="AB718" s="3" t="inlineStr">
        <is>
          <t>1. Bowl the cottage cheese.
2. Top berries and pistachios.
3. Cinnamon.</t>
        </is>
      </c>
      <c r="AC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86% of this dish's available carbohydrate comes from ingredients with a published, measured GI; the rest uses conventional placeholders (see Ingredients sheet)</t>
        </is>
      </c>
      <c r="Z719" s="2" t="n">
        <v>86</v>
      </c>
      <c r="AA719" s="3" t="inlineStr">
        <is>
          <t>vegan, gluten-free, dairy-free, nut-free, no-cook, make-ahead</t>
        </is>
      </c>
      <c r="AB719" s="3" t="inlineStr">
        <is>
          <t>1. Blend beans, oil, lemon, garlic, rosemary, salt.
2. Top parsley and extra oil.
3. Serve with vegetables.</t>
        </is>
      </c>
      <c r="AC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20% of this dish's available carbohydrate comes from ingredients with a published, measured GI; the rest uses conventional placeholders (see Ingredients sheet)</t>
        </is>
      </c>
      <c r="Z720" s="2" t="n">
        <v>20</v>
      </c>
      <c r="AA720" s="3" t="inlineStr">
        <is>
          <t>vegetarian, gluten-free, nut-free, low-carb, make-ahead</t>
        </is>
      </c>
      <c r="AB720" s="3" t="inlineStr">
        <is>
          <t>1. Whisk eggs, milk, salt.
2. Divide tomato, mozzarella, basil into mini muffin cups; pour eggs.
3. Bake at 350°F 15–18 minutes.</t>
        </is>
      </c>
      <c r="AC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0% of this dish's available carbohydrate comes from ingredients with a published, measured GI; the rest uses conventional placeholders (see Ingredients sheet)</t>
        </is>
      </c>
      <c r="Z721" s="2" t="n">
        <v>0</v>
      </c>
      <c r="AA721" s="3" t="inlineStr">
        <is>
          <t>vegan, gluten-free, dairy-free, low-carb, make-ahead</t>
        </is>
      </c>
      <c r="AB721" s="3" t="inlineStr">
        <is>
          <t>1. Toss walnuts with oil, spices, sweetener, salt.
2. Roast at 350°F 10–12 minutes.
3. Cool.</t>
        </is>
      </c>
      <c r="AC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14% of this dish's available carbohydrate comes from ingredients with a published, measured GI; the rest uses conventional placeholders (see Ingredients sheet)</t>
        </is>
      </c>
      <c r="Z722" s="2" t="n">
        <v>14</v>
      </c>
      <c r="AA722" s="3" t="inlineStr">
        <is>
          <t>pescatarian, gluten-free, nut-free, low-carb, no-cook, omega-3</t>
        </is>
      </c>
      <c r="AB722" s="3" t="inlineStr">
        <is>
          <t>1. Blend trout, cream cheese, yogurt, lemon, dill, pepper.
2. Slice cucumber.
3. Serve pâté on cucumber rounds with chives.</t>
        </is>
      </c>
      <c r="AC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98% of this dish's available carbohydrate comes from ingredients with a published, measured GI; the rest uses conventional placeholders (see Ingredients sheet)</t>
        </is>
      </c>
      <c r="Z723" s="2" t="n">
        <v>98</v>
      </c>
      <c r="AA723" s="3" t="inlineStr">
        <is>
          <t>vegan, gluten-free, dairy-free, nut-free, make-ahead</t>
        </is>
      </c>
      <c r="AB723" s="3" t="inlineStr">
        <is>
          <t>1. Slice apples paper-thin; toss with cinnamon.
2. Bake on racks at 200°F 2 hours, flipping once.
3. Cool to crisp.</t>
        </is>
      </c>
      <c r="AC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0% of this dish's available carbohydrate comes from ingredients with a published, measured GI; the rest uses conventional placeholders (see Ingredients sheet)</t>
        </is>
      </c>
      <c r="Z724" s="2" t="n">
        <v>0</v>
      </c>
      <c r="AA724" s="3" t="inlineStr">
        <is>
          <t>nut-free, low-carb, high-fiber, no-cook, make-ahead</t>
        </is>
      </c>
      <c r="AB724" s="3" t="inlineStr">
        <is>
          <t>1. Spread tortillas with cream cheese and Dijon.
2. Layer turkey, spinach, peppers; roll tightly.
3. Slice into pinwheels.</t>
        </is>
      </c>
      <c r="AC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0% of this dish's available carbohydrate comes from ingredients with a published, measured GI; the rest uses conventional placeholders (see Ingredients sheet)</t>
        </is>
      </c>
      <c r="Z725" s="2" t="n">
        <v>0</v>
      </c>
      <c r="AA725" s="3" t="inlineStr">
        <is>
          <t>vegetarian, gluten-free, nut-free, low-carb, no-cook, make-ahead</t>
        </is>
      </c>
      <c r="AB725" s="3" t="inlineStr">
        <is>
          <t>1. Cube mozzarella.
2. Toss with olives, oil, pepper flakes, seasoning, lemon zest, garlic.
3. Marinate 1 hour.</t>
        </is>
      </c>
      <c r="AC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92% of this dish's available carbohydrate comes from ingredients with a published, measured GI; the rest uses conventional placeholders (see Ingredients sheet)</t>
        </is>
      </c>
      <c r="Z726" s="2" t="n">
        <v>92</v>
      </c>
      <c r="AA726" s="3" t="inlineStr">
        <is>
          <t>vegetarian, gluten-free, low-carb, make-ahead</t>
        </is>
      </c>
      <c r="AB726" s="3" t="inlineStr">
        <is>
          <t>1. Whisk yogurt, protein, vanilla; spread on parchment-lined tray.
2. Top berries, almonds, chocolate chips.
3. Freeze 3 hours; break into pieces.</t>
        </is>
      </c>
      <c r="AC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0% of this dish's available carbohydrate comes from ingredients with a published, measured GI; the rest uses conventional placeholders (see Ingredients sheet)</t>
        </is>
      </c>
      <c r="Z727" s="2" t="n">
        <v>0</v>
      </c>
      <c r="AA727" s="3" t="inlineStr">
        <is>
          <t>vegan, gluten-free, dairy-free, low-carb, quick</t>
        </is>
      </c>
      <c r="AB727" s="3" t="inlineStr">
        <is>
          <t>1. Toss beans with oil, garlic, salt.
2. Roast at 425°F 15–18 minutes.
3. Lemon and toasted almonds.</t>
        </is>
      </c>
      <c r="AC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8% of this dish's available carbohydrate comes from ingredients with a published, measured GI; the rest uses conventional placeholders (see Ingredients sheet)</t>
        </is>
      </c>
      <c r="Z728" s="2" t="n">
        <v>8</v>
      </c>
      <c r="AA728" s="3" t="inlineStr">
        <is>
          <t>vegetarian, gluten-free, nut-free, low-carb</t>
        </is>
      </c>
      <c r="AB728" s="3" t="inlineStr">
        <is>
          <t>1. Steam cauliflower and garlic 12 minutes.
2. Blend with butter, milk, parmesan, salt.
3. Chives.</t>
        </is>
      </c>
      <c r="AC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0% of this dish's available carbohydrate comes from ingredients with a published, measured GI; the rest uses conventional placeholders (see Ingredients sheet)</t>
        </is>
      </c>
      <c r="Z729" s="2" t="n">
        <v>0</v>
      </c>
      <c r="AA729" s="3" t="inlineStr">
        <is>
          <t>vegetarian, gluten-free, nut-free, low-carb</t>
        </is>
      </c>
      <c r="AB729" s="3" t="inlineStr">
        <is>
          <t>1. Halve sprouts; toss with oil, garlic, salt.
2. Roast at 425°F 22 minutes.
3. Balsamic, parmesan.</t>
        </is>
      </c>
      <c r="AC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0% of this dish's available carbohydrate comes from ingredients with a published, measured GI; the rest uses conventional placeholders (see Ingredients sheet)</t>
        </is>
      </c>
      <c r="Z730" s="2" t="n">
        <v>0</v>
      </c>
      <c r="AA730" s="3" t="inlineStr">
        <is>
          <t>vegan, gluten-free, dairy-free, nut-free, low-carb, quick</t>
        </is>
      </c>
      <c r="AB730" s="3" t="inlineStr">
        <is>
          <t>1. Sizzle garlic in oil 30 seconds.
2. Add spinach; toss until wilted.
3. Lemon, pepper flakes, salt.</t>
        </is>
      </c>
      <c r="AC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0% of this dish's available carbohydrate comes from ingredients with a published, measured GI; the rest uses conventional placeholders (see Ingredients sheet)</t>
        </is>
      </c>
      <c r="Z731" s="2" t="n">
        <v>0</v>
      </c>
      <c r="AA731" s="3" t="inlineStr">
        <is>
          <t>vegan, gluten-free, dairy-free, nut-free, low-carb, quick</t>
        </is>
      </c>
      <c r="AB731" s="3" t="inlineStr">
        <is>
          <t>1. Sauté garlic in oil; add cauliflower rice 5 minutes.
2. Lime juice and zest.
3. Cilantro, salt.</t>
        </is>
      </c>
      <c r="AC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90% of this dish's available carbohydrate comes from ingredients with a published, measured GI; the rest uses conventional placeholders (see Ingredients sheet)</t>
        </is>
      </c>
      <c r="Z732" s="2" t="n">
        <v>90</v>
      </c>
      <c r="AA732" s="3" t="inlineStr">
        <is>
          <t>vegan, gluten-free, dairy-free</t>
        </is>
      </c>
      <c r="AB732" s="3" t="inlineStr">
        <is>
          <t>1. Sauté onion and garlic in oil.
2. Stir in cooked quinoa; heat through.
3. Parsley, lemon, almonds.</t>
        </is>
      </c>
      <c r="AC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0% of this dish's available carbohydrate comes from ingredients with a published, measured GI; the rest uses conventional placeholders (see Ingredients sheet)</t>
        </is>
      </c>
      <c r="Z733" s="2" t="n">
        <v>0</v>
      </c>
      <c r="AA733" s="3" t="inlineStr">
        <is>
          <t>vegetarian, gluten-free, nut-free, low-carb</t>
        </is>
      </c>
      <c r="AB733" s="3" t="inlineStr">
        <is>
          <t>1. Toss florets with oil, garlic, salt.
2. Roast at 425°F 18–20 minutes.
3. Parmesan, lemon, pepper flakes.</t>
        </is>
      </c>
      <c r="AC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0% of this dish's available carbohydrate comes from ingredients with a published, measured GI; the rest uses conventional placeholders (see Ingredients sheet)</t>
        </is>
      </c>
      <c r="Z734" s="2" t="n">
        <v>0</v>
      </c>
      <c r="AA734" s="3" t="inlineStr">
        <is>
          <t>vegetarian, gluten-free, nut-free, low-carb, quick</t>
        </is>
      </c>
      <c r="AB734" s="3" t="inlineStr">
        <is>
          <t>1. Sauté garlic in oil.
2. Add zoodles; toss 2–3 minutes.
3. Basil, parmesan, salt.</t>
        </is>
      </c>
      <c r="AC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0% of this dish's available carbohydrate comes from ingredients with a published, measured GI; the rest uses conventional placeholders (see Ingredients sheet)</t>
        </is>
      </c>
      <c r="Z735" s="2" t="n">
        <v>0</v>
      </c>
      <c r="AA735" s="3" t="inlineStr">
        <is>
          <t>vegan, gluten-free, dairy-free, nut-free, low-carb, quick</t>
        </is>
      </c>
      <c r="AB735" s="3" t="inlineStr">
        <is>
          <t>1. Toss asparagus with oil, garlic, salt.
2. Roast at 425°F 10–12 minutes.
3. Lemon zest and juice.</t>
        </is>
      </c>
      <c r="AC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14% of this dish's available carbohydrate comes from ingredients with a published, measured GI; the rest uses conventional placeholders (see Ingredients sheet)</t>
        </is>
      </c>
      <c r="Z736" s="2" t="n">
        <v>14</v>
      </c>
      <c r="AA736" s="3" t="inlineStr">
        <is>
          <t>vegetarian, gluten-free, nut-free, low-carb, no-cook</t>
        </is>
      </c>
      <c r="AB736" s="3" t="inlineStr">
        <is>
          <t>1. Slice cucumber thin; salt 10 minutes; drain.
2. Mix yogurt, dill, vinegar.
3. Toss with cucumber and onion.</t>
        </is>
      </c>
      <c r="AC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0% of this dish's available carbohydrate comes from ingredients with a published, measured GI; the rest uses conventional placeholders (see Ingredients sheet)</t>
        </is>
      </c>
      <c r="Z737" s="2" t="n">
        <v>0</v>
      </c>
      <c r="AA737" s="3" t="inlineStr">
        <is>
          <t>vegan, gluten-free, dairy-free, nut-free, low-carb</t>
        </is>
      </c>
      <c r="AB737" s="3" t="inlineStr">
        <is>
          <t>1. Toss florets with oil and spices.
2. Roast at 425°F 22–25 minutes.
3. Cilantro, lemon.</t>
        </is>
      </c>
      <c r="AC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0% of this dish's available carbohydrate comes from ingredients with a published, measured GI; the rest uses conventional placeholders (see Ingredients sheet)</t>
        </is>
      </c>
      <c r="Z738" s="2" t="n">
        <v>0</v>
      </c>
      <c r="AA738" s="3" t="inlineStr">
        <is>
          <t>vegetarian, gluten-free, nut-free, low-carb, quick</t>
        </is>
      </c>
      <c r="AB738" s="3" t="inlineStr">
        <is>
          <t>1. Sear mushrooms in oil over high heat 6 minutes without stirring much.
2. Add butter, garlic, thyme 2 minutes.
3. Parsley, salt.</t>
        </is>
      </c>
      <c r="AC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26% of this dish's available carbohydrate comes from ingredients with a published, measured GI; the rest uses conventional placeholders (see Ingredients sheet)</t>
        </is>
      </c>
      <c r="Z739" s="2" t="n">
        <v>26</v>
      </c>
      <c r="AA739" s="3" t="inlineStr">
        <is>
          <t>vegan, gluten-free, dairy-free, nut-free, low-carb, make-ahead</t>
        </is>
      </c>
      <c r="AB739" s="3" t="inlineStr">
        <is>
          <t>1. Sauté onion in oil; add shredded cabbage and apple.
2. Add vinegar, bay, sweetener, salt, 100 ml water; cover.
3. Simmer 35 minutes.</t>
        </is>
      </c>
      <c r="AC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0% of this dish's available carbohydrate comes from ingredients with a published, measured GI; the rest uses conventional placeholders (see Ingredients sheet)</t>
        </is>
      </c>
      <c r="Z740" s="2" t="n">
        <v>0</v>
      </c>
      <c r="AA740" s="3" t="inlineStr">
        <is>
          <t>vegan, gluten-free, dairy-free, nut-free, low-carb, make-ahead</t>
        </is>
      </c>
      <c r="AB740" s="3" t="inlineStr">
        <is>
          <t>1. Sauté onion and garlic in oil.
2. Add beans and tomatoes; simmer covered 30 minutes.
3. Dill, salt.</t>
        </is>
      </c>
      <c r="AC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99% of this dish's available carbohydrate comes from ingredients with a published, measured GI; the rest uses conventional placeholders (see Ingredients sheet)</t>
        </is>
      </c>
      <c r="Z741" s="2" t="n">
        <v>99</v>
      </c>
      <c r="AA741" s="3" t="inlineStr">
        <is>
          <t>vegetarian, gluten-free</t>
        </is>
      </c>
      <c r="AB741" s="3" t="inlineStr">
        <is>
          <t>1. Boil cubed sweet potato 20 minutes; drain.
2. Mash with yogurt, butter, cinnamon, salt.
3. Pecans.</t>
        </is>
      </c>
      <c r="AC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0% of this dish's available carbohydrate comes from ingredients with a published, measured GI; the rest uses conventional placeholders (see Ingredients sheet)</t>
        </is>
      </c>
      <c r="Z742" s="2" t="n">
        <v>0</v>
      </c>
      <c r="AA742" s="3" t="inlineStr">
        <is>
          <t>vegan, gluten-free, dairy-free, nut-free, low-carb</t>
        </is>
      </c>
      <c r="AB742" s="3" t="inlineStr">
        <is>
          <t>1. Halve radishes; toss with oil, garlic, thyme, salt.
2. Roast at 425°F 22 minutes.
3. Lemon.</t>
        </is>
      </c>
      <c r="AC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20% of this dish's available carbohydrate comes from ingredients with a published, measured GI; the rest uses conventional placeholders (see Ingredients sheet)</t>
        </is>
      </c>
      <c r="Z743" s="2" t="n">
        <v>20</v>
      </c>
      <c r="AA743" s="3" t="inlineStr">
        <is>
          <t>vegetarian, gluten-free, nut-free, low-carb</t>
        </is>
      </c>
      <c r="AB743" s="3" t="inlineStr">
        <is>
          <t>1. Sauté garlic in oil; wilt spinach; squeeze out excess liquid.
2. Stir in cream cheese, yogurt, parmesan, nutmeg.
3. Heat gently; salt.</t>
        </is>
      </c>
      <c r="AC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34</v>
      </c>
      <c r="U744" s="2" t="inlineStr">
        <is>
          <t>low</t>
        </is>
      </c>
      <c r="V744" s="5" t="n">
        <v>4.6</v>
      </c>
      <c r="W744" s="2" t="inlineStr">
        <is>
          <t>low</t>
        </is>
      </c>
      <c r="X744" s="3" t="inlineStr"/>
      <c r="Y744" s="3" t="inlineStr">
        <is>
          <t>90% of this dish's available carbohydrate comes from ingredients with a published, measured GI; the rest uses conventional placeholders (see Ingredients sheet)</t>
        </is>
      </c>
      <c r="Z744" s="2" t="n">
        <v>90</v>
      </c>
      <c r="AA744" s="3" t="inlineStr">
        <is>
          <t>vegan, gluten-free, dairy-free, nut-free, low-carb, high-fiber, no-cook, make-ahead</t>
        </is>
      </c>
      <c r="AB744" s="3" t="inlineStr">
        <is>
          <t>1. Whisk Dijon, lemon, oil, salt.
2. Toss with lentils, shallot, parsley.
3. Serve at room temperature.</t>
        </is>
      </c>
      <c r="AC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0% of this dish's available carbohydrate comes from ingredients with a published, measured GI; the rest uses conventional placeholders (see Ingredients sheet)</t>
        </is>
      </c>
      <c r="Z745" s="2" t="n">
        <v>0</v>
      </c>
      <c r="AA745" s="3" t="inlineStr">
        <is>
          <t>vegetarian, gluten-free, nut-free, low-carb, quick</t>
        </is>
      </c>
      <c r="AB745" s="3" t="inlineStr">
        <is>
          <t>1. Slice zucchini lengthwise; brush oil; salt.
2. Grill 3–4 minutes per side.
3. Feta, mint, lemon.</t>
        </is>
      </c>
      <c r="AC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0% of this dish's available carbohydrate comes from ingredients with a published, measured GI; the rest uses conventional placeholders (see Ingredients sheet)</t>
        </is>
      </c>
      <c r="Z746" s="2" t="n">
        <v>0</v>
      </c>
      <c r="AA746" s="3" t="inlineStr">
        <is>
          <t>vegan, gluten-free, dairy-free, low-carb, quick</t>
        </is>
      </c>
      <c r="AB746" s="3" t="inlineStr">
        <is>
          <t>1. Sauté cauliflower rice with cumin in oil 5 minutes.
2. Toss with herbs and lemon.
3. Almonds, salt.</t>
        </is>
      </c>
      <c r="AC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0% of this dish's available carbohydrate comes from ingredients with a published, measured GI; the rest uses conventional placeholders (see Ingredients sheet)</t>
        </is>
      </c>
      <c r="Z747" s="2" t="n">
        <v>0</v>
      </c>
      <c r="AA747" s="3" t="inlineStr">
        <is>
          <t>vegan, gluten-free, dairy-free, nut-free, low-carb</t>
        </is>
      </c>
      <c r="AB747" s="3" t="inlineStr">
        <is>
          <t>1. Cut peppers into strips; toss with oil, garlic, paprika, salt.
2. Roast at 425°F 22 minutes.
3. Parsley.</t>
        </is>
      </c>
      <c r="AC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42</v>
      </c>
      <c r="U748" s="2" t="inlineStr">
        <is>
          <t>low</t>
        </is>
      </c>
      <c r="V748" s="5" t="n">
        <v>11.1</v>
      </c>
      <c r="W748" s="2" t="inlineStr">
        <is>
          <t>medium</t>
        </is>
      </c>
      <c r="X748" s="3" t="inlineStr"/>
      <c r="Y748" s="3" t="inlineStr">
        <is>
          <t>91% of this dish's available carbohydrate comes from ingredients with a published, measured GI; the rest uses conventional placeholders (see Ingredients sheet)</t>
        </is>
      </c>
      <c r="Z748" s="2" t="n">
        <v>91</v>
      </c>
      <c r="AA748" s="3" t="inlineStr">
        <is>
          <t>vegan, dairy-free, nut-free</t>
        </is>
      </c>
      <c r="AB748" s="3" t="inlineStr">
        <is>
          <t>1. Sauté mushrooms, onion, garlic, thyme in oil 8 minutes.
2. Stir in cooked barley; heat through.
3. Parsley, salt.</t>
        </is>
      </c>
      <c r="AC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0% of this dish's available carbohydrate comes from ingredients with a published, measured GI; the rest uses conventional placeholders (see Ingredients sheet)</t>
        </is>
      </c>
      <c r="Z749" s="2" t="n">
        <v>0</v>
      </c>
      <c r="AA749" s="3" t="inlineStr">
        <is>
          <t>vegan, gluten-free, dairy-free, nut-free, low-carb, quick</t>
        </is>
      </c>
      <c r="AB749" s="3" t="inlineStr">
        <is>
          <t>1. Steam broccolini 4–5 minutes.
2. Toss with sesame oil, tamari, garlic.
3. Sesame seeds.</t>
        </is>
      </c>
      <c r="AC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0% of this dish's available carbohydrate comes from ingredients with a published, measured GI; the rest uses conventional placeholders (see Ingredients sheet)</t>
        </is>
      </c>
      <c r="Z750" s="2" t="n">
        <v>0</v>
      </c>
      <c r="AA750" s="3" t="inlineStr">
        <is>
          <t>vegan, gluten-free, dairy-free, nut-free, low-carb, make-ahead</t>
        </is>
      </c>
      <c r="AB750" s="3" t="inlineStr">
        <is>
          <t>1. Sauté eggplant in oil until golden; remove.
2. Sauté onion, celery; add tomatoes, olives, capers, vinegar, sweetener; simmer 10 minutes.
3. Return eggplant; simmer 10 minutes; basil.</t>
        </is>
      </c>
      <c r="AC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99% of this dish's available carbohydrate comes from ingredients with a published, measured GI; the rest uses conventional placeholders (see Ingredients sheet)</t>
        </is>
      </c>
      <c r="Z751" s="2" t="n">
        <v>99</v>
      </c>
      <c r="AA751" s="3" t="inlineStr">
        <is>
          <t>vegan, gluten-free, dairy-free, nut-free, low-carb</t>
        </is>
      </c>
      <c r="AB751" s="3" t="inlineStr">
        <is>
          <t>1. Cube squash; toss with oil, spices, salt.
2. Roast at 425°F 28–30 minutes.
3. Sage.</t>
        </is>
      </c>
      <c r="AC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0% of this dish's available carbohydrate comes from ingredients with a published, measured GI; the rest uses conventional placeholders (see Ingredients sheet)</t>
        </is>
      </c>
      <c r="Z752" s="2" t="n">
        <v>0</v>
      </c>
      <c r="AA752" s="3" t="inlineStr">
        <is>
          <t>vegetarian, gluten-free, low-carb, no-cook</t>
        </is>
      </c>
      <c r="AB752" s="3" t="inlineStr">
        <is>
          <t>1. Massage chopped kale with oil, lemon, garlic, salt 1 minute.
2. Rest 10 minutes.
3. Parmesan, pine nuts.</t>
        </is>
      </c>
      <c r="AC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0% of this dish's available carbohydrate comes from ingredients with a published, measured GI; the rest uses conventional placeholders (see Ingredients sheet)</t>
        </is>
      </c>
      <c r="Z753" s="2" t="n">
        <v>0</v>
      </c>
      <c r="AA753" s="3" t="inlineStr">
        <is>
          <t>vegan, gluten-free, dairy-free, nut-free, low-carb, no-cook</t>
        </is>
      </c>
      <c r="AB753" s="3" t="inlineStr">
        <is>
          <t>1. Pulse raw cauliflower rice fine.
2. Mix with chopped parsley, mint, tomato, cucumber, green onion.
3. Lemon, oil, salt.</t>
        </is>
      </c>
      <c r="AC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0% of this dish's available carbohydrate comes from ingredients with a published, measured GI; the rest uses conventional placeholders (see Ingredients sheet)</t>
        </is>
      </c>
      <c r="Z754" s="2" t="n">
        <v>0</v>
      </c>
      <c r="AA754" s="3" t="inlineStr">
        <is>
          <t>vegan, gluten-free, dairy-free, nut-free, low-carb</t>
        </is>
      </c>
      <c r="AB754" s="3" t="inlineStr">
        <is>
          <t>1. Toss mushrooms and onion with oil, garlic, rosemary, salt.
2. Roast at 425°F 22 minutes.
3. Balsamic.</t>
        </is>
      </c>
      <c r="AC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0% of this dish's available carbohydrate comes from ingredients with a published, measured GI; the rest uses conventional placeholders (see Ingredients sheet)</t>
        </is>
      </c>
      <c r="Z755" s="2" t="n">
        <v>0</v>
      </c>
      <c r="AA755" s="3" t="inlineStr">
        <is>
          <t>gluten-free, dairy-free, nut-free, low-carb, make-ahead</t>
        </is>
      </c>
      <c r="AB755" s="3" t="inlineStr">
        <is>
          <t>1. Sauté bacon, onion, garlic in oil.
2. Add collards, broth, vinegar, pepper flakes; cover.
3. Simmer 40 minutes; salt.</t>
        </is>
      </c>
      <c r="AC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0% of this dish's available carbohydrate comes from ingredients with a published, measured GI; the rest uses conventional placeholders (see Ingredients sheet)</t>
        </is>
      </c>
      <c r="Z756" s="2" t="n">
        <v>0</v>
      </c>
      <c r="AA756" s="3" t="inlineStr">
        <is>
          <t>vegan, gluten-free, dairy-free</t>
        </is>
      </c>
      <c r="AB756" s="3" t="inlineStr">
        <is>
          <t>1. Sauté mushrooms, onion, thyme in oil.
2. Stir in cooked wild rice.
3. Pecans, parsley, salt.</t>
        </is>
      </c>
      <c r="AC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0% of this dish's available carbohydrate comes from ingredients with a published, measured GI; the rest uses conventional placeholders (see Ingredients sheet)</t>
        </is>
      </c>
      <c r="Z757" s="2" t="n">
        <v>0</v>
      </c>
      <c r="AA757" s="3" t="inlineStr">
        <is>
          <t>vegetarian, gluten-free, nut-free, low-carb, no-cook</t>
        </is>
      </c>
      <c r="AB757" s="3" t="inlineStr">
        <is>
          <t>1. Shave fennel thin.
2. Toss with arugula, lemon, oil, salt.
3. Parmesan, pepper.</t>
        </is>
      </c>
      <c r="AC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0% of this dish's available carbohydrate comes from ingredients with a published, measured GI; the rest uses conventional placeholders (see Ingredients sheet)</t>
        </is>
      </c>
      <c r="Z758" s="2" t="n">
        <v>0</v>
      </c>
      <c r="AA758" s="3" t="inlineStr">
        <is>
          <t>vegan, gluten-free, dairy-free, nut-free, low-carb</t>
        </is>
      </c>
      <c r="AB758" s="3" t="inlineStr">
        <is>
          <t>1. Halve okra; toss with oil and spices.
2. Roast at 450°F 18–20 minutes.
3. Lemon.</t>
        </is>
      </c>
      <c r="AC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0% of this dish's available carbohydrate comes from ingredients with a published, measured GI; the rest uses conventional placeholders (see Ingredients sheet)</t>
        </is>
      </c>
      <c r="Z759" s="2" t="n">
        <v>0</v>
      </c>
      <c r="AA759" s="3" t="inlineStr">
        <is>
          <t>vegetarian, gluten-free, nut-free, low-carb</t>
        </is>
      </c>
      <c r="AB759" s="3" t="inlineStr">
        <is>
          <t>1. Slice cabbage into 1-inch rounds; brush with oil, garlic, paprika, salt.
2. Roast at 400°F 25–30 minutes, flipping once.
3. Parmesan.</t>
        </is>
      </c>
      <c r="AC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36</v>
      </c>
      <c r="U760" s="2" t="inlineStr">
        <is>
          <t>low</t>
        </is>
      </c>
      <c r="V760" s="5" t="n">
        <v>3.2</v>
      </c>
      <c r="W760" s="2" t="inlineStr">
        <is>
          <t>low</t>
        </is>
      </c>
      <c r="X760" s="3" t="inlineStr"/>
      <c r="Y760" s="3" t="inlineStr">
        <is>
          <t>97% of this dish's available carbohydrate comes from ingredients with a published, measured GI; the rest uses conventional placeholders (see Ingredients sheet)</t>
        </is>
      </c>
      <c r="Z760" s="2" t="n">
        <v>97</v>
      </c>
      <c r="AA760" s="3" t="inlineStr">
        <is>
          <t>vegetarian, gluten-free, nut-free, low-carb, quick</t>
        </is>
      </c>
      <c r="AB760" s="3" t="inlineStr">
        <is>
          <t>1. Boil peas 4 minutes; drain.
2. Mash with butter, mint, yogurt, lemon.
3. Salt.</t>
        </is>
      </c>
      <c r="AC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0% of this dish's available carbohydrate comes from ingredients with a published, measured GI; the rest uses conventional placeholders (see Ingredients sheet)</t>
        </is>
      </c>
      <c r="Z761" s="2" t="n">
        <v>0</v>
      </c>
      <c r="AA761" s="3" t="inlineStr">
        <is>
          <t>vegetarian, gluten-free, nut-free</t>
        </is>
      </c>
      <c r="AB761" s="3" t="inlineStr">
        <is>
          <t>1. Roast halved squash at 400°F 40 minutes; scrape strands.
2. Toss with butter, oil, garlic.
3. Parmesan, parsley, salt.</t>
        </is>
      </c>
      <c r="AC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0% of this dish's available carbohydrate comes from ingredients with a published, measured GI; the rest uses conventional placeholders (see Ingredients sheet)</t>
        </is>
      </c>
      <c r="Z762" s="2" t="n">
        <v>0</v>
      </c>
      <c r="AA762" s="3" t="inlineStr">
        <is>
          <t>vegan, gluten-free, dairy-free, nut-free, low-carb, no-cook</t>
        </is>
      </c>
      <c r="AB762" s="3" t="inlineStr">
        <is>
          <t>1. Slice tomato and onion.
2. Toss with oil, vinegar, oregano, salt.
3. Rest 15 minutes; basil.</t>
        </is>
      </c>
      <c r="AC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88% of this dish's available carbohydrate comes from ingredients with a published, measured GI; the rest uses conventional placeholders (see Ingredients sheet)</t>
        </is>
      </c>
      <c r="Z763" s="2" t="n">
        <v>88</v>
      </c>
      <c r="AA763" s="3" t="inlineStr">
        <is>
          <t>vegetarian, nut-free</t>
        </is>
      </c>
      <c r="AB763" s="3" t="inlineStr">
        <is>
          <t>1. Roast vegetables with oil at 425°F 20 minutes.
2. Toss with cooked farro, lemon, basil.
3. Parmesan, salt.</t>
        </is>
      </c>
      <c r="AC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0% of this dish's available carbohydrate comes from ingredients with a published, measured GI; the rest uses conventional placeholders (see Ingredients sheet)</t>
        </is>
      </c>
      <c r="Z764" s="2" t="n">
        <v>0</v>
      </c>
      <c r="AA764" s="3" t="inlineStr">
        <is>
          <t>vegan, gluten-free, dairy-free, nut-free, low-carb, quick</t>
        </is>
      </c>
      <c r="AB764" s="3" t="inlineStr">
        <is>
          <t>1. Heat oil until smoking; add peppers; blister 5–6 minutes.
2. Toss with tamari and lemon.
3. Sesame, salt.</t>
        </is>
      </c>
      <c r="AC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95% of this dish's available carbohydrate comes from ingredients with a published, measured GI; the rest uses conventional placeholders (see Ingredients sheet)</t>
        </is>
      </c>
      <c r="Z765" s="2" t="n">
        <v>95</v>
      </c>
      <c r="AA765" s="3" t="inlineStr">
        <is>
          <t>vegetarian, gluten-free, nut-free, low-carb</t>
        </is>
      </c>
      <c r="AB765" s="3" t="inlineStr">
        <is>
          <t>1. Toss carrots with oil, cumin, salt.
2. Roast at 425°F 22 minutes.
3. Serve over yogurt with lemon and cilantro.</t>
        </is>
      </c>
      <c r="AC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16% of this dish's available carbohydrate comes from ingredients with a published, measured GI; the rest uses conventional placeholders (see Ingredients sheet)</t>
        </is>
      </c>
      <c r="Z766" s="2" t="n">
        <v>16</v>
      </c>
      <c r="AA766" s="3" t="inlineStr">
        <is>
          <t>vegan, gluten-free, dairy-free, nut-free, low-carb, no-cook</t>
        </is>
      </c>
      <c r="AB766" s="3" t="inlineStr">
        <is>
          <t>1. Whisk tahini, lemon, garlic, water, salt.
2. Toss with shredded broccoli, carrot, cabbage.
3. Sunflower seeds.</t>
        </is>
      </c>
      <c r="AC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0% of this dish's available carbohydrate comes from ingredients with a published, measured GI; the rest uses conventional placeholders (see Ingredients sheet)</t>
        </is>
      </c>
      <c r="Z767" s="2" t="n">
        <v>0</v>
      </c>
      <c r="AA767" s="3" t="inlineStr">
        <is>
          <t>vegan, gluten-free, dairy-free, nut-free, low-carb</t>
        </is>
      </c>
      <c r="AB767" s="3" t="inlineStr">
        <is>
          <t>1. Cube eggplant; toss with oil, garlic, oregano, salt.
2. Roast at 425°F 22–25 minutes.
3. Parsley, lemon.</t>
        </is>
      </c>
      <c r="AC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61</v>
      </c>
      <c r="U768" s="2" t="inlineStr">
        <is>
          <t>medium</t>
        </is>
      </c>
      <c r="V768" s="5" t="n">
        <v>10.4</v>
      </c>
      <c r="W768" s="2" t="inlineStr">
        <is>
          <t>medium</t>
        </is>
      </c>
      <c r="X768" s="3" t="inlineStr">
        <is>
          <t>Medium-GI dish: keep to the stated portion and pair with the protein/fat in the recipe; GL per serving is the better guide.</t>
        </is>
      </c>
      <c r="Y768" s="3" t="inlineStr">
        <is>
          <t>86% of this dish's available carbohydrate comes from ingredients with a published, measured GI; the rest uses conventional placeholders (see Ingredients sheet)</t>
        </is>
      </c>
      <c r="Z768" s="2" t="n">
        <v>86</v>
      </c>
      <c r="AA768" s="3" t="inlineStr">
        <is>
          <t>vegan, gluten-free, dairy-free, nut-free</t>
        </is>
      </c>
      <c r="AB768" s="3" t="inlineStr">
        <is>
          <t>1. Sauté garlic in oil; add cauliflower rice 4 minutes.
2. Stir in cooked brown rice; heat through.
3. Green onion, salt.</t>
        </is>
      </c>
      <c r="AC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0% of this dish's available carbohydrate comes from ingredients with a published, measured GI; the rest uses conventional placeholders (see Ingredients sheet)</t>
        </is>
      </c>
      <c r="Z769" s="2" t="n">
        <v>0</v>
      </c>
      <c r="AA769" s="3" t="inlineStr">
        <is>
          <t>vegan, gluten-free, dairy-free, nut-free, low-carb, no-cook</t>
        </is>
      </c>
      <c r="AB769" s="3" t="inlineStr">
        <is>
          <t>1. Smash and chop cucumber; salt 10 minutes; drain.
2. Toss with vinegar, tamari, sesame oil, garlic, pepper flakes.
3. Sesame.</t>
        </is>
      </c>
      <c r="AC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89% of this dish's available carbohydrate comes from ingredients with a published, measured GI; the rest uses conventional placeholders (see Ingredients sheet)</t>
        </is>
      </c>
      <c r="Z770" s="2" t="n">
        <v>89</v>
      </c>
      <c r="AA770" s="3" t="inlineStr">
        <is>
          <t>vegan, gluten-free, dairy-free, nut-free, high-fiber, quick</t>
        </is>
      </c>
      <c r="AB770" s="3" t="inlineStr">
        <is>
          <t>1. Sauté onion and garlic in oil; add cumin.
2. Add beans with a splash of water; simmer 5 minutes.
3. Lime, cilantro, salt.</t>
        </is>
      </c>
      <c r="AC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0% of this dish's available carbohydrate comes from ingredients with a published, measured GI; the rest uses conventional placeholders (see Ingredients sheet)</t>
        </is>
      </c>
      <c r="Z771" s="2" t="n">
        <v>0</v>
      </c>
      <c r="AA771" s="3" t="inlineStr">
        <is>
          <t>vegan, gluten-free, dairy-free, nut-free, low-carb, quick</t>
        </is>
      </c>
      <c r="AB771" s="3" t="inlineStr">
        <is>
          <t>1. Stir-fry garlic and ginger in oil 30 seconds.
2. Add bok choy; stir-fry 4 minutes.
3. Tamari, sesame oil.</t>
        </is>
      </c>
      <c r="AC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92% of this dish's available carbohydrate comes from ingredients with a published, measured GI; the rest uses conventional placeholders (see Ingredients sheet)</t>
        </is>
      </c>
      <c r="Z772" s="2" t="n">
        <v>92</v>
      </c>
      <c r="AA772" s="3" t="inlineStr">
        <is>
          <t>vegetarian, gluten-free, low-carb</t>
        </is>
      </c>
      <c r="AB772" s="3" t="inlineStr">
        <is>
          <t>1. Wrap beets in foil; roast at 400°F 45 minutes; peel, slice.
2. Toss with oil, balsamic, thyme, salt.
3. Goat cheese, walnuts.</t>
        </is>
      </c>
      <c r="AC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94% of this dish's available carbohydrate comes from ingredients with a published, measured GI; the rest uses conventional placeholders (see Ingredients sheet)</t>
        </is>
      </c>
      <c r="Z773" s="2" t="n">
        <v>94</v>
      </c>
      <c r="AA773" s="3" t="inlineStr">
        <is>
          <t>vegan, gluten-free, dairy-free, nut-free, low-carb</t>
        </is>
      </c>
      <c r="AB773" s="3" t="inlineStr">
        <is>
          <t>1. Cut turnips into fries; toss with oil and spices.
2. Roast at 425°F 28–30 minutes, flipping once.
3. Parsley.</t>
        </is>
      </c>
      <c r="AC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0% of this dish's available carbohydrate comes from ingredients with a published, measured GI; the rest uses conventional placeholders (see Ingredients sheet)</t>
        </is>
      </c>
      <c r="Z774" s="2" t="n">
        <v>0</v>
      </c>
      <c r="AA774" s="3" t="inlineStr">
        <is>
          <t>vegan, gluten-free, dairy-free, nut-free, low-carb, quick</t>
        </is>
      </c>
      <c r="AB774" s="3" t="inlineStr">
        <is>
          <t>1. Blister beans in avocado oil 5 minutes.
2. Add garlic, tamari, sesame oil.
3. Sesame seeds.</t>
        </is>
      </c>
      <c r="AC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96% of this dish's available carbohydrate comes from ingredients with a published, measured GI; the rest uses conventional placeholders (see Ingredients sheet)</t>
        </is>
      </c>
      <c r="Z775" s="2" t="n">
        <v>96</v>
      </c>
      <c r="AA775" s="3" t="inlineStr">
        <is>
          <t>vegan, dairy-free, nut-free, low-carb, quick</t>
        </is>
      </c>
      <c r="AB775" s="3" t="inlineStr">
        <is>
          <t>1. Fluff cooked bulgur.
2. Toss with herbs, green onion, lemon, oil.
3. Salt.</t>
        </is>
      </c>
      <c r="AC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74% of this dish's available carbohydrate comes from ingredients with a published, measured GI; the rest uses conventional placeholders (see Ingredients sheet)</t>
        </is>
      </c>
      <c r="Z776" s="2" t="n">
        <v>74</v>
      </c>
      <c r="AA776" s="3" t="inlineStr">
        <is>
          <t>vegetarian, gluten-free, nut-free, low-carb</t>
        </is>
      </c>
      <c r="AB776" s="3" t="inlineStr">
        <is>
          <t>1. Sauté zucchini and corn in oil over high heat 8 minutes until charred.
2. Lime, chili powder, salt.
3. Cotija, cilantro.</t>
        </is>
      </c>
      <c r="AC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0% of this dish's available carbohydrate comes from ingredients with a published, measured GI; the rest uses conventional placeholders (see Ingredients sheet)</t>
        </is>
      </c>
      <c r="Z777" s="2" t="n">
        <v>0</v>
      </c>
      <c r="AA777" s="3" t="inlineStr">
        <is>
          <t>vegetarian, gluten-free, nut-free, low-carb, no-cook, quick</t>
        </is>
      </c>
      <c r="AB777" s="3" t="inlineStr">
        <is>
          <t>1. Chop cucumber and tomato; slice onion.
2. Toss with oil, vinegar, oregano, salt.
3. Feta.</t>
        </is>
      </c>
      <c r="AC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0% of this dish's available carbohydrate comes from ingredients with a published, measured GI; the rest uses conventional placeholders (see Ingredients sheet)</t>
        </is>
      </c>
      <c r="Z778" s="2" t="n">
        <v>0</v>
      </c>
      <c r="AA778" s="3" t="inlineStr">
        <is>
          <t>vegan, gluten-free, dairy-free, low-carb, high-fiber, no-cook</t>
        </is>
      </c>
      <c r="AB778" s="3" t="inlineStr">
        <is>
          <t>1. Blend avocado, cocoa, almond milk, sweetener, vanilla, salt until silky.
2. Chill 1 hour.
3. Top raspberries.</t>
        </is>
      </c>
      <c r="AC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37% of this dish's available carbohydrate comes from ingredients with a published, measured GI; the rest uses conventional placeholders (see Ingredients sheet)</t>
        </is>
      </c>
      <c r="Z779" s="2" t="n">
        <v>37</v>
      </c>
      <c r="AA779" s="3" t="inlineStr">
        <is>
          <t>vegetarian, gluten-free, low-carb, high-fiber</t>
        </is>
      </c>
      <c r="AB779" s="3" t="inlineStr">
        <is>
          <t>1. Simmer berries 5 minutes; mash; stir in chia and sweetener; cool 15 minutes.
2. Layer yogurt with vanilla and chia jam in glasses.
3. Almonds.</t>
        </is>
      </c>
      <c r="AC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23% of this dish's available carbohydrate comes from ingredients with a published, measured GI; the rest uses conventional placeholders (see Ingredients sheet)</t>
        </is>
      </c>
      <c r="Z780" s="2" t="n">
        <v>23</v>
      </c>
      <c r="AA780" s="3" t="inlineStr">
        <is>
          <t>vegetarian, gluten-free, low-carb, make-ahead</t>
        </is>
      </c>
      <c r="AB780" s="3" t="inlineStr">
        <is>
          <t>1. Cream butter and sweetener; beat in egg and vanilla.
2. Stir in almond flour, baking soda, salt, chocolate chips.
3. Scoop 12 cookies; bake at 350°F 10–12 minutes; cool.</t>
        </is>
      </c>
      <c r="AC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95% of this dish's available carbohydrate comes from ingredients with a published, measured GI; the rest uses conventional placeholders (see Ingredients sheet)</t>
        </is>
      </c>
      <c r="Z781" s="2" t="n">
        <v>95</v>
      </c>
      <c r="AA781" s="3" t="inlineStr">
        <is>
          <t>vegetarian, gluten-free</t>
        </is>
      </c>
      <c r="AB781" s="3" t="inlineStr">
        <is>
          <t>1. Core apples; fill with walnuts, cinnamon, sweetener, butter.
2. Bake at 375°F 30 minutes.
3. Serve with yogurt.</t>
        </is>
      </c>
      <c r="AC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13% of this dish's available carbohydrate comes from ingredients with a published, measured GI; the rest uses conventional placeholders (see Ingredients sheet)</t>
        </is>
      </c>
      <c r="Z782" s="2" t="n">
        <v>13</v>
      </c>
      <c r="AA782" s="3" t="inlineStr">
        <is>
          <t>vegetarian, gluten-free, low-carb, make-ahead</t>
        </is>
      </c>
      <c r="AB782" s="3" t="inlineStr">
        <is>
          <t>1. Melt coconut oil; mix with peanut butter, protein, cocoa, sweetener, vanilla, salt.
2. Press into a lined loaf pan.
3. Freeze 1 hour; cut into 10 squares; keep frozen.</t>
        </is>
      </c>
      <c r="AC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25</v>
      </c>
      <c r="U783" s="2" t="inlineStr">
        <is>
          <t>low</t>
        </is>
      </c>
      <c r="V783" s="5" t="n">
        <v>2.1</v>
      </c>
      <c r="W783" s="2" t="inlineStr">
        <is>
          <t>low</t>
        </is>
      </c>
      <c r="X783" s="3" t="inlineStr"/>
      <c r="Y783" s="3" t="inlineStr">
        <is>
          <t>52% of this dish's available carbohydrate comes from ingredients with a published, measured GI; the rest uses conventional placeholders (see Ingredients sheet)</t>
        </is>
      </c>
      <c r="Z783" s="2" t="n">
        <v>52</v>
      </c>
      <c r="AA783" s="3" t="inlineStr">
        <is>
          <t>vegetarian, gluten-free, low-carb, no-cook, quick</t>
        </is>
      </c>
      <c r="AB783" s="3" t="inlineStr">
        <is>
          <t>1. Whip ricotta with sweetener, vanilla, lemon zest.
2. Layer with sliced strawberries.
3. Pistachios and shaved dark chocolate.</t>
        </is>
      </c>
      <c r="AC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0% of this dish's available carbohydrate comes from ingredients with a published, measured GI; the rest uses conventional placeholders (see Ingredients sheet)</t>
        </is>
      </c>
      <c r="Z784" s="2" t="n">
        <v>0</v>
      </c>
      <c r="AA784" s="3" t="inlineStr">
        <is>
          <t>vegan, gluten-free, dairy-free, low-carb, high-fiber, make-ahead</t>
        </is>
      </c>
      <c r="AB784" s="3" t="inlineStr">
        <is>
          <t>1. Whisk cocoa, sweetener, vanilla into almond milk; stir in chia.
2. Refrigerate 4+ hours, stirring once.
3. Raspberries.</t>
        </is>
      </c>
      <c r="AC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78% of this dish's available carbohydrate comes from ingredients with a published, measured GI; the rest uses conventional placeholders (see Ingredients sheet)</t>
        </is>
      </c>
      <c r="Z785" s="2" t="n">
        <v>78</v>
      </c>
      <c r="AA785" s="3" t="inlineStr">
        <is>
          <t>vegetarian, gluten-free, nut-free, low-carb, make-ahead</t>
        </is>
      </c>
      <c r="AB785" s="3" t="inlineStr">
        <is>
          <t>1. Beat cream cheese, yogurt, eggs, sweetener, vanilla, zest until smooth.
2. Divide into 6 ramekins; bake in a water bath at 325°F 22–25 minutes.
3. Chill 3 hours; blueberries.</t>
        </is>
      </c>
      <c r="AC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51% of this dish's available carbohydrate comes from ingredients with a published, measured GI; the rest uses conventional placeholders (see Ingredients sheet)</t>
        </is>
      </c>
      <c r="Z786" s="2" t="n">
        <v>51</v>
      </c>
      <c r="AA786" s="3" t="inlineStr">
        <is>
          <t>vegetarian, gluten-free, nut-free, low-carb, make-ahead</t>
        </is>
      </c>
      <c r="AB786" s="3" t="inlineStr">
        <is>
          <t>1. Mix yogurt, vanilla, sweetener.
2. Fold in berries; spoon into mini muffin liners; coconut.
3. Freeze 3 hours.</t>
        </is>
      </c>
      <c r="AC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97% of this dish's available carbohydrate comes from ingredients with a published, measured GI; the rest uses conventional placeholders (see Ingredients sheet)</t>
        </is>
      </c>
      <c r="Z787" s="2" t="n">
        <v>97</v>
      </c>
      <c r="AA787" s="3" t="inlineStr">
        <is>
          <t>vegan, gluten-free, dairy-free, low-carb, quick</t>
        </is>
      </c>
      <c r="AB787" s="3" t="inlineStr">
        <is>
          <t>1. Melt chocolate with coconut oil.
2. Dip strawberries; sprinkle almonds.
3. Set on parchment; chill 20 minutes.</t>
        </is>
      </c>
      <c r="AC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36</v>
      </c>
      <c r="U788" s="2" t="inlineStr">
        <is>
          <t>low</t>
        </is>
      </c>
      <c r="V788" s="5" t="n">
        <v>3.2</v>
      </c>
      <c r="W788" s="2" t="inlineStr">
        <is>
          <t>low</t>
        </is>
      </c>
      <c r="X788" s="3" t="inlineStr"/>
      <c r="Y788" s="3" t="inlineStr">
        <is>
          <t>63% of this dish's available carbohydrate comes from ingredients with a published, measured GI; the rest uses conventional placeholders (see Ingredients sheet)</t>
        </is>
      </c>
      <c r="Z788" s="2" t="n">
        <v>63</v>
      </c>
      <c r="AA788" s="3" t="inlineStr">
        <is>
          <t>vegetarian, gluten-free, low-carb, high-protein, quick</t>
        </is>
      </c>
      <c r="AB788" s="3" t="inlineStr">
        <is>
          <t>1. Mix pumpkin, egg, protein, almond flour, spice, baking powder, sweetener in a mug.
2. Microwave 90 seconds–2 minutes.
3. Top with yogurt.</t>
        </is>
      </c>
      <c r="AC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24% of this dish's available carbohydrate comes from ingredients with a published, measured GI; the rest uses conventional placeholders (see Ingredients sheet)</t>
        </is>
      </c>
      <c r="Z789" s="2" t="n">
        <v>24</v>
      </c>
      <c r="AA789" s="3" t="inlineStr">
        <is>
          <t>vegetarian, gluten-free, dairy-free, nut-free, low-carb, make-ahead</t>
        </is>
      </c>
      <c r="AB789" s="3" t="inlineStr">
        <is>
          <t>1. Whisk egg whites with sweetener, vanilla, salt until foamy; fold in coconut.
2. Scoop 12 mounds; bake at 325°F 16–18 minutes until golden.
3. Drizzle melted chocolate.</t>
        </is>
      </c>
      <c r="AC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40% of this dish's available carbohydrate comes from ingredients with a published, measured GI; the rest uses conventional placeholders (see Ingredients sheet)</t>
        </is>
      </c>
      <c r="Z790" s="2" t="n">
        <v>40</v>
      </c>
      <c r="AA790" s="3" t="inlineStr">
        <is>
          <t>vegetarian, gluten-free, low-carb, make-ahead</t>
        </is>
      </c>
      <c r="AB790" s="3" t="inlineStr">
        <is>
          <t>1. Beat eggs, melted butter, yogurt, sweetener, lemon, vanilla.
2. Stir in almond flour, baking powder, salt; fold blueberries.
3. Bake in an 8-inch pan at 350°F 32–35 minutes; cool.</t>
        </is>
      </c>
      <c r="AC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83% of this dish's available carbohydrate comes from ingredients with a published, measured GI; the rest uses conventional placeholders (see Ingredients sheet)</t>
        </is>
      </c>
      <c r="Z791" s="2" t="n">
        <v>83</v>
      </c>
      <c r="AA791" s="3" t="inlineStr">
        <is>
          <t>vegetarian, gluten-free, no-cook, quick</t>
        </is>
      </c>
      <c r="AB791" s="3" t="inlineStr">
        <is>
          <t>1. Blend frozen banana, yogurt, cocoa, peanut butter, almond milk, stevia until creamy.
2. Serve immediately, or freeze 30 minutes for firmer texture.</t>
        </is>
      </c>
      <c r="AC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26</v>
      </c>
      <c r="U792" s="2" t="inlineStr">
        <is>
          <t>low</t>
        </is>
      </c>
      <c r="V792" s="5" t="n">
        <v>4.5</v>
      </c>
      <c r="W792" s="2" t="inlineStr">
        <is>
          <t>low</t>
        </is>
      </c>
      <c r="X792" s="3" t="inlineStr"/>
      <c r="Y792" s="3" t="inlineStr">
        <is>
          <t>85% of this dish's available carbohydrate comes from ingredients with a published, measured GI; the rest uses conventional placeholders (see Ingredients sheet)</t>
        </is>
      </c>
      <c r="Z792" s="2" t="n">
        <v>85</v>
      </c>
      <c r="AA792" s="3" t="inlineStr">
        <is>
          <t>vegetarian, gluten-free</t>
        </is>
      </c>
      <c r="AB792" s="3" t="inlineStr">
        <is>
          <t>1. Halve and core pears; brush with butter, cinnamon; bake at 375°F 25 minutes.
2. Whisk ricotta with vanilla and sweetener.
3. Top pears with ricotta and walnuts.</t>
        </is>
      </c>
      <c r="AC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86% of this dish's available carbohydrate comes from ingredients with a published, measured GI; the rest uses conventional placeholders (see Ingredients sheet)</t>
        </is>
      </c>
      <c r="Z793" s="2" t="n">
        <v>86</v>
      </c>
      <c r="AA793" s="3" t="inlineStr">
        <is>
          <t>vegan, dairy-free, low-carb, make-ahead, no-cook</t>
        </is>
      </c>
      <c r="AB793" s="3" t="inlineStr">
        <is>
          <t>1. Mix oats, almond butter, flax, sweetener, vanilla, salt, almond milk; fold in chips.
2. Press firmly into a lined 8x8 pan.
3. Chill 2 hours; cut into 10 bars.</t>
        </is>
      </c>
      <c r="AC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52% of this dish's available carbohydrate comes from ingredients with a published, measured GI; the rest uses conventional placeholders (see Ingredients sheet)</t>
        </is>
      </c>
      <c r="Z794" s="2" t="n">
        <v>52</v>
      </c>
      <c r="AA794" s="3" t="inlineStr">
        <is>
          <t>vegan, gluten-free, dairy-free, low-carb, make-ahead</t>
        </is>
      </c>
      <c r="AB794" s="3" t="inlineStr">
        <is>
          <t>1. Whisk matcha, sweetener, vanilla into almond milk; stir chia.
2. Refrigerate 4 hours.
3. Strawberries.</t>
        </is>
      </c>
      <c r="AC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0% of this dish's available carbohydrate comes from ingredients with a published, measured GI; the rest uses conventional placeholders (see Ingredients sheet)</t>
        </is>
      </c>
      <c r="Z795" s="2" t="n">
        <v>0</v>
      </c>
      <c r="AA795" s="3" t="inlineStr">
        <is>
          <t>vegetarian, gluten-free, dairy-free, low-carb, quick</t>
        </is>
      </c>
      <c r="AB795" s="3" t="inlineStr">
        <is>
          <t>1. Mix peanut butter, egg, sweetener, vanilla.
2. Roll 12 balls; press with a fork.
3. Bake at 350°F 10–12 minutes; cool fully.</t>
        </is>
      </c>
      <c r="AC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43% of this dish's available carbohydrate comes from ingredients with a published, measured GI; the rest uses conventional placeholders (see Ingredients sheet)</t>
        </is>
      </c>
      <c r="Z796" s="2" t="n">
        <v>43</v>
      </c>
      <c r="AA796" s="3" t="inlineStr">
        <is>
          <t>vegetarian, low-carb, high-fiber</t>
        </is>
      </c>
      <c r="AB796" s="3" t="inlineStr">
        <is>
          <t>1. Toss raspberries with chia and half the sweetener; divide into ramekins.
2. Rub almond flour, oats, butter, cinnamon, remaining sweetener into crumbs; top.
3. Bake at 375°F 18–20 minutes.</t>
        </is>
      </c>
      <c r="AC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78% of this dish's available carbohydrate comes from ingredients with a published, measured GI; the rest uses conventional placeholders (see Ingredients sheet)</t>
        </is>
      </c>
      <c r="Z797" s="2" t="n">
        <v>78</v>
      </c>
      <c r="AA797" s="3" t="inlineStr">
        <is>
          <t>vegetarian, gluten-free, nut-free, low-carb, make-ahead</t>
        </is>
      </c>
      <c r="AB797" s="3" t="inlineStr">
        <is>
          <t>1. Bloom gelatin in espresso; warm cream with sweetener; dissolve gelatin.
2. Whisk into yogurt and vanilla; pour into 4 cups.
3. Chill 4 hours; shave chocolate.</t>
        </is>
      </c>
      <c r="AC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23% of this dish's available carbohydrate comes from ingredients with a published, measured GI; the rest uses conventional placeholders (see Ingredients sheet)</t>
        </is>
      </c>
      <c r="Z798" s="2" t="n">
        <v>23</v>
      </c>
      <c r="AA798" s="3" t="inlineStr">
        <is>
          <t>vegetarian, gluten-free, low-carb, no-cook</t>
        </is>
      </c>
      <c r="AB798" s="3" t="inlineStr">
        <is>
          <t>1. Blend cottage cheese, cocoa, sweetener, vanilla, almond milk until silky.
2. Chill 30 minutes.
3. Strawberries.</t>
        </is>
      </c>
      <c r="AC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96% of this dish's available carbohydrate comes from ingredients with a published, measured GI; the rest uses conventional placeholders (see Ingredients sheet)</t>
        </is>
      </c>
      <c r="Z799" s="2" t="n">
        <v>96</v>
      </c>
      <c r="AA799" s="3" t="inlineStr">
        <is>
          <t>vegetarian, gluten-free, quick</t>
        </is>
      </c>
      <c r="AB799" s="3" t="inlineStr">
        <is>
          <t>1. Sauté diced apple in butter with cinnamon 4 minutes.
2. Stir vanilla into yogurt.
3. Top with apple and pecans.</t>
        </is>
      </c>
      <c r="AC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14% of this dish's available carbohydrate comes from ingredients with a published, measured GI; the rest uses conventional placeholders (see Ingredients sheet)</t>
        </is>
      </c>
      <c r="Z800" s="2" t="n">
        <v>14</v>
      </c>
      <c r="AA800" s="3" t="inlineStr">
        <is>
          <t>vegetarian, gluten-free, low-carb, make-ahead</t>
        </is>
      </c>
      <c r="AB800" s="3" t="inlineStr">
        <is>
          <t>1. Melt butter; whisk with sweetener, eggs, vanilla.
2. Stir in cocoa, almond flour, baking powder, salt, chips.
3. Bake in an 8x8 pan at 350°F 20–22 minutes; cool fully.</t>
        </is>
      </c>
      <c r="AC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48</v>
      </c>
      <c r="U801" s="2" t="inlineStr">
        <is>
          <t>low</t>
        </is>
      </c>
      <c r="V801" s="5" t="n">
        <v>6.1</v>
      </c>
      <c r="W801" s="2" t="inlineStr">
        <is>
          <t>low</t>
        </is>
      </c>
      <c r="X801" s="3" t="inlineStr"/>
      <c r="Y801" s="3" t="inlineStr">
        <is>
          <t>99% of this dish's available carbohydrate comes from ingredients with a published, measured GI; the rest uses conventional placeholders (see Ingredients sheet)</t>
        </is>
      </c>
      <c r="Z801" s="2" t="n">
        <v>99</v>
      </c>
      <c r="AA801" s="3" t="inlineStr">
        <is>
          <t>vegetarian, gluten-free, low-carb, quick</t>
        </is>
      </c>
      <c r="AB801" s="3" t="inlineStr">
        <is>
          <t>1. Brush peach halves with oil; grill 3–4 minutes per side.
2. Top with yogurt.
3. Pistachios, cinnamon, mint.</t>
        </is>
      </c>
      <c r="AC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82% of this dish's available carbohydrate comes from ingredients with a published, measured GI; the rest uses conventional placeholders (see Ingredients sheet)</t>
        </is>
      </c>
      <c r="Z802" s="2" t="n">
        <v>82</v>
      </c>
      <c r="AA802" s="3" t="inlineStr">
        <is>
          <t>vegetarian, gluten-free, low-carb, make-ahead</t>
        </is>
      </c>
      <c r="AB802" s="3" t="inlineStr">
        <is>
          <t>1. Blend all ingredients until smooth.
2. Freeze in a container 6 hours; process in an ice cream maker or blend briefly with a splash of milk.
3. Serve.</t>
        </is>
      </c>
      <c r="AC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28% of this dish's available carbohydrate comes from ingredients with a published, measured GI; the rest uses conventional placeholders (see Ingredients sheet)</t>
        </is>
      </c>
      <c r="Z803" s="2" t="n">
        <v>28</v>
      </c>
      <c r="AA803" s="3" t="inlineStr">
        <is>
          <t>vegetarian, gluten-free, nut-free, low-carb, no-cook, quick</t>
        </is>
      </c>
      <c r="AB803" s="3" t="inlineStr">
        <is>
          <t>1. Blend frozen blackberries, yogurt, lime juice and zest, sweetener.
2. Serve immediately as soft-serve or freeze 1 hour.</t>
        </is>
      </c>
      <c r="AC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13% of this dish's available carbohydrate comes from ingredients with a published, measured GI; the rest uses conventional placeholders (see Ingredients sheet)</t>
        </is>
      </c>
      <c r="Z804" s="2" t="n">
        <v>13</v>
      </c>
      <c r="AA804" s="3" t="inlineStr">
        <is>
          <t>vegetarian, gluten-free, low-carb, make-ahead</t>
        </is>
      </c>
      <c r="AB804" s="3" t="inlineStr">
        <is>
          <t>1. Whisk eggs, yogurt, melted butter, sweetener, vanilla.
2. Stir in almond flour, cinnamon, baking powder; fold walnuts.
3. Bake in 10 lined cups at 350°F 18–20 minutes.</t>
        </is>
      </c>
      <c r="AC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23</v>
      </c>
      <c r="U805" s="2" t="inlineStr">
        <is>
          <t>low</t>
        </is>
      </c>
      <c r="V805" s="5" t="n">
        <v>1.6</v>
      </c>
      <c r="W805" s="2" t="inlineStr">
        <is>
          <t>low</t>
        </is>
      </c>
      <c r="X805" s="3" t="inlineStr"/>
      <c r="Y805" s="3" t="inlineStr">
        <is>
          <t>93% of this dish's available carbohydrate comes from ingredients with a published, measured GI; the rest uses conventional placeholders (see Ingredients sheet)</t>
        </is>
      </c>
      <c r="Z805" s="2" t="n">
        <v>93</v>
      </c>
      <c r="AA805" s="3" t="inlineStr">
        <is>
          <t>vegetarian, gluten-free, low-carb, make-ahead</t>
        </is>
      </c>
      <c r="AB805" s="3" t="inlineStr">
        <is>
          <t>1. Blend cherries with half the yogurt.
2. Layer with remaining yogurt mixed with almond milk, sweetener, vanilla in molds; add chopped almonds.
3. Freeze 6 hours.</t>
        </is>
      </c>
      <c r="AC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52% of this dish's available carbohydrate comes from ingredients with a published, measured GI; the rest uses conventional placeholders (see Ingredients sheet)</t>
        </is>
      </c>
      <c r="Z806" s="2" t="n">
        <v>52</v>
      </c>
      <c r="AA806" s="3" t="inlineStr">
        <is>
          <t>vegan, gluten-free, dairy-free, low-carb, make-ahead</t>
        </is>
      </c>
      <c r="AB806" s="3" t="inlineStr">
        <is>
          <t>1. Roast hazelnuts at 350°F 10 minutes; rub off skins.
2. Blend to butter; add cocoa, sweetener, coconut oil, vanilla, salt.
3. Serve 2 tbsp per person with strawberries.</t>
        </is>
      </c>
      <c r="AC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42% of this dish's available carbohydrate comes from ingredients with a published, measured GI; the rest uses conventional placeholders (see Ingredients sheet)</t>
        </is>
      </c>
      <c r="Z807" s="2" t="n">
        <v>42</v>
      </c>
      <c r="AA807" s="3" t="inlineStr">
        <is>
          <t>vegetarian, gluten-free, low-carb, make-ahead</t>
        </is>
      </c>
      <c r="AB807" s="3" t="inlineStr">
        <is>
          <t>1. Mix almond flour, eggs, half the sweetener, baking powder; bake thin at 350°F 12 minutes; cube.
2. Whip yogurt, cream cheese, remaining sweetener, vanilla.
3. Layer cake soaked in espresso with cream in cups; dust cocoa; chill 2 hours.</t>
        </is>
      </c>
      <c r="AC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97% of this dish's available carbohydrate comes from ingredients with a published, measured GI; the rest uses conventional placeholders (see Ingredients sheet)</t>
        </is>
      </c>
      <c r="Z808" s="2" t="n">
        <v>97</v>
      </c>
      <c r="AA808" s="3" t="inlineStr">
        <is>
          <t>vegetarian, gluten-free, nut-free, low-carb, no-cook, quick</t>
        </is>
      </c>
      <c r="AB808" s="3" t="inlineStr">
        <is>
          <t>1. Dice fruit.
2. Toss with lime juice and mint.
3. Serve with a spoonful of yogurt.</t>
        </is>
      </c>
      <c r="AC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69% of this dish's available carbohydrate comes from ingredients with a published, measured GI; the rest uses conventional placeholders (see Ingredients sheet)</t>
        </is>
      </c>
      <c r="Z809" s="2" t="n">
        <v>69</v>
      </c>
      <c r="AA809" s="3" t="inlineStr">
        <is>
          <t>vegetarian, gluten-free, nut-free, low-carb, make-ahead</t>
        </is>
      </c>
      <c r="AB809" s="3" t="inlineStr">
        <is>
          <t>1. Melt chocolate and butter; whisk in sweetener, eggs, cocoa, vanilla, salt.
2. Bake in a lined 8-inch pan at 350°F 25–30 minutes.
3. Cool; serve thin slices with raspberries.</t>
        </is>
      </c>
      <c r="AC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42</v>
      </c>
      <c r="U810" s="2" t="inlineStr">
        <is>
          <t>low</t>
        </is>
      </c>
      <c r="V810" s="5" t="n">
        <v>2</v>
      </c>
      <c r="W810" s="2" t="inlineStr">
        <is>
          <t>low</t>
        </is>
      </c>
      <c r="X810" s="3" t="inlineStr">
        <is>
          <t>Negligible carbohydrate (&lt;5 g net/serving): GI has little practical meaning, glycemic load is what matters.</t>
        </is>
      </c>
      <c r="Y810" s="3" t="inlineStr">
        <is>
          <t>43% of this dish's available carbohydrate comes from ingredients with a published, measured GI; the rest uses conventional placeholders (see Ingredients sheet)</t>
        </is>
      </c>
      <c r="Z810" s="2" t="n">
        <v>43</v>
      </c>
      <c r="AA810" s="3" t="inlineStr">
        <is>
          <t>vegan, gluten-free, dairy-free, low-carb, high-fiber, make-ahead</t>
        </is>
      </c>
      <c r="AB810" s="3" t="inlineStr">
        <is>
          <t>1. Whisk pumpkin, spice, sweetener, vanilla into almond milk; stir chia.
2. Refrigerate 4 hours.
3. Pecans.</t>
        </is>
      </c>
      <c r="AC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70% of this dish's available carbohydrate comes from ingredients with a published, measured GI; the rest uses conventional placeholders (see Ingredients sheet)</t>
        </is>
      </c>
      <c r="Z811" s="2" t="n">
        <v>70</v>
      </c>
      <c r="AA811" s="3" t="inlineStr">
        <is>
          <t>vegetarian, gluten-free, low-carb, quick</t>
        </is>
      </c>
      <c r="AB811" s="3" t="inlineStr">
        <is>
          <t>1. Toast coconut in a dry pan 2 minutes.
2. Mix yogurt with lime zest and juice, sweetener, vanilla.
3. Top coconut, macadamia.</t>
        </is>
      </c>
      <c r="AC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86% of this dish's available carbohydrate comes from ingredients with a published, measured GI; the rest uses conventional placeholders (see Ingredients sheet)</t>
        </is>
      </c>
      <c r="Z812" s="2" t="n">
        <v>86</v>
      </c>
      <c r="AA812" s="3" t="inlineStr">
        <is>
          <t>vegetarian, low-carb, make-ahead</t>
        </is>
      </c>
      <c r="AB812" s="3" t="inlineStr">
        <is>
          <t>1. Cream butter and sweetener; add egg, vanilla.
2. Stir in oats, almond flour, cinnamon, baking soda, salt, walnuts.
3. Bake 12 cookies at 350°F 12–13 minutes.</t>
        </is>
      </c>
      <c r="AC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45% of this dish's available carbohydrate comes from ingredients with a published, measured GI; the rest uses conventional placeholders (see Ingredients sheet)</t>
        </is>
      </c>
      <c r="Z813" s="2" t="n">
        <v>45</v>
      </c>
      <c r="AA813" s="3" t="inlineStr">
        <is>
          <t>vegetarian, gluten-free, nut-free, low-carb, no-cook</t>
        </is>
      </c>
      <c r="AB813" s="3" t="inlineStr">
        <is>
          <t>1. Blend cottage cheese, cream cheese, protein, sweetener, vanilla until fluffy.
2. Fold in diced strawberries.
3. Chill 20 minutes.</t>
        </is>
      </c>
      <c r="AC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60% of this dish's available carbohydrate comes from ingredients with a published, measured GI; the rest uses conventional placeholders (see Ingredients sheet)</t>
        </is>
      </c>
      <c r="Z814" s="2" t="n">
        <v>60</v>
      </c>
      <c r="AA814" s="3" t="inlineStr">
        <is>
          <t>vegan, gluten-free, dairy-free, low-carb, make-ahead</t>
        </is>
      </c>
      <c r="AB814" s="3" t="inlineStr">
        <is>
          <t>1. Melt chocolate; stir in almonds.
2. Spoon 8 clusters on parchment; sprinkle coconut and salt.
3. Chill 20 minutes.</t>
        </is>
      </c>
      <c r="AC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35% of this dish's available carbohydrate comes from ingredients with a published, measured GI; the rest uses conventional placeholders (see Ingredients sheet)</t>
        </is>
      </c>
      <c r="Z815" s="2" t="n">
        <v>35</v>
      </c>
      <c r="AA815" s="3" t="inlineStr">
        <is>
          <t>vegetarian, gluten-free, nut-free, low-carb, no-cook</t>
        </is>
      </c>
      <c r="AB815" s="3" t="inlineStr">
        <is>
          <t>1. Whip cream to soft peaks.
2. Whisk ricotta with lemon, sweetener, vanilla; fold in cream.
3. Chill 1 hour; blueberries.</t>
        </is>
      </c>
      <c r="AC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26</v>
      </c>
      <c r="U816" s="2" t="inlineStr">
        <is>
          <t>low</t>
        </is>
      </c>
      <c r="V816" s="5" t="n">
        <v>4</v>
      </c>
      <c r="W816" s="2" t="inlineStr">
        <is>
          <t>low</t>
        </is>
      </c>
      <c r="X816" s="3" t="inlineStr"/>
      <c r="Y816" s="3" t="inlineStr">
        <is>
          <t>95% of this dish's available carbohydrate comes from ingredients with a published, measured GI; the rest uses conventional placeholders (see Ingredients sheet)</t>
        </is>
      </c>
      <c r="Z816" s="2" t="n">
        <v>95</v>
      </c>
      <c r="AA816" s="3" t="inlineStr">
        <is>
          <t>vegetarian, gluten-free</t>
        </is>
      </c>
      <c r="AB816" s="3" t="inlineStr">
        <is>
          <t>1. Slice pears; toss with coconut oil and cinnamon.
2. Roast at 400°F 18–20 minutes.
3. Serve with yogurt and walnuts.</t>
        </is>
      </c>
      <c r="AC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79% of this dish's available carbohydrate comes from ingredients with a published, measured GI; the rest uses conventional placeholders (see Ingredients sheet)</t>
        </is>
      </c>
      <c r="Z817" s="2" t="n">
        <v>79</v>
      </c>
      <c r="AA817" s="3" t="inlineStr">
        <is>
          <t>vegetarian, gluten-free, low-carb, no-cook, quick</t>
        </is>
      </c>
      <c r="AB817" s="3" t="inlineStr">
        <is>
          <t>1. Whisk yogurt, protein, cocoa, sweetener, almond milk until smooth.
2. Chill 20 minutes.
3. Chocolate chips.</t>
        </is>
      </c>
      <c r="AC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44% of this dish's available carbohydrate comes from ingredients with a published, measured GI; the rest uses conventional placeholders (see Ingredients sheet)</t>
        </is>
      </c>
      <c r="Z818" s="2" t="n">
        <v>44</v>
      </c>
      <c r="AA818" s="3" t="inlineStr">
        <is>
          <t>vegan, gluten-free, dairy-free, low-carb, make-ahead</t>
        </is>
      </c>
      <c r="AB818" s="3" t="inlineStr">
        <is>
          <t>1. Mix coconut, melted coconut oil, sweetener, vanilla; press into 12 mini cups; top each with an almond.
2. Freeze 20 minutes.
3. Drizzle melted chocolate; keep frozen.</t>
        </is>
      </c>
      <c r="AC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91% of this dish's available carbohydrate comes from ingredients with a published, measured GI; the rest uses conventional placeholders (see Ingredients sheet)</t>
        </is>
      </c>
      <c r="Z819" s="2" t="n">
        <v>91</v>
      </c>
      <c r="AA819" s="3" t="inlineStr">
        <is>
          <t>vegetarian, gluten-free, nut-free, low-carb, make-ahead</t>
        </is>
      </c>
      <c r="AB819" s="3" t="inlineStr">
        <is>
          <t>1. Whisk eggs, warm milk, sweetener, vanilla.
2. Pour into 4 ramekins; nutmeg; bake in a water bath at 325°F 35–40 minutes.
3. Chill.</t>
        </is>
      </c>
      <c r="AC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87% of this dish's available carbohydrate comes from ingredients with a published, measured GI; the rest uses conventional placeholders (see Ingredients sheet)</t>
        </is>
      </c>
      <c r="Z820" s="2" t="n">
        <v>87</v>
      </c>
      <c r="AA820" s="3" t="inlineStr">
        <is>
          <t>vegan, gluten-free, dairy-free, low-carb, make-ahead</t>
        </is>
      </c>
      <c r="AB820" s="3" t="inlineStr">
        <is>
          <t>1. Slice banana; sandwich peanut butter between slices.
2. Freeze 1 hour; dip halfway in melted chocolate.
3. Freeze 20 minutes.</t>
        </is>
      </c>
      <c r="AC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77% of this dish's available carbohydrate comes from ingredients with a published, measured GI; the rest uses conventional placeholders (see Ingredients sheet)</t>
        </is>
      </c>
      <c r="Z821" s="2" t="n">
        <v>77</v>
      </c>
      <c r="AA821" s="3" t="inlineStr">
        <is>
          <t>vegan, gluten-free, dairy-free, low-carb, make-ahead</t>
        </is>
      </c>
      <c r="AB821" s="3" t="inlineStr">
        <is>
          <t>1. Whisk almond milk, vanilla, sweetener; stir chia.
2. Refrigerate 4 hours.
3. Kiwi.</t>
        </is>
      </c>
      <c r="AC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0% of this dish's available carbohydrate comes from ingredients with a published, measured GI; the rest uses conventional placeholders (see Ingredients sheet)</t>
        </is>
      </c>
      <c r="Z822" s="2" t="n">
        <v>0</v>
      </c>
      <c r="AA822" s="3" t="inlineStr">
        <is>
          <t>vegan, gluten-free, dairy-free, nut-free, low-carb, quick</t>
        </is>
      </c>
      <c r="AB822" s="3" t="inlineStr">
        <is>
          <t>1. Brew green tea; cool.
2. Add mint, lemon slices, stevia.
3. Serve over ice.</t>
        </is>
      </c>
      <c r="AC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0% of this dish's available carbohydrate comes from ingredients with a published, measured GI; the rest uses conventional placeholders (see Ingredients sheet)</t>
        </is>
      </c>
      <c r="Z823" s="2" t="n">
        <v>0</v>
      </c>
      <c r="AA823" s="3" t="inlineStr">
        <is>
          <t>vegan, gluten-free, dairy-free, nut-free, low-carb, quick, no-cook</t>
        </is>
      </c>
      <c r="AB823" s="3" t="inlineStr">
        <is>
          <t>1. Slice cucumber and lime.
2. Add to glasses with mint.
3. Top sparkling water.</t>
        </is>
      </c>
      <c r="AC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0% of this dish's available carbohydrate comes from ingredients with a published, measured GI; the rest uses conventional placeholders (see Ingredients sheet)</t>
        </is>
      </c>
      <c r="Z824" s="2" t="n">
        <v>0</v>
      </c>
      <c r="AA824" s="3" t="inlineStr">
        <is>
          <t>vegan, gluten-free, dairy-free, low-carb, quick</t>
        </is>
      </c>
      <c r="AB824" s="3" t="inlineStr">
        <is>
          <t>1. Warm almond milk with turmeric, ginger, cinnamon, pepper, coconut oil.
2. Whisk until frothy.
3. Stevia.</t>
        </is>
      </c>
      <c r="AC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70% of this dish's available carbohydrate comes from ingredients with a published, measured GI; the rest uses conventional placeholders (see Ingredients sheet)</t>
        </is>
      </c>
      <c r="Z825" s="2" t="n">
        <v>70</v>
      </c>
      <c r="AA825" s="3" t="inlineStr">
        <is>
          <t>vegetarian, gluten-free, low-carb, quick</t>
        </is>
      </c>
      <c r="AB825" s="3" t="inlineStr">
        <is>
          <t>1. Shake protein with almond milk until smooth.
2. Pour over ice with coffee.
3. Cinnamon.</t>
        </is>
      </c>
      <c r="AC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37</v>
      </c>
      <c r="U826" s="2" t="inlineStr">
        <is>
          <t>low</t>
        </is>
      </c>
      <c r="V826" s="5" t="n">
        <v>6.5</v>
      </c>
      <c r="W826" s="2" t="inlineStr">
        <is>
          <t>low</t>
        </is>
      </c>
      <c r="X826" s="3" t="inlineStr"/>
      <c r="Y826" s="3" t="inlineStr">
        <is>
          <t>96% of this dish's available carbohydrate comes from ingredients with a published, measured GI; the rest uses conventional placeholders (see Ingredients sheet)</t>
        </is>
      </c>
      <c r="Z826" s="2" t="n">
        <v>96</v>
      </c>
      <c r="AA826" s="3" t="inlineStr">
        <is>
          <t>vegetarian, gluten-free, nut-free, probiotic, quick, no-cook</t>
        </is>
      </c>
      <c r="AB826" s="3" t="inlineStr">
        <is>
          <t>1. Blend everything until smooth.
2. Serve.</t>
        </is>
      </c>
      <c r="AC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0% of this dish's available carbohydrate comes from ingredients with a published, measured GI; the rest uses conventional placeholders (see Ingredients sheet)</t>
        </is>
      </c>
      <c r="Z827" s="2" t="n">
        <v>0</v>
      </c>
      <c r="AA827" s="3" t="inlineStr">
        <is>
          <t>vegan, gluten-free, dairy-free, nut-free, low-carb, quick, no-cook</t>
        </is>
      </c>
      <c r="AB827" s="3" t="inlineStr">
        <is>
          <t>1. Blend all ingredients until smooth.
2. Add ice; serve.</t>
        </is>
      </c>
      <c r="AC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29% of this dish's available carbohydrate comes from ingredients with a published, measured GI; the rest uses conventional placeholders (see Ingredients sheet)</t>
        </is>
      </c>
      <c r="Z828" s="2" t="n">
        <v>29</v>
      </c>
      <c r="AA828" s="3" t="inlineStr">
        <is>
          <t>vegetarian, gluten-free, low-carb, high-protein, quick</t>
        </is>
      </c>
      <c r="AB828" s="3" t="inlineStr">
        <is>
          <t>1. Blend until smooth.
2. Serve.</t>
        </is>
      </c>
      <c r="AC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87% of this dish's available carbohydrate comes from ingredients with a published, measured GI; the rest uses conventional placeholders (see Ingredients sheet)</t>
        </is>
      </c>
      <c r="Z829" s="2" t="n">
        <v>87</v>
      </c>
      <c r="AA829" s="3" t="inlineStr">
        <is>
          <t>vegetarian, gluten-free, high-fiber, quick, no-cook</t>
        </is>
      </c>
      <c r="AB829" s="3" t="inlineStr">
        <is>
          <t>1. Blend until creamy.
2. Serve.</t>
        </is>
      </c>
      <c r="AC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0% of this dish's available carbohydrate comes from ingredients with a published, measured GI; the rest uses conventional placeholders (see Ingredients sheet)</t>
        </is>
      </c>
      <c r="Z830" s="2" t="n">
        <v>0</v>
      </c>
      <c r="AA830" s="3" t="inlineStr">
        <is>
          <t>vegan, gluten-free, dairy-free, nut-free, low-carb, no-cook</t>
        </is>
      </c>
      <c r="AB830" s="3" t="inlineStr">
        <is>
          <t>1. Muddle raspberries; add lemon, water, sweetener.
2. Stir in chia; rest 10 minutes.
3. Serve over ice with mint.</t>
        </is>
      </c>
      <c r="AC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49% of this dish's available carbohydrate comes from ingredients with a published, measured GI; the rest uses conventional placeholders (see Ingredients sheet)</t>
        </is>
      </c>
      <c r="Z831" s="2" t="n">
        <v>49</v>
      </c>
      <c r="AA831" s="3" t="inlineStr">
        <is>
          <t>vegetarian, gluten-free, low-carb, high-protein, quick</t>
        </is>
      </c>
      <c r="AB831" s="3" t="inlineStr">
        <is>
          <t>1. Blend yogurt, milk, peanut butter, cocoa, protein, ice until thick.
2. Bowl; top hemp seeds and raspberries.</t>
        </is>
      </c>
      <c r="AC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0% of this dish's available carbohydrate comes from ingredients with a published, measured GI; the rest uses conventional placeholders (see Ingredients sheet)</t>
        </is>
      </c>
      <c r="Z832" s="2" t="n">
        <v>0</v>
      </c>
      <c r="AA832" s="3" t="inlineStr">
        <is>
          <t>vegan, gluten-free, dairy-free, nut-free, low-carb</t>
        </is>
      </c>
      <c r="AB832" s="3" t="inlineStr">
        <is>
          <t>1. Simmer water with ginger and turmeric 8 minutes.
2. Strain; add lemon, pepper, stevia.
3. Serve hot.</t>
        </is>
      </c>
      <c r="AC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0% of this dish's available carbohydrate comes from ingredients with a published, measured GI; the rest uses conventional placeholders (see Ingredients sheet)</t>
        </is>
      </c>
      <c r="Z833" s="2" t="n">
        <v>0</v>
      </c>
      <c r="AA833" s="3" t="inlineStr">
        <is>
          <t>vegan, gluten-free, dairy-free, low-carb, quick</t>
        </is>
      </c>
      <c r="AB833" s="3" t="inlineStr">
        <is>
          <t>1. Steam or warm almond milk with cinnamon and vanilla; froth.
2. Pour over espresso.
3. Stevia.</t>
        </is>
      </c>
      <c r="AC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29</v>
      </c>
      <c r="U834" s="2" t="inlineStr">
        <is>
          <t>low</t>
        </is>
      </c>
      <c r="V834" s="5" t="n">
        <v>5.2</v>
      </c>
      <c r="W834" s="2" t="inlineStr">
        <is>
          <t>low</t>
        </is>
      </c>
      <c r="X834" s="3" t="inlineStr"/>
      <c r="Y834" s="3" t="inlineStr">
        <is>
          <t>79% of this dish's available carbohydrate comes from ingredients with a published, measured GI; the rest uses conventional placeholders (see Ingredients sheet)</t>
        </is>
      </c>
      <c r="Z834" s="2" t="n">
        <v>79</v>
      </c>
      <c r="AA834" s="3" t="inlineStr">
        <is>
          <t>vegetarian, gluten-free, quick, no-cook</t>
        </is>
      </c>
      <c r="AB834" s="3" t="inlineStr">
        <is>
          <t>1. Blend all until smooth.
2. Serve over ice.</t>
        </is>
      </c>
      <c r="AC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28</v>
      </c>
      <c r="U835" s="2" t="inlineStr">
        <is>
          <t>low</t>
        </is>
      </c>
      <c r="V835" s="5" t="n">
        <v>4.3</v>
      </c>
      <c r="W835" s="2" t="inlineStr">
        <is>
          <t>low</t>
        </is>
      </c>
      <c r="X835" s="3" t="inlineStr"/>
      <c r="Y835" s="3" t="inlineStr">
        <is>
          <t>86% of this dish's available carbohydrate comes from ingredients with a published, measured GI; the rest uses conventional placeholders (see Ingredients sheet)</t>
        </is>
      </c>
      <c r="Z835" s="2" t="n">
        <v>86</v>
      </c>
      <c r="AA835" s="3" t="inlineStr">
        <is>
          <t>vegetarian, gluten-free, high-protein, quick</t>
        </is>
      </c>
      <c r="AB835" s="3" t="inlineStr">
        <is>
          <t>1. Blend until smooth.
2. Serve.</t>
        </is>
      </c>
      <c r="AC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60% of this dish's available carbohydrate comes from ingredients with a published, measured GI; the rest uses conventional placeholders (see Ingredients sheet)</t>
        </is>
      </c>
      <c r="Z836" s="2" t="n">
        <v>60</v>
      </c>
      <c r="AA836" s="3" t="inlineStr">
        <is>
          <t>vegan, gluten-free, dairy-free, nut-free, low-carb, no-cook</t>
        </is>
      </c>
      <c r="AB836" s="3" t="inlineStr">
        <is>
          <t>1. Blend cucumber, kiwi, lime, mint, water, stevia.
2. Strain if desired; serve over ice.</t>
        </is>
      </c>
      <c r="AC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0% of this dish's available carbohydrate comes from ingredients with a published, measured GI; the rest uses conventional placeholders (see Ingredients sheet)</t>
        </is>
      </c>
      <c r="Z837" s="2" t="n">
        <v>0</v>
      </c>
      <c r="AA837" s="3" t="inlineStr">
        <is>
          <t>vegan, gluten-free, dairy-free, low-carb, quick</t>
        </is>
      </c>
      <c r="AB837" s="3" t="inlineStr">
        <is>
          <t>1. Warm almond milk; whisk in cocoa, cinnamon, cayenne, vanilla, sweetener.
2. Froth; serve.</t>
        </is>
      </c>
      <c r="AC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36</v>
      </c>
      <c r="U838" s="2" t="inlineStr">
        <is>
          <t>low</t>
        </is>
      </c>
      <c r="V838" s="5" t="n">
        <v>6.2</v>
      </c>
      <c r="W838" s="2" t="inlineStr">
        <is>
          <t>low</t>
        </is>
      </c>
      <c r="X838" s="3" t="inlineStr"/>
      <c r="Y838" s="3" t="inlineStr">
        <is>
          <t>55% of this dish's available carbohydrate comes from ingredients with a published, measured GI; the rest uses conventional placeholders (see Ingredients sheet)</t>
        </is>
      </c>
      <c r="Z838" s="2" t="n">
        <v>55</v>
      </c>
      <c r="AA838" s="3" t="inlineStr">
        <is>
          <t>vegetarian, gluten-free, nut-free, high-protein, probiotic, quick</t>
        </is>
      </c>
      <c r="AB838" s="3" t="inlineStr">
        <is>
          <t>1. Blend until smooth.
2. Serve.</t>
        </is>
      </c>
      <c r="AC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0% of this dish's available carbohydrate comes from ingredients with a published, measured GI; the rest uses conventional placeholders (see Ingredients sheet)</t>
        </is>
      </c>
      <c r="Z839" s="2" t="n">
        <v>0</v>
      </c>
      <c r="AA839" s="3" t="inlineStr">
        <is>
          <t>vegan, gluten-free, dairy-free, low-carb, quick</t>
        </is>
      </c>
      <c r="AB839" s="3" t="inlineStr">
        <is>
          <t>1. Whisk matcha with hot water until frothy.
2. Pour over ice; add almond milk, stevia.
3. Stir.</t>
        </is>
      </c>
      <c r="AC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0% of this dish's available carbohydrate comes from ingredients with a published, measured GI; the rest uses conventional placeholders (see Ingredients sheet)</t>
        </is>
      </c>
      <c r="Z840" s="2" t="n">
        <v>0</v>
      </c>
      <c r="AA840" s="3" t="inlineStr">
        <is>
          <t>vegan, gluten-free, dairy-free, low-carb, high-fiber, quick</t>
        </is>
      </c>
      <c r="AB840" s="3" t="inlineStr">
        <is>
          <t>1. Blend until creamy.
2. Serve.</t>
        </is>
      </c>
      <c r="AC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0% of this dish's available carbohydrate comes from ingredients with a published, measured GI; the rest uses conventional placeholders (see Ingredients sheet)</t>
        </is>
      </c>
      <c r="Z841" s="2" t="n">
        <v>0</v>
      </c>
      <c r="AA841" s="3" t="inlineStr">
        <is>
          <t>vegan, gluten-free, dairy-free, nut-free, low-carb, high-protein, quick</t>
        </is>
      </c>
      <c r="AB841" s="3" t="inlineStr">
        <is>
          <t>1. Simmer broth with ginger and turmeric 5 minutes.
2. Strain; lemon, pepper.
3. Sip warm.</t>
        </is>
      </c>
      <c r="AC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88% of this dish's available carbohydrate comes from ingredients with a published, measured GI; the rest uses conventional placeholders (see Ingredients sheet)</t>
        </is>
      </c>
      <c r="Z842" s="2" t="n">
        <v>88</v>
      </c>
      <c r="AA842" s="3" t="inlineStr">
        <is>
          <t>vegetarian, gluten-free, quick, no-cook</t>
        </is>
      </c>
      <c r="AB842" s="3" t="inlineStr">
        <is>
          <t>1. Blend until smooth.
2. Serve over ice.</t>
        </is>
      </c>
      <c r="AC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100% of this dish's available carbohydrate comes from ingredients with a published, measured GI; the rest uses conventional placeholders (see Ingredients sheet)</t>
        </is>
      </c>
      <c r="Z843" s="2" t="n">
        <v>100</v>
      </c>
      <c r="AA843" s="3" t="inlineStr">
        <is>
          <t>vegan, gluten-free, dairy-free, low-carb, quick</t>
        </is>
      </c>
      <c r="AB843" s="3" t="inlineStr">
        <is>
          <t>1. Stir collagen into cold brew until dissolved.
2. Add almond milk, cinnamon, ice.</t>
        </is>
      </c>
      <c r="AC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81% of this dish's available carbohydrate comes from ingredients with a published, measured GI; the rest uses conventional placeholders (see Ingredients sheet)</t>
        </is>
      </c>
      <c r="Z844" s="2" t="n">
        <v>81</v>
      </c>
      <c r="AA844" s="3" t="inlineStr">
        <is>
          <t>vegan, gluten-free, dairy-free, nut-free, low-carb, no-cook</t>
        </is>
      </c>
      <c r="AB844" s="3" t="inlineStr">
        <is>
          <t>1. Muddle strawberries with basil, lime, stevia.
2. Divide into glasses; top sparkling water.
3. Ice.</t>
        </is>
      </c>
      <c r="AC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37% of this dish's available carbohydrate comes from ingredients with a published, measured GI; the rest uses conventional placeholders (see Ingredients sheet)</t>
        </is>
      </c>
      <c r="Z845" s="2" t="n">
        <v>37</v>
      </c>
      <c r="AA845" s="3" t="inlineStr">
        <is>
          <t>vegetarian, gluten-free, low-carb, high-protein, quick</t>
        </is>
      </c>
      <c r="AB845" s="3" t="inlineStr">
        <is>
          <t>1. Blend until smooth.
2. Serve.</t>
        </is>
      </c>
      <c r="AC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0% of this dish's available carbohydrate comes from ingredients with a published, measured GI; the rest uses conventional placeholders (see Ingredients sheet)</t>
        </is>
      </c>
      <c r="Z846" s="2" t="n">
        <v>0</v>
      </c>
      <c r="AA846" s="3" t="inlineStr">
        <is>
          <t>vegan, gluten-free, dairy-free, nut-free, low-carb</t>
        </is>
      </c>
      <c r="AB846" s="3" t="inlineStr">
        <is>
          <t>1. Brew tea; steep with crushed berries 10 minutes; strain.
2. Cool; add lemon, mint, stevia.
3. Serve over ice.</t>
        </is>
      </c>
      <c r="AC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0% of this dish's available carbohydrate comes from ingredients with a published, measured GI; the rest uses conventional placeholders (see Ingredients sheet)</t>
        </is>
      </c>
      <c r="Z847" s="2" t="n">
        <v>0</v>
      </c>
      <c r="AA847" s="3" t="inlineStr">
        <is>
          <t>gluten-free, nut-free, low-carb, no-cook, quick</t>
        </is>
      </c>
      <c r="AB847" s="3" t="inlineStr">
        <is>
          <t>1. Lay romaine leaves; spread Dijon.
2. Layer turkey, cheese, avocado, tomato, onion.
3. Roll and secure.</t>
        </is>
      </c>
      <c r="AC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11% of this dish's available carbohydrate comes from ingredients with a published, measured GI; the rest uses conventional placeholders (see Ingredients sheet)</t>
        </is>
      </c>
      <c r="Z848" s="2" t="n">
        <v>11</v>
      </c>
      <c r="AA848" s="3" t="inlineStr">
        <is>
          <t>nut-free, low-carb, high-protein, high-fiber, no-cook, quick</t>
        </is>
      </c>
      <c r="AB848" s="3" t="inlineStr">
        <is>
          <t>1. Whisk yogurt, lemon, Dijon, mashed anchovy.
2. Toss chicken, romaine, parmesan with dressing.
3. Roll in tortillas.</t>
        </is>
      </c>
      <c r="AC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58</v>
      </c>
      <c r="U849" s="2" t="inlineStr">
        <is>
          <t>medium</t>
        </is>
      </c>
      <c r="V849" s="5" t="n">
        <v>15</v>
      </c>
      <c r="W849" s="2" t="inlineStr">
        <is>
          <t>medium</t>
        </is>
      </c>
      <c r="X849" s="3" t="inlineStr">
        <is>
          <t>Medium-GI dish: keep to the stated portion and pair with the protein/fat in the recipe; GL per serving is the better guide.</t>
        </is>
      </c>
      <c r="Y849" s="3" t="inlineStr">
        <is>
          <t>95% of this dish's available carbohydrate comes from ingredients with a published, measured GI; the rest uses conventional placeholders (see Ingredients sheet)</t>
        </is>
      </c>
      <c r="Z849" s="2" t="n">
        <v>95</v>
      </c>
      <c r="AA849" s="3" t="inlineStr">
        <is>
          <t>vegetarian, gluten-free, nut-free</t>
        </is>
      </c>
      <c r="AB849" s="3" t="inlineStr">
        <is>
          <t>1. Chop eggs; mix with yogurt, mayo, Dijon, celery, chives, salt.
2. Toast bread.
3. Assemble with lettuce.</t>
        </is>
      </c>
      <c r="AC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0% of this dish's available carbohydrate comes from ingredients with a published, measured GI; the rest uses conventional placeholders (see Ingredients sheet)</t>
        </is>
      </c>
      <c r="Z850" s="2" t="n">
        <v>0</v>
      </c>
      <c r="AA850" s="3" t="inlineStr">
        <is>
          <t>pescatarian, gluten-free, dairy-free, nut-free, low-carb, no-cook, quick</t>
        </is>
      </c>
      <c r="AB850" s="3" t="inlineStr">
        <is>
          <t>1. Mash avocado with lemon; fold in tuna, onion, celery.
2. Spoon into lettuce.
3. Hot sauce.</t>
        </is>
      </c>
      <c r="AC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81% of this dish's available carbohydrate comes from ingredients with a published, measured GI; the rest uses conventional placeholders (see Ingredients sheet)</t>
        </is>
      </c>
      <c r="Z851" s="2" t="n">
        <v>81</v>
      </c>
      <c r="AA851" s="3" t="inlineStr">
        <is>
          <t>high-protein</t>
        </is>
      </c>
      <c r="AB851" s="3" t="inlineStr">
        <is>
          <t>1. Grill chicken; slice.
2. Toast bread; spread pesto; layer chicken, tomato, mozzarella.
3. Broil 2 minutes; arugula.</t>
        </is>
      </c>
      <c r="AC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0% of this dish's available carbohydrate comes from ingredients with a published, measured GI; the rest uses conventional placeholders (see Ingredients sheet)</t>
        </is>
      </c>
      <c r="Z852" s="2" t="n">
        <v>0</v>
      </c>
      <c r="AA852" s="3" t="inlineStr">
        <is>
          <t>pescatarian, gluten-free, nut-free, low-carb, no-cook, quick, omega-3</t>
        </is>
      </c>
      <c r="AB852" s="3" t="inlineStr">
        <is>
          <t>1. Slice cucumber into thick rounds.
2. Sandwich cream cheese, salmon, onion, capers between two rounds.
3. Dill.</t>
        </is>
      </c>
      <c r="AC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0% of this dish's available carbohydrate comes from ingredients with a published, measured GI; the rest uses conventional placeholders (see Ingredients sheet)</t>
        </is>
      </c>
      <c r="Z853" s="2" t="n">
        <v>0</v>
      </c>
      <c r="AA853" s="3" t="inlineStr">
        <is>
          <t>dairy-free, nut-free, low-carb, high-fiber</t>
        </is>
      </c>
      <c r="AB853" s="3" t="inlineStr">
        <is>
          <t>1. Crisp turkey bacon.
2. Spread mayo on tortillas; layer turkey, bacon, tomato, romaine, avocado.
3. Roll; slice.</t>
        </is>
      </c>
      <c r="AC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86% of this dish's available carbohydrate comes from ingredients with a published, measured GI; the rest uses conventional placeholders (see Ingredients sheet)</t>
        </is>
      </c>
      <c r="Z854" s="2" t="n">
        <v>86</v>
      </c>
      <c r="AA854" s="3" t="inlineStr">
        <is>
          <t>vegetarian, nut-free, high-fiber, no-cook, quick</t>
        </is>
      </c>
      <c r="AB854" s="3" t="inlineStr">
        <is>
          <t>1. Halve pitas; spread hummus inside.
2. Stuff with greens, cucumber, tomato, onion, olives.
3. Feta.</t>
        </is>
      </c>
      <c r="AC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74% of this dish's available carbohydrate comes from ingredients with a published, measured GI; the rest uses conventional placeholders (see Ingredients sheet)</t>
        </is>
      </c>
      <c r="Z855" s="2" t="n">
        <v>74</v>
      </c>
      <c r="AA855" s="3" t="inlineStr">
        <is>
          <t>gluten-free, low-carb, high-protein, no-cook, quick</t>
        </is>
      </c>
      <c r="AB855" s="3" t="inlineStr">
        <is>
          <t>1. Mix chicken, yogurt, Dijon, celery, diced apple, walnuts, salt.
2. Spoon into lettuce cups.</t>
        </is>
      </c>
      <c r="AC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0% of this dish's available carbohydrate comes from ingredients with a published, measured GI; the rest uses conventional placeholders (see Ingredients sheet)</t>
        </is>
      </c>
      <c r="Z856" s="2" t="n">
        <v>0</v>
      </c>
      <c r="AA856" s="3" t="inlineStr">
        <is>
          <t>gluten-free, nut-free, low-carb, high-protein, no-cook, quick</t>
        </is>
      </c>
      <c r="AB856" s="3" t="inlineStr">
        <is>
          <t>1. Spread Dijon on romaine leaves.
2. Layer beef, cheese, pickle, onion.
3. Roll.</t>
        </is>
      </c>
      <c r="AC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85% of this dish's available carbohydrate comes from ingredients with a published, measured GI; the rest uses conventional placeholders (see Ingredients sheet)</t>
        </is>
      </c>
      <c r="Z857" s="2" t="n">
        <v>85</v>
      </c>
      <c r="AA857" s="3" t="inlineStr">
        <is>
          <t>vegetarian</t>
        </is>
      </c>
      <c r="AB857" s="3" t="inlineStr">
        <is>
          <t>1. Toast bread; spread pesto.
2. Layer mozzarella, tomato, basil.
3. Drizzle balsamic; close.</t>
        </is>
      </c>
      <c r="AC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19% of this dish's available carbohydrate comes from ingredients with a published, measured GI; the rest uses conventional placeholders (see Ingredients sheet)</t>
        </is>
      </c>
      <c r="Z858" s="2" t="n">
        <v>19</v>
      </c>
      <c r="AA858" s="3" t="inlineStr">
        <is>
          <t>pescatarian, gluten-free, nut-free, low-carb, high-protein, quick</t>
        </is>
      </c>
      <c r="AB858" s="3" t="inlineStr">
        <is>
          <t>1. Sauté shrimp with chili powder in oil.
2. Blend avocado, yogurt, lime, cilantro.
3. Fill romaine with shrimp, pico, crema.</t>
        </is>
      </c>
      <c r="AC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43</v>
      </c>
      <c r="U859" s="2" t="inlineStr">
        <is>
          <t>low</t>
        </is>
      </c>
      <c r="V859" s="5" t="n">
        <v>9.9</v>
      </c>
      <c r="W859" s="2" t="inlineStr">
        <is>
          <t>low</t>
        </is>
      </c>
      <c r="X859" s="3" t="inlineStr"/>
      <c r="Y859" s="3" t="inlineStr">
        <is>
          <t>94% of this dish's available carbohydrate comes from ingredients with a published, measured GI; the rest uses conventional placeholders (see Ingredients sheet)</t>
        </is>
      </c>
      <c r="Z859" s="2" t="n">
        <v>94</v>
      </c>
      <c r="AA859" s="3" t="inlineStr">
        <is>
          <t>nut-free, quick</t>
        </is>
      </c>
      <c r="AB859" s="3" t="inlineStr">
        <is>
          <t>1. Fry egg in oil; warm Canadian bacon.
2. Toast muffin.
3. Assemble with cheddar and spinach.</t>
        </is>
      </c>
      <c r="AC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19% of this dish's available carbohydrate comes from ingredients with a published, measured GI; the rest uses conventional placeholders (see Ingredients sheet)</t>
        </is>
      </c>
      <c r="Z860" s="2" t="n">
        <v>19</v>
      </c>
      <c r="AA860" s="3" t="inlineStr">
        <is>
          <t>gluten-free, nut-free, low-carb, high-protein</t>
        </is>
      </c>
      <c r="AB860" s="3" t="inlineStr">
        <is>
          <t>1. Season chicken with oregano and lemon; sear in oil; slice.
2. Mix yogurt, grated cucumber, dill.
3. Fill romaine with chicken, tomato, onion, feta, tzatziki.</t>
        </is>
      </c>
      <c r="AC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36% of this dish's available carbohydrate comes from ingredients with a published, measured GI; the rest uses conventional placeholders (see Ingredients sheet)</t>
        </is>
      </c>
      <c r="Z861" s="2" t="n">
        <v>36</v>
      </c>
      <c r="AA861" s="3" t="inlineStr">
        <is>
          <t>vegetarian, nut-free, high-fiber, no-cook, quick</t>
        </is>
      </c>
      <c r="AB861" s="3" t="inlineStr">
        <is>
          <t>1. Spread hummus on tortillas.
2. Layer vegetables, feta, olives.
3. Roll tightly; slice.</t>
        </is>
      </c>
      <c r="AC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97% of this dish's available carbohydrate comes from ingredients with a published, measured GI; the rest uses conventional placeholders (see Ingredients sheet)</t>
        </is>
      </c>
      <c r="Z862" s="2" t="n">
        <v>97</v>
      </c>
      <c r="AA862" s="3" t="inlineStr">
        <is>
          <t>pescatarian, nut-free, high-protein, omega-3, no-cook, quick</t>
        </is>
      </c>
      <c r="AB862" s="3" t="inlineStr">
        <is>
          <t>1. Mix salmon, yogurt, Dijon, celery, dill, lemon.
2. Assemble on rye with romaine.</t>
        </is>
      </c>
      <c r="AC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12% of this dish's available carbohydrate comes from ingredients with a published, measured GI; the rest uses conventional placeholders (see Ingredients sheet)</t>
        </is>
      </c>
      <c r="Z863" s="2" t="n">
        <v>12</v>
      </c>
      <c r="AA863" s="3" t="inlineStr">
        <is>
          <t>nut-free, low-carb, high-protein, high-fiber, no-cook, quick</t>
        </is>
      </c>
      <c r="AB863" s="3" t="inlineStr">
        <is>
          <t>1. Toss chicken with hot sauce.
2. Mix yogurt and blue cheese.
3. Roll chicken, celery, romaine, dressing in tortillas.</t>
        </is>
      </c>
      <c r="AC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0% of this dish's available carbohydrate comes from ingredients with a published, measured GI; the rest uses conventional placeholders (see Ingredients sheet)</t>
        </is>
      </c>
      <c r="Z864" s="2" t="n">
        <v>0</v>
      </c>
      <c r="AA864" s="3" t="inlineStr">
        <is>
          <t>vegetarian, nut-free, low-carb, high-protein, high-fiber, quick</t>
        </is>
      </c>
      <c r="AB864" s="3" t="inlineStr">
        <is>
          <t>1. Sauté pepper and spinach in oil; add egg whites; scramble.
2. Fill tortilla with eggs, cheese, salsa.
3. Roll.</t>
        </is>
      </c>
      <c r="AC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0% of this dish's available carbohydrate comes from ingredients with a published, measured GI; the rest uses conventional placeholders (see Ingredients sheet)</t>
        </is>
      </c>
      <c r="Z865" s="2" t="n">
        <v>0</v>
      </c>
      <c r="AA865" s="3" t="inlineStr">
        <is>
          <t>gluten-free, nut-free, low-carb, high-protein</t>
        </is>
      </c>
      <c r="AB865" s="3" t="inlineStr">
        <is>
          <t>1. Form 2 turkey patties; grill 6 minutes per side; top cheddar.
2. Brush caps with oil; grill 4 minutes per side.
3. Assemble with tomato, onion, arugula, Dijon.</t>
        </is>
      </c>
      <c r="AC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6% of this dish's available carbohydrate comes from ingredients with a published, measured GI; the rest uses conventional placeholders (see Ingredients sheet)</t>
        </is>
      </c>
      <c r="Z866" s="2" t="n">
        <v>6</v>
      </c>
      <c r="AA866" s="3" t="inlineStr">
        <is>
          <t>nut-free, low-carb, high-protein, high-fiber</t>
        </is>
      </c>
      <c r="AB866" s="3" t="inlineStr">
        <is>
          <t>1. Season chicken; sear; slice.
2. Whisk tahini, yogurt, lemon, water.
3. Fill tortillas with chicken, cucumber, tomato, jalapeño, sauce.</t>
        </is>
      </c>
      <c r="AC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55</v>
      </c>
      <c r="U867" s="2" t="inlineStr">
        <is>
          <t>low</t>
        </is>
      </c>
      <c r="V867" s="5" t="n">
        <v>7.5</v>
      </c>
      <c r="W867" s="2" t="inlineStr">
        <is>
          <t>low</t>
        </is>
      </c>
      <c r="X867" s="3" t="inlineStr"/>
      <c r="Y867" s="3" t="inlineStr">
        <is>
          <t>87% of this dish's available carbohydrate comes from ingredients with a published, measured GI; the rest uses conventional placeholders (see Ingredients sheet)</t>
        </is>
      </c>
      <c r="Z867" s="2" t="n">
        <v>87</v>
      </c>
      <c r="AA867" s="3" t="inlineStr">
        <is>
          <t>vegetarian, gluten-free, dairy-free, nut-free, low-carb</t>
        </is>
      </c>
      <c r="AB867" s="3" t="inlineStr">
        <is>
          <t>1. Mash avocado with lemon and salt; fold in chopped eggs, chives.
2. Toast bread.
3. Top with egg salad and radish slices.</t>
        </is>
      </c>
      <c r="AC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87% of this dish's available carbohydrate comes from ingredients with a published, measured GI; the rest uses conventional placeholders (see Ingredients sheet)</t>
        </is>
      </c>
      <c r="Z868" s="2" t="n">
        <v>87</v>
      </c>
      <c r="AA868" s="3" t="inlineStr">
        <is>
          <t>high-protein</t>
        </is>
      </c>
      <c r="AB868" s="3" t="inlineStr">
        <is>
          <t>1. Mix turkey, egg, parmesan, almond flour, seasoning; form meatballs; bake at 400°F 15 minutes.
2. Simmer in marinara 5 minutes.
3. Top toast with meatballs, mozzarella; broil 2 minutes; basil.</t>
        </is>
      </c>
      <c r="AC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0% of this dish's available carbohydrate comes from ingredients with a published, measured GI; the rest uses conventional placeholders (see Ingredients sheet)</t>
        </is>
      </c>
      <c r="Z869" s="2" t="n">
        <v>0</v>
      </c>
      <c r="AA869" s="3" t="inlineStr">
        <is>
          <t>gluten-free, nut-free, low-carb, no-cook, quick</t>
        </is>
      </c>
      <c r="AB869" s="3" t="inlineStr">
        <is>
          <t>1. Peel cucumber into long ribbons.
2. Lay ribbons overlapping; spread cream cheese; add turkey, avocado, pepper.
3. Roll; slice; seasoning.</t>
        </is>
      </c>
      <c r="AC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54% of this dish's available carbohydrate comes from ingredients with a published, measured GI; the rest uses conventional placeholders (see Ingredients sheet)</t>
        </is>
      </c>
      <c r="Z870" s="2" t="n">
        <v>54</v>
      </c>
      <c r="AA870" s="3" t="inlineStr">
        <is>
          <t>vegetarian, nut-free, high-fiber</t>
        </is>
      </c>
      <c r="AB870" s="3" t="inlineStr">
        <is>
          <t>1. Sauté pepper and cauliflower rice in oil with cumin; add beans.
2. Fill tortillas with mixture, salsa, cheddar, avocado.
3. Roll; sear seam-side down 2 minutes.</t>
        </is>
      </c>
      <c r="AC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0% of this dish's available carbohydrate comes from ingredients with a published, measured GI; the rest uses conventional placeholders (see Ingredients sheet)</t>
        </is>
      </c>
      <c r="Z871" s="2" t="n">
        <v>0</v>
      </c>
      <c r="AA871" s="3" t="inlineStr">
        <is>
          <t>pescatarian, nut-free, low-carb, high-fiber, no-cook, quick, omega-3</t>
        </is>
      </c>
      <c r="AB871" s="3" t="inlineStr">
        <is>
          <t>1. Spread cream cheese on tortilla.
2. Layer salmon, cucumber, onion, capers, dill.
3. Roll.</t>
        </is>
      </c>
      <c r="AC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0% of this dish's available carbohydrate comes from ingredients with a published, measured GI; the rest uses conventional placeholders (see Ingredients sheet)</t>
        </is>
      </c>
      <c r="Z872" s="2" t="n">
        <v>0</v>
      </c>
      <c r="AA872" s="3" t="inlineStr">
        <is>
          <t>gluten-free, dairy-free, nut-free, low-carb, high-protein</t>
        </is>
      </c>
      <c r="AB872" s="3" t="inlineStr">
        <is>
          <t>1. Sear chicken in oil; slice. Crisp bacon.
2. Spread mayo on romaine.
3. Layer chicken, bacon, avocado, tomato; roll.</t>
        </is>
      </c>
      <c r="AC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34</v>
      </c>
      <c r="U873" s="2" t="inlineStr">
        <is>
          <t>low</t>
        </is>
      </c>
      <c r="V873" s="5" t="n">
        <v>11.4</v>
      </c>
      <c r="W873" s="2" t="inlineStr">
        <is>
          <t>medium</t>
        </is>
      </c>
      <c r="X873" s="3" t="inlineStr"/>
      <c r="Y873" s="3" t="inlineStr">
        <is>
          <t>77% of this dish's available carbohydrate comes from ingredients with a published, measured GI; the rest uses conventional placeholders (see Ingredients sheet)</t>
        </is>
      </c>
      <c r="Z873" s="2" t="n">
        <v>77</v>
      </c>
      <c r="AA873" s="3" t="inlineStr">
        <is>
          <t>vegan, gluten-free, dairy-free, high-fiber</t>
        </is>
      </c>
      <c r="AB873" s="3" t="inlineStr">
        <is>
          <t>1. Pulse chickpeas, onion, garlic, parsley, spices, almond flour, baking powder, salt; form balls; brush oil; bake at 425°F 22 minutes.
2. Whisk tahini, lemon, water.
3. Fill romaine with falafel, tomato, cucumber, tahini.</t>
        </is>
      </c>
      <c r="AC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87% of this dish's available carbohydrate comes from ingredients with a published, measured GI; the rest uses conventional placeholders (see Ingredients sheet)</t>
        </is>
      </c>
      <c r="Z874" s="2" t="n">
        <v>87</v>
      </c>
      <c r="AA874" s="3" t="inlineStr">
        <is>
          <t>pescatarian, dairy-free, nut-free, high-protein</t>
        </is>
      </c>
      <c r="AB874" s="3" t="inlineStr">
        <is>
          <t>1. Mix tuna with Dijon, oil, capers.
2. Toast rye; top with arugula, tuna, sliced egg, tomato, olives.</t>
        </is>
      </c>
      <c r="AC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0% of this dish's available carbohydrate comes from ingredients with a published, measured GI; the rest uses conventional placeholders (see Ingredients sheet)</t>
        </is>
      </c>
      <c r="Z875" s="2" t="n">
        <v>0</v>
      </c>
      <c r="AA875" s="3" t="inlineStr">
        <is>
          <t>gluten-free, low-carb, quick</t>
        </is>
      </c>
      <c r="AB875" s="3" t="inlineStr">
        <is>
          <t>1. Grill zucchini planks 2–3 minutes per side.
2. Spread pesto; layer turkey, mozzarella, pepper.
3. Roll and secure.</t>
        </is>
      </c>
      <c r="AC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0% of this dish's available carbohydrate comes from ingredients with a published, measured GI; the rest uses conventional placeholders (see Ingredients sheet)</t>
        </is>
      </c>
      <c r="Z876" s="2" t="n">
        <v>0</v>
      </c>
      <c r="AA876" s="3" t="inlineStr">
        <is>
          <t>vegetarian, nut-free, low-carb, high-fiber, quick</t>
        </is>
      </c>
      <c r="AB876" s="3" t="inlineStr">
        <is>
          <t>1. Sauté zucchini, pepper, mushrooms in oil; add spinach and balsamic.
2. Spread goat cheese on tortillas; add vegetables.
3. Roll.</t>
        </is>
      </c>
      <c r="AC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0% of this dish's available carbohydrate comes from ingredients with a published, measured GI; the rest uses conventional placeholders (see Ingredients sheet)</t>
        </is>
      </c>
      <c r="Z877" s="2" t="n">
        <v>0</v>
      </c>
      <c r="AA877" s="3" t="inlineStr">
        <is>
          <t>gluten-free, dairy-free, nut-free, low-carb, high-protein, one-pan</t>
        </is>
      </c>
      <c r="AB877" s="3" t="inlineStr">
        <is>
          <t>1. Sear chicken in oil; remove. Sauté garlic; deglaze with wine.
2. Add broth, artichokes, lemon slices, thyme; return chicken.
3. Roast at 400°F 20 minutes; parsley.</t>
        </is>
      </c>
      <c r="AC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25% of this dish's available carbohydrate comes from ingredients with a published, measured GI; the rest uses conventional placeholders (see Ingredients sheet)</t>
        </is>
      </c>
      <c r="Z878" s="2" t="n">
        <v>25</v>
      </c>
      <c r="AA878" s="3" t="inlineStr">
        <is>
          <t>gluten-free, nut-free, low-carb, high-protein, make-ahead</t>
        </is>
      </c>
      <c r="AB878" s="3" t="inlineStr">
        <is>
          <t>1. Cook and dice chicken; steam broccoli.
2. Mix yogurt, milk, Dijon, spices, half the cheddar; fold in chicken, cauliflower rice, broccoli.
3. Top cheddar; bake at 375°F 25 minutes.</t>
        </is>
      </c>
      <c r="AC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16% of this dish's available carbohydrate comes from ingredients with a published, measured GI; the rest uses conventional placeholders (see Ingredients sheet)</t>
        </is>
      </c>
      <c r="Z879" s="2" t="n">
        <v>16</v>
      </c>
      <c r="AA879" s="3" t="inlineStr">
        <is>
          <t>gluten-free, low-carb, high-protein</t>
        </is>
      </c>
      <c r="AB879" s="3" t="inlineStr">
        <is>
          <t>1. Grate and squeeze zucchini; mix with turkey, feta, garlic, oregano, egg, almond flour, salt.
2. Form 4 patties; pan-fry in oil 6–7 minutes per side.
3. Serve in lettuce with tomato and yogurt.</t>
        </is>
      </c>
      <c r="AC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0% of this dish's available carbohydrate comes from ingredients with a published, measured GI; the rest uses conventional placeholders (see Ingredients sheet)</t>
        </is>
      </c>
      <c r="Z880" s="2" t="n">
        <v>0</v>
      </c>
      <c r="AA880" s="3" t="inlineStr">
        <is>
          <t>gluten-free, dairy-free, nut-free, low-carb, high-protein, quick</t>
        </is>
      </c>
      <c r="AB880" s="3" t="inlineStr">
        <is>
          <t>1. Stir-fry chicken in oil with garlic and jalapeño.
2. Add zucchini 3 minutes; add fish sauce, tamari, sweetener.
3. Toss with basil off heat.</t>
        </is>
      </c>
      <c r="AC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13% of this dish's available carbohydrate comes from ingredients with a published, measured GI; the rest uses conventional placeholders (see Ingredients sheet)</t>
        </is>
      </c>
      <c r="Z881" s="2" t="n">
        <v>13</v>
      </c>
      <c r="AA881" s="3" t="inlineStr">
        <is>
          <t>gluten-free, nut-free, low-carb, high-protein</t>
        </is>
      </c>
      <c r="AB881" s="3" t="inlineStr">
        <is>
          <t>1. Steam half the cauliflower; blend with milk, parmesan, cream cheese, garlic, nutmeg for sauce.
2. Roast remaining florets; sear diced chicken; wilt spinach.
3. Combine with sauce in a dish; top mozzarella; bake at 375°F 20 minutes.</t>
        </is>
      </c>
      <c r="AC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0% of this dish's available carbohydrate comes from ingredients with a published, measured GI; the rest uses conventional placeholders (see Ingredients sheet)</t>
        </is>
      </c>
      <c r="Z882" s="2" t="n">
        <v>0</v>
      </c>
      <c r="AA882" s="3" t="inlineStr">
        <is>
          <t>gluten-free, dairy-free, nut-free, low-carb, high-protein, one-pan</t>
        </is>
      </c>
      <c r="AB882" s="3" t="inlineStr">
        <is>
          <t>1. Toss chicken and beans with oil, lemon zest, pepper, garlic, salt.
2. Roast at 425°F 22 minutes.
3. Lemon juice.</t>
        </is>
      </c>
      <c r="AC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11% of this dish's available carbohydrate comes from ingredients with a published, measured GI; the rest uses conventional placeholders (see Ingredients sheet)</t>
        </is>
      </c>
      <c r="Z883" s="2" t="n">
        <v>11</v>
      </c>
      <c r="AA883" s="3" t="inlineStr">
        <is>
          <t>gluten-free, nut-free, low-carb, high-protein, quick</t>
        </is>
      </c>
      <c r="AB883" s="3" t="inlineStr">
        <is>
          <t>1. Brown turkey with onion and seasoning in oil.
2. Spoon into lettuce.
3. Top pico, avocado, cheddar, yogurt.</t>
        </is>
      </c>
      <c r="AC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4% of this dish's available carbohydrate comes from ingredients with a published, measured GI; the rest uses conventional placeholders (see Ingredients sheet)</t>
        </is>
      </c>
      <c r="Z884" s="2" t="n">
        <v>4</v>
      </c>
      <c r="AA884" s="3" t="inlineStr">
        <is>
          <t>gluten-free, dairy-free, low-carb, high-protein</t>
        </is>
      </c>
      <c r="AB884" s="3" t="inlineStr">
        <is>
          <t>1. Marinate chicken in half the tamari, lime, garlic; skewer; grill 12 minutes.
2. Whisk peanut butter, remaining tamari, lime, vinegar, sriracha, water; toss with slaw.
3. Serve with cilantro and peanuts.</t>
        </is>
      </c>
      <c r="AC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24% of this dish's available carbohydrate comes from ingredients with a published, measured GI; the rest uses conventional placeholders (see Ingredients sheet)</t>
        </is>
      </c>
      <c r="Z885" s="2" t="n">
        <v>24</v>
      </c>
      <c r="AA885" s="3" t="inlineStr">
        <is>
          <t>gluten-free, nut-free, low-carb, high-protein</t>
        </is>
      </c>
      <c r="AB885" s="3" t="inlineStr">
        <is>
          <t>1. Sear chicken; remove. Sauté garlic and sun-dried tomatoes.
2. Add broth; reduce; stir in yogurt and parmesan off heat; wilt spinach.
3. Return chicken; simmer 5 minutes.</t>
        </is>
      </c>
      <c r="AC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18% of this dish's available carbohydrate comes from ingredients with a published, measured GI; the rest uses conventional placeholders (see Ingredients sheet)</t>
        </is>
      </c>
      <c r="Z886" s="2" t="n">
        <v>18</v>
      </c>
      <c r="AA886" s="3" t="inlineStr">
        <is>
          <t>gluten-free, dairy-free, nut-free, low-carb, high-protein, quick</t>
        </is>
      </c>
      <c r="AB886" s="3" t="inlineStr">
        <is>
          <t>1. Stir-fry chicken strips in oil; remove.
2. Stir-fry cabbage, carrot, garlic, ginger 5 minutes.
3. Return chicken with tamari, vinegar, sesame oil; green onion.</t>
        </is>
      </c>
      <c r="AC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48% of this dish's available carbohydrate comes from ingredients with a published, measured GI; the rest uses conventional placeholders (see Ingredients sheet)</t>
        </is>
      </c>
      <c r="Z887" s="2" t="n">
        <v>48</v>
      </c>
      <c r="AA887" s="3" t="inlineStr">
        <is>
          <t>gluten-free, nut-free, low-carb, high-protein</t>
        </is>
      </c>
      <c r="AB887" s="3" t="inlineStr">
        <is>
          <t>1. Halve zucchini; scoop.
2. Mix chicken, beans, half the sauce, half the cheese; fill.
3. Top remaining sauce and cheese; bake at 400°F 25 minutes; green onion, cilantro, yogurt.</t>
        </is>
      </c>
      <c r="AC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64% of this dish's available carbohydrate comes from ingredients with a published, measured GI; the rest uses conventional placeholders (see Ingredients sheet)</t>
        </is>
      </c>
      <c r="Z888" s="2" t="n">
        <v>64</v>
      </c>
      <c r="AA888" s="3" t="inlineStr">
        <is>
          <t>gluten-free, nut-free, high-protein, one-pan</t>
        </is>
      </c>
      <c r="AB888" s="3" t="inlineStr">
        <is>
          <t>1. Brown turkey with onion, garlic in oil.
2. Add zucchini, pepper, tomatoes, seasoning; simmer 8 minutes.
3. Stir in quinoa; parmesan.</t>
        </is>
      </c>
      <c r="AC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0% of this dish's available carbohydrate comes from ingredients with a published, measured GI; the rest uses conventional placeholders (see Ingredients sheet)</t>
        </is>
      </c>
      <c r="Z889" s="2" t="n">
        <v>0</v>
      </c>
      <c r="AA889" s="3" t="inlineStr">
        <is>
          <t>gluten-free, low-carb, high-protein, quick</t>
        </is>
      </c>
      <c r="AB889" s="3" t="inlineStr">
        <is>
          <t>1. Pound chicken thin; dip in egg then almond flour-parmesan; pan-fry in oil 3–4 minutes per side.
2. Toss arugula and tomatoes with lemon and a little oil.
3. Pile salad on cutlets.</t>
        </is>
      </c>
      <c r="AC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73% of this dish's available carbohydrate comes from ingredients with a published, measured GI; the rest uses conventional placeholders (see Ingredients sheet)</t>
        </is>
      </c>
      <c r="Z890" s="2" t="n">
        <v>73</v>
      </c>
      <c r="AA890" s="3" t="inlineStr">
        <is>
          <t>gluten-free, dairy-free, nut-free, high-protein, one-pan</t>
        </is>
      </c>
      <c r="AB890" s="3" t="inlineStr">
        <is>
          <t>1. Brown chicken pieces in oil; remove.
2. Sauté sweet potato and onion covered 8 minutes; add garlic, paprika.
3. Return chicken with kale and broth; cook 6 minutes.</t>
        </is>
      </c>
      <c r="AC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12% of this dish's available carbohydrate comes from ingredients with a published, measured GI; the rest uses conventional placeholders (see Ingredients sheet)</t>
        </is>
      </c>
      <c r="Z891" s="2" t="n">
        <v>12</v>
      </c>
      <c r="AA891" s="3" t="inlineStr">
        <is>
          <t>gluten-free, dairy-free, nut-free, low-carb, high-protein, quick</t>
        </is>
      </c>
      <c r="AB891" s="3" t="inlineStr">
        <is>
          <t>1. Toss chicken with arrowroot; stir-fry in oil; remove.
2. Stir-fry snap peas, pepper, ginger, garlic 3 minutes.
3. Return chicken with tamari, vinegar, sesame oil.</t>
        </is>
      </c>
      <c r="AC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0% of this dish's available carbohydrate comes from ingredients with a published, measured GI; the rest uses conventional placeholders (see Ingredients sheet)</t>
        </is>
      </c>
      <c r="Z892" s="2" t="n">
        <v>0</v>
      </c>
      <c r="AA892" s="3" t="inlineStr">
        <is>
          <t>gluten-free, low-carb, high-protein, meal-prep</t>
        </is>
      </c>
      <c r="AB892" s="3" t="inlineStr">
        <is>
          <t>1. Mix all ingredients.
2. Divide into 12 muffin cups.
3. Bake at 375°F 22–25 minutes.</t>
        </is>
      </c>
      <c r="AC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46% of this dish's available carbohydrate comes from ingredients with a published, measured GI; the rest uses conventional placeholders (see Ingredients sheet)</t>
        </is>
      </c>
      <c r="Z893" s="2" t="n">
        <v>46</v>
      </c>
      <c r="AA893" s="3" t="inlineStr">
        <is>
          <t>gluten-free, nut-free, high-protein, high-fiber</t>
        </is>
      </c>
      <c r="AB893" s="3" t="inlineStr">
        <is>
          <t>1. Char poblano and onion in oil; add chicken pieces and cumin; cook through.
2. Sauté cauliflower rice; warm beans.
3. Bowl; lime, cotija, cilantro.</t>
        </is>
      </c>
      <c r="AC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0% of this dish's available carbohydrate comes from ingredients with a published, measured GI; the rest uses conventional placeholders (see Ingredients sheet)</t>
        </is>
      </c>
      <c r="Z894" s="2" t="n">
        <v>0</v>
      </c>
      <c r="AA894" s="3" t="inlineStr">
        <is>
          <t>gluten-free, dairy-free, nut-free, low-carb, high-protein, one-pan</t>
        </is>
      </c>
      <c r="AB894" s="3" t="inlineStr">
        <is>
          <t>1. Toss chicken and broccoli with tamari, oils, garlic, ginger, vinegar.
2. Roast at 425°F 20–22 minutes.
3. Sesame, green onion.</t>
        </is>
      </c>
      <c r="AC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26% of this dish's available carbohydrate comes from ingredients with a published, measured GI; the rest uses conventional placeholders (see Ingredients sheet)</t>
        </is>
      </c>
      <c r="Z895" s="2" t="n">
        <v>26</v>
      </c>
      <c r="AA895" s="3" t="inlineStr">
        <is>
          <t>gluten-free, nut-free, low-carb, high-protein, high-fiber, no-cook, quick</t>
        </is>
      </c>
      <c r="AB895" s="3" t="inlineStr">
        <is>
          <t>1. Mix chicken, yogurt, Dijon, celery, herbs, lemon, salt.
2. Halve avocados.
3. Fill.</t>
        </is>
      </c>
      <c r="AC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14% of this dish's available carbohydrate comes from ingredients with a published, measured GI; the rest uses conventional placeholders (see Ingredients sheet)</t>
        </is>
      </c>
      <c r="Z896" s="2" t="n">
        <v>14</v>
      </c>
      <c r="AA896" s="3" t="inlineStr">
        <is>
          <t>gluten-free, nut-free, low-carb, high-protein, one-pan</t>
        </is>
      </c>
      <c r="AB896" s="3" t="inlineStr">
        <is>
          <t>1. Toss chicken and cauliflower with spices, garlic, lemon, oil, salt.
2. Roast at 425°F 25 minutes.
3. Serve with yogurt-tahini sauce and parsley.</t>
        </is>
      </c>
      <c r="AC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13% of this dish's available carbohydrate comes from ingredients with a published, measured GI; the rest uses conventional placeholders (see Ingredients sheet)</t>
        </is>
      </c>
      <c r="Z897" s="2" t="n">
        <v>13</v>
      </c>
      <c r="AA897" s="3" t="inlineStr">
        <is>
          <t>gluten-free, nut-free, low-carb, high-protein</t>
        </is>
      </c>
      <c r="AB897" s="3" t="inlineStr">
        <is>
          <t>1. Sear chicken; remove. Sauté mushrooms, garlic, thyme.
2. Add broth; reduce; yogurt and parmesan off heat.
3. Toss with zoodles and chicken 2 minutes.</t>
        </is>
      </c>
      <c r="AC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63% of this dish's available carbohydrate comes from ingredients with a published, measured GI; the rest uses conventional placeholders (see Ingredients sheet)</t>
        </is>
      </c>
      <c r="Z898" s="2" t="n">
        <v>63</v>
      </c>
      <c r="AA898" s="3" t="inlineStr">
        <is>
          <t>gluten-free, low-carb, high-protein</t>
        </is>
      </c>
      <c r="AB898" s="3" t="inlineStr">
        <is>
          <t>1. Mix turkey, egg, almond flour, minced celery, garlic powder, salt; form meatballs; bake at 400°F 18 minutes.
2. Toss with hot sauce melted with butter.
3. Serve with yogurt-blue cheese and carrot sticks.</t>
        </is>
      </c>
      <c r="AC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24</v>
      </c>
      <c r="U899" s="2" t="inlineStr">
        <is>
          <t>low</t>
        </is>
      </c>
      <c r="V899" s="5" t="n">
        <v>1.5</v>
      </c>
      <c r="W899" s="2" t="inlineStr">
        <is>
          <t>low</t>
        </is>
      </c>
      <c r="X899" s="3" t="inlineStr"/>
      <c r="Y899" s="3" t="inlineStr">
        <is>
          <t>48% of this dish's available carbohydrate comes from ingredients with a published, measured GI; the rest uses conventional placeholders (see Ingredients sheet)</t>
        </is>
      </c>
      <c r="Z899" s="2" t="n">
        <v>48</v>
      </c>
      <c r="AA899" s="3" t="inlineStr">
        <is>
          <t>gluten-free, nut-free, low-carb, high-protein, quick</t>
        </is>
      </c>
      <c r="AB899" s="3" t="inlineStr">
        <is>
          <t>1. Brown chicken with onion, garlic, ginger, curry powder in oil.
2. Add peas and a splash of water; cook 3 minutes.
3. Fill lettuce; top yogurt, cilantro, lime.</t>
        </is>
      </c>
      <c r="AC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0% of this dish's available carbohydrate comes from ingredients with a published, measured GI; the rest uses conventional placeholders (see Ingredients sheet)</t>
        </is>
      </c>
      <c r="Z900" s="2" t="n">
        <v>0</v>
      </c>
      <c r="AA900" s="3" t="inlineStr">
        <is>
          <t>gluten-free, dairy-free, nut-free, low-carb, high-protein, one-pan</t>
        </is>
      </c>
      <c r="AB900" s="3" t="inlineStr">
        <is>
          <t>1. Rub chicken with half the Dijon, garlic, thyme, oil, salt.
2. Brush cabbage wedges with remaining oil and Dijon.
3. Roast everything at 425°F 30–35 minutes; drizzle vinegar.</t>
        </is>
      </c>
      <c r="AC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22% of this dish's available carbohydrate comes from ingredients with a published, measured GI; the rest uses conventional placeholders (see Ingredients sheet)</t>
        </is>
      </c>
      <c r="Z901" s="2" t="n">
        <v>22</v>
      </c>
      <c r="AA901" s="3" t="inlineStr">
        <is>
          <t>gluten-free, low-carb, high-protein, no-cook, quick</t>
        </is>
      </c>
      <c r="AB901" s="3" t="inlineStr">
        <is>
          <t>1. Mix chicken, pesto, yogurt.
2. Fold in tomato and mozzarella.
3. Fill romaine leaves; pine nuts.</t>
        </is>
      </c>
      <c r="AC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68% of this dish's available carbohydrate comes from ingredients with a published, measured GI; the rest uses conventional placeholders (see Ingredients sheet)</t>
        </is>
      </c>
      <c r="Z902" s="2" t="n">
        <v>68</v>
      </c>
      <c r="AA902" s="3" t="inlineStr">
        <is>
          <t>gluten-free, dairy-free, nut-free, high-protein, high-fiber</t>
        </is>
      </c>
      <c r="AB902" s="3" t="inlineStr">
        <is>
          <t>1. Brown turkey with paprika, cumin, garlic (quick chorizo); add kale, beans, broth; simmer 5 minutes.
2. Sear cod in oil 4 minutes per side.
3. Serve cod over the kale-bean mix with lemon.</t>
        </is>
      </c>
      <c r="AC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0% of this dish's available carbohydrate comes from ingredients with a published, measured GI; the rest uses conventional placeholders (see Ingredients sheet)</t>
        </is>
      </c>
      <c r="Z903" s="2" t="n">
        <v>0</v>
      </c>
      <c r="AA903" s="3" t="inlineStr">
        <is>
          <t>pescatarian, gluten-free, nut-free, low-carb, high-protein, quick, one-pan</t>
        </is>
      </c>
      <c r="AB903" s="3" t="inlineStr">
        <is>
          <t>1. Sauté asparagus in oil 4 minutes.
2. Add garlic, shrimp, butter; cook 3 minutes.
3. Lemon, parsley, pepper flakes.</t>
        </is>
      </c>
      <c r="AC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0% of this dish's available carbohydrate comes from ingredients with a published, measured GI; the rest uses conventional placeholders (see Ingredients sheet)</t>
        </is>
      </c>
      <c r="Z904" s="2" t="n">
        <v>0</v>
      </c>
      <c r="AA904" s="3" t="inlineStr">
        <is>
          <t>pescatarian, gluten-free, dairy-free, low-carb, high-protein, omega-3, one-pan</t>
        </is>
      </c>
      <c r="AB904" s="3" t="inlineStr">
        <is>
          <t>1. Spread pesto on salmon; surround with zucchini and tomatoes tossed in oil.
2. Bake at 400°F 14 minutes.
3. Lemon.</t>
        </is>
      </c>
      <c r="AC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84% of this dish's available carbohydrate comes from ingredients with a published, measured GI; the rest uses conventional placeholders (see Ingredients sheet)</t>
        </is>
      </c>
      <c r="Z905" s="2" t="n">
        <v>84</v>
      </c>
      <c r="AA905" s="3" t="inlineStr">
        <is>
          <t>pescatarian, gluten-free, nut-free, high-protein, high-fiber</t>
        </is>
      </c>
      <c r="AB905" s="3" t="inlineStr">
        <is>
          <t>1. Season tilapia; sear in oil; flake.
2. Blend avocado, yogurt, lime.
3. Fill tortillas with cabbage, fish, crema, cilantro.</t>
        </is>
      </c>
      <c r="AC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0% of this dish's available carbohydrate comes from ingredients with a published, measured GI; the rest uses conventional placeholders (see Ingredients sheet)</t>
        </is>
      </c>
      <c r="Z906" s="2" t="n">
        <v>0</v>
      </c>
      <c r="AA906" s="3" t="inlineStr">
        <is>
          <t>pescatarian, gluten-free, dairy-free, nut-free, low-carb, high-protein, quick</t>
        </is>
      </c>
      <c r="AB906" s="3" t="inlineStr">
        <is>
          <t>1. Stir-fry shiitake, garlic, ginger in oil; add bok choy 3 minutes.
2. Add shrimp 3 minutes.
3. Tamari, vinegar, sesame oil.</t>
        </is>
      </c>
      <c r="AC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30% of this dish's available carbohydrate comes from ingredients with a published, measured GI; the rest uses conventional placeholders (see Ingredients sheet)</t>
        </is>
      </c>
      <c r="Z907" s="2" t="n">
        <v>30</v>
      </c>
      <c r="AA907" s="3" t="inlineStr">
        <is>
          <t>pescatarian, gluten-free, low-carb, high-protein, omega-3, quick</t>
        </is>
      </c>
      <c r="AB907" s="3" t="inlineStr">
        <is>
          <t>1. Mix salmon, eggs, almond flour, green onion, dill, lemon zest; form 8 patties.
2. Pan-fry in oil 4 minutes per side.
3. Mix yogurt with lemon juice; serve over greens.</t>
        </is>
      </c>
      <c r="AC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0% of this dish's available carbohydrate comes from ingredients with a published, measured GI; the rest uses conventional placeholders (see Ingredients sheet)</t>
        </is>
      </c>
      <c r="Z908" s="2" t="n">
        <v>0</v>
      </c>
      <c r="AA908" s="3" t="inlineStr">
        <is>
          <t>pescatarian, gluten-free, nut-free, low-carb, high-protein, one-pan</t>
        </is>
      </c>
      <c r="AB908" s="3" t="inlineStr">
        <is>
          <t>1. Sauté onion and garlic in oil; add tomatoes, oregano, olives; simmer 10 minutes.
2. Stir in shrimp; top feta.
3. Bake at 400°F 12 minutes; parsley, pepper flakes.</t>
        </is>
      </c>
      <c r="AC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0% of this dish's available carbohydrate comes from ingredients with a published, measured GI; the rest uses conventional placeholders (see Ingredients sheet)</t>
        </is>
      </c>
      <c r="Z909" s="2" t="n">
        <v>0</v>
      </c>
      <c r="AA909" s="3" t="inlineStr">
        <is>
          <t>pescatarian, gluten-free, dairy-free, nut-free, low-carb, high-protein</t>
        </is>
      </c>
      <c r="AB909" s="3" t="inlineStr">
        <is>
          <t>1. Rub fish with spices; sear in oil 4 minutes per side.
2. Sauté cauliflower rice; lime, cilantro.
3. Serve with avocado.</t>
        </is>
      </c>
      <c r="AC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18% of this dish's available carbohydrate comes from ingredients with a published, measured GI; the rest uses conventional placeholders (see Ingredients sheet)</t>
        </is>
      </c>
      <c r="Z910" s="2" t="n">
        <v>18</v>
      </c>
      <c r="AA910" s="3" t="inlineStr">
        <is>
          <t>pescatarian, gluten-free, low-carb, high-protein</t>
        </is>
      </c>
      <c r="AB910" s="3" t="inlineStr">
        <is>
          <t>1. Grate and squeeze zucchini; mix with tuna, eggs, almond flour, parmesan, green onion, dill.
2. Pan-fry spoonfuls in oil 3–4 minutes per side.
3. Serve with lemon yogurt.</t>
        </is>
      </c>
      <c r="AC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0% of this dish's available carbohydrate comes from ingredients with a published, measured GI; the rest uses conventional placeholders (see Ingredients sheet)</t>
        </is>
      </c>
      <c r="Z911" s="2" t="n">
        <v>0</v>
      </c>
      <c r="AA911" s="3" t="inlineStr">
        <is>
          <t>pescatarian, gluten-free, nut-free, low-carb, high-protein</t>
        </is>
      </c>
      <c r="AB911" s="3" t="inlineStr">
        <is>
          <t>1. Sauté garlic in oil; add cauliflower rice, wine, broth; simmer 8 minutes.
2. Stir in parmesan and cream cheese until creamy.
3. Sauté shrimp separately; fold in; lemon, parsley.</t>
        </is>
      </c>
      <c r="AC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0% of this dish's available carbohydrate comes from ingredients with a published, measured GI; the rest uses conventional placeholders (see Ingredients sheet)</t>
        </is>
      </c>
      <c r="Z912" s="2" t="n">
        <v>0</v>
      </c>
      <c r="AA912" s="3" t="inlineStr">
        <is>
          <t>pescatarian, gluten-free, dairy-free, nut-free, low-carb, high-protein, high-fiber, omega-3</t>
        </is>
      </c>
      <c r="AB912" s="3" t="inlineStr">
        <is>
          <t>1. Roast salmon 12 minutes; flake.
2. Sauté cauliflower rice with tamari.
3. Bowl with edamame, cucumber, avocado, salmon; sriracha mayo, sesame, green onion.</t>
        </is>
      </c>
      <c r="AC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0% of this dish's available carbohydrate comes from ingredients with a published, measured GI; the rest uses conventional placeholders (see Ingredients sheet)</t>
        </is>
      </c>
      <c r="Z913" s="2" t="n">
        <v>0</v>
      </c>
      <c r="AA913" s="3" t="inlineStr">
        <is>
          <t>pescatarian, gluten-free, nut-free, low-carb, high-protein, quick</t>
        </is>
      </c>
      <c r="AB913" s="3" t="inlineStr">
        <is>
          <t>1. Sear cod in oil 4 minutes per side; remove.
2. Melt butter with garlic, lemon, capers.
3. Wilt spinach; serve cod over spinach with sauce.</t>
        </is>
      </c>
      <c r="AC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0% of this dish's available carbohydrate comes from ingredients with a published, measured GI; the rest uses conventional placeholders (see Ingredients sheet)</t>
        </is>
      </c>
      <c r="Z914" s="2" t="n">
        <v>0</v>
      </c>
      <c r="AA914" s="3" t="inlineStr">
        <is>
          <t>pescatarian, gluten-free, dairy-free, nut-free, low-carb, high-protein, quick</t>
        </is>
      </c>
      <c r="AB914" s="3" t="inlineStr">
        <is>
          <t>1. Sauté shrimp with garlic in oil 3 minutes; lime.
2. Fill lettuce cups.
3. Avocado, cilantro, pepper flakes.</t>
        </is>
      </c>
      <c r="AC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0% of this dish's available carbohydrate comes from ingredients with a published, measured GI; the rest uses conventional placeholders (see Ingredients sheet)</t>
        </is>
      </c>
      <c r="Z915" s="2" t="n">
        <v>0</v>
      </c>
      <c r="AA915" s="3" t="inlineStr">
        <is>
          <t>pescatarian, gluten-free, low-carb, high-protein, omega-3</t>
        </is>
      </c>
      <c r="AB915" s="3" t="inlineStr">
        <is>
          <t>1. Roast trout with oil and salt 12 minutes.
2. Sauté green beans with garlic; add butter and almonds.
3. Lemon.</t>
        </is>
      </c>
      <c r="AC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13% of this dish's available carbohydrate comes from ingredients with a published, measured GI; the rest uses conventional placeholders (see Ingredients sheet)</t>
        </is>
      </c>
      <c r="Z916" s="2" t="n">
        <v>13</v>
      </c>
      <c r="AA916" s="3" t="inlineStr">
        <is>
          <t>pescatarian, gluten-free, nut-free, low-carb, high-protein</t>
        </is>
      </c>
      <c r="AB916" s="3" t="inlineStr">
        <is>
          <t>1. Simmer cauliflower and garlic in milk; blend with parmesan, cream cheese, nutmeg, salt.
2. Sauté shrimp in oil; add zoodles 2 minutes.
3. Toss with sauce.</t>
        </is>
      </c>
      <c r="AC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0% of this dish's available carbohydrate comes from ingredients with a published, measured GI; the rest uses conventional placeholders (see Ingredients sheet)</t>
        </is>
      </c>
      <c r="Z917" s="2" t="n">
        <v>0</v>
      </c>
      <c r="AA917" s="3" t="inlineStr">
        <is>
          <t>pescatarian, gluten-free, dairy-free, nut-free, low-carb, high-protein</t>
        </is>
      </c>
      <c r="AB917" s="3" t="inlineStr">
        <is>
          <t>1. Sear tuna in avocado oil 1–2 minutes per side; slice. Boil eggs; blanch beans.
2. Whisk olive oil, Dijon, vinegar.
3. Arrange lettuce, tuna, eggs, beans, tomato, olives; dressing.</t>
        </is>
      </c>
      <c r="AC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7% of this dish's available carbohydrate comes from ingredients with a published, measured GI; the rest uses conventional placeholders (see Ingredients sheet)</t>
        </is>
      </c>
      <c r="Z918" s="2" t="n">
        <v>7</v>
      </c>
      <c r="AA918" s="3" t="inlineStr">
        <is>
          <t>pescatarian, gluten-free, nut-free, low-carb</t>
        </is>
      </c>
      <c r="AB918" s="3" t="inlineStr">
        <is>
          <t>1. Brush caps with oil; roast 8 minutes.
2. Mix crab, cream cheese, yogurt, green onion, Old Bay, lemon.
3. Fill; top parmesan; bake at 400°F 12 minutes.</t>
        </is>
      </c>
      <c r="AC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33</v>
      </c>
      <c r="U919" s="2" t="inlineStr">
        <is>
          <t>low</t>
        </is>
      </c>
      <c r="V919" s="5" t="n">
        <v>2</v>
      </c>
      <c r="W919" s="2" t="inlineStr">
        <is>
          <t>low</t>
        </is>
      </c>
      <c r="X919" s="3" t="inlineStr"/>
      <c r="Y919" s="3" t="inlineStr">
        <is>
          <t>67% of this dish's available carbohydrate comes from ingredients with a published, measured GI; the rest uses conventional placeholders (see Ingredients sheet)</t>
        </is>
      </c>
      <c r="Z919" s="2" t="n">
        <v>67</v>
      </c>
      <c r="AA919" s="3" t="inlineStr">
        <is>
          <t>pescatarian, gluten-free, dairy-free, nut-free, low-carb, high-protein, omega-3</t>
        </is>
      </c>
      <c r="AB919" s="3" t="inlineStr">
        <is>
          <t>1. Rub salmon with oil, cumin, salt; roast at 400°F 12 minutes.
2. Dice mango, avocado, onion, jalapeño; toss with cilantro, lime.
3. Top salmon with salsa.</t>
        </is>
      </c>
      <c r="AC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0% of this dish's available carbohydrate comes from ingredients with a published, measured GI; the rest uses conventional placeholders (see Ingredients sheet)</t>
        </is>
      </c>
      <c r="Z920" s="2" t="n">
        <v>0</v>
      </c>
      <c r="AA920" s="3" t="inlineStr">
        <is>
          <t>gluten-free, dairy-free, nut-free, low-carb, high-protein, one-pan</t>
        </is>
      </c>
      <c r="AB920" s="3" t="inlineStr">
        <is>
          <t>1. Brown sausage; sauté onion, pepper, celery, garlic 6 minutes.
2. Add tomatoes, broth, seasoning, cauliflower rice; simmer 10 minutes.
3. Add shrimp 4 minutes; green onion.</t>
        </is>
      </c>
      <c r="AC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78% of this dish's available carbohydrate comes from ingredients with a published, measured GI; the rest uses conventional placeholders (see Ingredients sheet)</t>
        </is>
      </c>
      <c r="Z921" s="2" t="n">
        <v>78</v>
      </c>
      <c r="AA921" s="3" t="inlineStr">
        <is>
          <t>pescatarian, gluten-free, dairy-free, nut-free, high-protein</t>
        </is>
      </c>
      <c r="AB921" s="3" t="inlineStr">
        <is>
          <t>1. Roast tomatoes with garlic and half the oil at 425°F 15 minutes; stir in beans.
2. Sear halibut in remaining oil 4 minutes per side.
3. Serve fish over tomato-beans; basil, lemon.</t>
        </is>
      </c>
      <c r="AC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0% of this dish's available carbohydrate comes from ingredients with a published, measured GI; the rest uses conventional placeholders (see Ingredients sheet)</t>
        </is>
      </c>
      <c r="Z922" s="2" t="n">
        <v>0</v>
      </c>
      <c r="AA922" s="3" t="inlineStr">
        <is>
          <t>gluten-free, dairy-free, nut-free, low-carb, high-protein</t>
        </is>
      </c>
      <c r="AB922" s="3" t="inlineStr">
        <is>
          <t>1. Crisp bacon; sauté shredded sprouts in the fat with garlic 8 minutes.
2. Sear scallops in oil 90 seconds per side.
3. Serve over sprouts with bacon and lemon.</t>
        </is>
      </c>
      <c r="AC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13% of this dish's available carbohydrate comes from ingredients with a published, measured GI; the rest uses conventional placeholders (see Ingredients sheet)</t>
        </is>
      </c>
      <c r="Z923" s="2" t="n">
        <v>13</v>
      </c>
      <c r="AA923" s="3" t="inlineStr">
        <is>
          <t>pescatarian, gluten-free, nut-free, low-carb, high-protein, quick</t>
        </is>
      </c>
      <c r="AB923" s="3" t="inlineStr">
        <is>
          <t>1. Hard-boil eggs; chop.
2. Mix with tuna, yogurt, Dijon, celery, dill, salt.
3. Fill halved peppers.</t>
        </is>
      </c>
      <c r="AC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0% of this dish's available carbohydrate comes from ingredients with a published, measured GI; the rest uses conventional placeholders (see Ingredients sheet)</t>
        </is>
      </c>
      <c r="Z924" s="2" t="n">
        <v>0</v>
      </c>
      <c r="AA924" s="3" t="inlineStr">
        <is>
          <t>pescatarian, gluten-free, dairy-free, nut-free, high-protein, quick</t>
        </is>
      </c>
      <c r="AB924" s="3" t="inlineStr">
        <is>
          <t>1. Fry curry paste, garlic, ginger in oil; add coconut milk and bok choy; simmer 3 minutes.
2. Add mussels; cover 5–6 minutes until open.
3. Lime, fish sauce, cilantro.</t>
        </is>
      </c>
      <c r="AC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0% of this dish's available carbohydrate comes from ingredients with a published, measured GI; the rest uses conventional placeholders (see Ingredients sheet)</t>
        </is>
      </c>
      <c r="Z925" s="2" t="n">
        <v>0</v>
      </c>
      <c r="AA925" s="3" t="inlineStr">
        <is>
          <t>gluten-free, nut-free, low-carb, high-protein, one-pan, quick</t>
        </is>
      </c>
      <c r="AB925" s="3" t="inlineStr">
        <is>
          <t>1. Brown beef with onion and garlic in oil.
2. Add zucchini, tomatoes, seasoning; simmer 10 minutes.
3. Parmesan.</t>
        </is>
      </c>
      <c r="AC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55% of this dish's available carbohydrate comes from ingredients with a published, measured GI; the rest uses conventional placeholders (see Ingredients sheet)</t>
        </is>
      </c>
      <c r="Z926" s="2" t="n">
        <v>55</v>
      </c>
      <c r="AA926" s="3" t="inlineStr">
        <is>
          <t>gluten-free, nut-free, low-carb, high-protein</t>
        </is>
      </c>
      <c r="AB926" s="3" t="inlineStr">
        <is>
          <t>1. Season chops with thyme; sear in oil 4–5 minutes per side.
2. Toss shredded cabbage and apple with yogurt, Dijon, vinegar.
3. Serve chops with slaw.</t>
        </is>
      </c>
      <c r="AC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0% of this dish's available carbohydrate comes from ingredients with a published, measured GI; the rest uses conventional placeholders (see Ingredients sheet)</t>
        </is>
      </c>
      <c r="Z927" s="2" t="n">
        <v>0</v>
      </c>
      <c r="AA927" s="3" t="inlineStr">
        <is>
          <t>dairy-free, nut-free, low-carb, high-protein, quick</t>
        </is>
      </c>
      <c r="AB927" s="3" t="inlineStr">
        <is>
          <t>1. Brown beef with garlic and ginger in oil; add tamari, gochujang, sesame oil.
2. Fill lettuce with beef and kimchi.
3. Green onion, sesame.</t>
        </is>
      </c>
      <c r="AC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0% of this dish's available carbohydrate comes from ingredients with a published, measured GI; the rest uses conventional placeholders (see Ingredients sheet)</t>
        </is>
      </c>
      <c r="Z928" s="2" t="n">
        <v>0</v>
      </c>
      <c r="AA928" s="3" t="inlineStr">
        <is>
          <t>gluten-free, dairy-free, low-carb, high-protein</t>
        </is>
      </c>
      <c r="AB928" s="3" t="inlineStr">
        <is>
          <t>1. Rub pork with Dijon, garlic, rosemary, salt; roast at 425°F 18 minutes; rest.
2. Sauté green beans with garlic; add almonds and lemon.
3. Slice pork; serve.</t>
        </is>
      </c>
      <c r="AC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25</v>
      </c>
      <c r="U929" s="2" t="inlineStr">
        <is>
          <t>low</t>
        </is>
      </c>
      <c r="V929" s="5" t="n">
        <v>4.9</v>
      </c>
      <c r="W929" s="2" t="inlineStr">
        <is>
          <t>low</t>
        </is>
      </c>
      <c r="X929" s="3" t="inlineStr"/>
      <c r="Y929" s="3" t="inlineStr">
        <is>
          <t>45% of this dish's available carbohydrate comes from ingredients with a published, measured GI; the rest uses conventional placeholders (see Ingredients sheet)</t>
        </is>
      </c>
      <c r="Z929" s="2" t="n">
        <v>45</v>
      </c>
      <c r="AA929" s="3" t="inlineStr">
        <is>
          <t>gluten-free, nut-free, high-protein, high-fiber</t>
        </is>
      </c>
      <c r="AB929" s="3" t="inlineStr">
        <is>
          <t>1. Halve peppers; roast 10 minutes.
2. Brown beef with onion and spices; add beans, tomatoes; simmer 8 minutes.
3. Fill; top cheddar; bake at 400°F 18 minutes; yogurt.</t>
        </is>
      </c>
      <c r="AC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0% of this dish's available carbohydrate comes from ingredients with a published, measured GI; the rest uses conventional placeholders (see Ingredients sheet)</t>
        </is>
      </c>
      <c r="Z930" s="2" t="n">
        <v>0</v>
      </c>
      <c r="AA930" s="3" t="inlineStr">
        <is>
          <t>gluten-free, dairy-free, nut-free, low-carb, high-protein, quick</t>
        </is>
      </c>
      <c r="AB930" s="3" t="inlineStr">
        <is>
          <t>1. Brown pork with garlic and jalapeño.
2. Add zucchini 3 minutes; fish sauce, tamari, sweetener.
3. Basil off heat.</t>
        </is>
      </c>
      <c r="AC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56% of this dish's available carbohydrate comes from ingredients with a published, measured GI; the rest uses conventional placeholders (see Ingredients sheet)</t>
        </is>
      </c>
      <c r="Z931" s="2" t="n">
        <v>56</v>
      </c>
      <c r="AA931" s="3" t="inlineStr">
        <is>
          <t>gluten-free, nut-free, high-protein, high-fiber, meal-prep</t>
        </is>
      </c>
      <c r="AB931" s="3" t="inlineStr">
        <is>
          <t>1. Brown beef with seasoning in oil.
2. Sauté cauliflower rice with lime.
3. Bowl with beans, pico, avocado, cheddar, romaine, yogurt.</t>
        </is>
      </c>
      <c r="AC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22% of this dish's available carbohydrate comes from ingredients with a published, measured GI; the rest uses conventional placeholders (see Ingredients sheet)</t>
        </is>
      </c>
      <c r="Z932" s="2" t="n">
        <v>22</v>
      </c>
      <c r="AA932" s="3" t="inlineStr">
        <is>
          <t>gluten-free, low-carb, high-protein</t>
        </is>
      </c>
      <c r="AB932" s="3" t="inlineStr">
        <is>
          <t>1. Mix lamb, garlic, oregano, mint, egg, almond flour, salt; form meatballs; bake at 400°F 18 minutes.
2. Sauté zoodles in oil.
3. Serve with cucumber-dill yogurt and lemon.</t>
        </is>
      </c>
      <c r="AC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10% of this dish's available carbohydrate comes from ingredients with a published, measured GI; the rest uses conventional placeholders (see Ingredients sheet)</t>
        </is>
      </c>
      <c r="Z933" s="2" t="n">
        <v>10</v>
      </c>
      <c r="AA933" s="3" t="inlineStr">
        <is>
          <t>gluten-free, nut-free, low-carb, high-protein</t>
        </is>
      </c>
      <c r="AB933" s="3" t="inlineStr">
        <is>
          <t>1. Sear chops; remove. Sauté mushrooms, onion, garlic, thyme; add broth; reduce; stir in yogurt and Dijon off heat.
2. Steam and mash cauliflower.
3. Serve chops with gravy over mash.</t>
        </is>
      </c>
      <c r="AC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20% of this dish's available carbohydrate comes from ingredients with a published, measured GI; the rest uses conventional placeholders (see Ingredients sheet)</t>
        </is>
      </c>
      <c r="Z934" s="2" t="n">
        <v>20</v>
      </c>
      <c r="AA934" s="3" t="inlineStr">
        <is>
          <t>gluten-free, nut-free, low-carb, high-protein</t>
        </is>
      </c>
      <c r="AB934" s="3" t="inlineStr">
        <is>
          <t>1. Mix beef, onion, parsley, garlic, spices, salt; form kofta; grill 12 minutes.
2. Whisk yogurt, tahini, lemon.
3. Serve in lettuce with tomato and sauce.</t>
        </is>
      </c>
      <c r="AC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24</v>
      </c>
      <c r="U935" s="2" t="inlineStr">
        <is>
          <t>low</t>
        </is>
      </c>
      <c r="V935" s="5" t="n">
        <v>2.2</v>
      </c>
      <c r="W935" s="2" t="inlineStr">
        <is>
          <t>low</t>
        </is>
      </c>
      <c r="X935" s="3" t="inlineStr"/>
      <c r="Y935" s="3" t="inlineStr">
        <is>
          <t>33% of this dish's available carbohydrate comes from ingredients with a published, measured GI; the rest uses conventional placeholders (see Ingredients sheet)</t>
        </is>
      </c>
      <c r="Z935" s="2" t="n">
        <v>33</v>
      </c>
      <c r="AA935" s="3" t="inlineStr">
        <is>
          <t>gluten-free, dairy-free, nut-free, low-carb, high-protein, quick</t>
        </is>
      </c>
      <c r="AB935" s="3" t="inlineStr">
        <is>
          <t>1. Brown pork with garlic and ginger; remove.
2. Scramble eggs; add carrot, cauliflower rice 5 minutes.
3. Return pork with peas, tamari, sesame oil, green onion.</t>
        </is>
      </c>
      <c r="AC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0% of this dish's available carbohydrate comes from ingredients with a published, measured GI; the rest uses conventional placeholders (see Ingredients sheet)</t>
        </is>
      </c>
      <c r="Z936" s="2" t="n">
        <v>0</v>
      </c>
      <c r="AA936" s="3" t="inlineStr">
        <is>
          <t>gluten-free, dairy-free, nut-free, low-carb, high-protein, one-pan, quick</t>
        </is>
      </c>
      <c r="AB936" s="3" t="inlineStr">
        <is>
          <t>1. Toss broccoli with half the oil, garlic, salt; roast at 450°F 10 minutes.
2. Add steak cubes tossed with remaining oil, paprika, tamari; roast 6–8 minutes.
3. Lemon.</t>
        </is>
      </c>
      <c r="AC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22% of this dish's available carbohydrate comes from ingredients with a published, measured GI; the rest uses conventional placeholders (see Ingredients sheet)</t>
        </is>
      </c>
      <c r="Z937" s="2" t="n">
        <v>22</v>
      </c>
      <c r="AA937" s="3" t="inlineStr">
        <is>
          <t>gluten-free, nut-free, low-carb, high-protein</t>
        </is>
      </c>
      <c r="AB937" s="3" t="inlineStr">
        <is>
          <t>1. Halve zucchini; scoop.
2. Brown beef with onion, garlic, seasoning; add spinach and marinara.
3. Fill; top mozzarella; bake at 400°F 22 minutes.</t>
        </is>
      </c>
      <c r="AC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12% of this dish's available carbohydrate comes from ingredients with a published, measured GI; the rest uses conventional placeholders (see Ingredients sheet)</t>
        </is>
      </c>
      <c r="Z938" s="2" t="n">
        <v>12</v>
      </c>
      <c r="AA938" s="3" t="inlineStr">
        <is>
          <t>gluten-free, nut-free, low-carb, high-protein</t>
        </is>
      </c>
      <c r="AB938" s="3" t="inlineStr">
        <is>
          <t>1. Marinate pork cubes; skewer; grill 12 minutes.
2. Sauté cauliflower rice with lemon and oregano.
3. Bowl with cucumber, tomato, onion, feta, yogurt-dill.</t>
        </is>
      </c>
      <c r="AC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32</v>
      </c>
      <c r="U939" s="2" t="inlineStr">
        <is>
          <t>low</t>
        </is>
      </c>
      <c r="V939" s="5" t="n">
        <v>10.9</v>
      </c>
      <c r="W939" s="2" t="inlineStr">
        <is>
          <t>medium</t>
        </is>
      </c>
      <c r="X939" s="3" t="inlineStr"/>
      <c r="Y939" s="3" t="inlineStr">
        <is>
          <t>57% of this dish's available carbohydrate comes from ingredients with a published, measured GI; the rest uses conventional placeholders (see Ingredients sheet)</t>
        </is>
      </c>
      <c r="Z939" s="2" t="n">
        <v>57</v>
      </c>
      <c r="AA939" s="3" t="inlineStr">
        <is>
          <t>vegan, gluten-free, dairy-free, nut-free, high-fiber, make-ahead</t>
        </is>
      </c>
      <c r="AB939" s="3" t="inlineStr">
        <is>
          <t>1. Sauté onion, garlic, ginger, curry powder in oil.
2. Add cauliflower, chickpeas, tomatoes, coconut milk; simmer 15 minutes.
3. Spinach, lime, cilantro.</t>
        </is>
      </c>
      <c r="AC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6% of this dish's available carbohydrate comes from ingredients with a published, measured GI; the rest uses conventional placeholders (see Ingredients sheet)</t>
        </is>
      </c>
      <c r="Z940" s="2" t="n">
        <v>6</v>
      </c>
      <c r="AA940" s="3" t="inlineStr">
        <is>
          <t>vegetarian, gluten-free, dairy-free, low-carb, quick</t>
        </is>
      </c>
      <c r="AB940" s="3" t="inlineStr">
        <is>
          <t>1. Scramble eggs in oil; push aside.
2. Add zoodles, garlic, tamari, lime, sweetener, sriracha; toss 2 minutes.
3. Edamame, sprouts, green onion, peanuts.</t>
        </is>
      </c>
      <c r="AC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0% of this dish's available carbohydrate comes from ingredients with a published, measured GI; the rest uses conventional placeholders (see Ingredients sheet)</t>
        </is>
      </c>
      <c r="Z941" s="2" t="n">
        <v>0</v>
      </c>
      <c r="AA941" s="3" t="inlineStr">
        <is>
          <t>vegan, gluten-free, dairy-free, nut-free, low-carb, high-protein, high-fiber</t>
        </is>
      </c>
      <c r="AB941" s="3" t="inlineStr">
        <is>
          <t>1. Sauté mushrooms and garlic in oil.
2. Crumble tofu in with turmeric, nutritional yeast, salt; cook 6 minutes; wilt spinach.
3. Bowl with avocado and tomato.</t>
        </is>
      </c>
      <c r="AC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28</v>
      </c>
      <c r="U942" s="2" t="inlineStr">
        <is>
          <t>low</t>
        </is>
      </c>
      <c r="V942" s="5" t="n">
        <v>6.8</v>
      </c>
      <c r="W942" s="2" t="inlineStr">
        <is>
          <t>low</t>
        </is>
      </c>
      <c r="X942" s="3" t="inlineStr"/>
      <c r="Y942" s="3" t="inlineStr">
        <is>
          <t>50% of this dish's available carbohydrate comes from ingredients with a published, measured GI; the rest uses conventional placeholders (see Ingredients sheet)</t>
        </is>
      </c>
      <c r="Z942" s="2" t="n">
        <v>50</v>
      </c>
      <c r="AA942" s="3" t="inlineStr">
        <is>
          <t>vegetarian, gluten-free, nut-free, high-fiber, meal-prep</t>
        </is>
      </c>
      <c r="AB942" s="3" t="inlineStr">
        <is>
          <t>1. Halve peppers; roast 10 minutes.
2. Sauté onion, garlic, zucchini; add lentils, tomatoes, cumin.
3. Fill; top feta; bake at 400°F 20 minutes; parsley.</t>
        </is>
      </c>
      <c r="AC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32</v>
      </c>
      <c r="U943" s="2" t="inlineStr">
        <is>
          <t>low</t>
        </is>
      </c>
      <c r="V943" s="5" t="n">
        <v>11.1</v>
      </c>
      <c r="W943" s="2" t="inlineStr">
        <is>
          <t>medium</t>
        </is>
      </c>
      <c r="X943" s="3" t="inlineStr"/>
      <c r="Y943" s="3" t="inlineStr">
        <is>
          <t>70% of this dish's available carbohydrate comes from ingredients with a published, measured GI; the rest uses conventional placeholders (see Ingredients sheet)</t>
        </is>
      </c>
      <c r="Z943" s="2" t="n">
        <v>70</v>
      </c>
      <c r="AA943" s="3" t="inlineStr">
        <is>
          <t>vegan, gluten-free, dairy-free, nut-free, high-fiber</t>
        </is>
      </c>
      <c r="AB943" s="3" t="inlineStr">
        <is>
          <t>1. Toss chickpeas with spices, garlic, half the oil; roast at 425°F 22 minutes.
2. Sauté cauliflower rice.
3. Bowl with cucumber, tomato, onion; tahini-lemon sauce; parsley.</t>
        </is>
      </c>
      <c r="AC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32</v>
      </c>
      <c r="U944" s="2" t="inlineStr">
        <is>
          <t>low</t>
        </is>
      </c>
      <c r="V944" s="5" t="n">
        <v>10</v>
      </c>
      <c r="W944" s="2" t="inlineStr">
        <is>
          <t>low</t>
        </is>
      </c>
      <c r="X944" s="3" t="inlineStr"/>
      <c r="Y944" s="3" t="inlineStr">
        <is>
          <t>62% of this dish's available carbohydrate comes from ingredients with a published, measured GI; the rest uses conventional placeholders (see Ingredients sheet)</t>
        </is>
      </c>
      <c r="Z944" s="2" t="n">
        <v>62</v>
      </c>
      <c r="AA944" s="3" t="inlineStr">
        <is>
          <t>vegan, gluten-free, dairy-free, nut-free, high-fiber, make-ahead</t>
        </is>
      </c>
      <c r="AB944" s="3" t="inlineStr">
        <is>
          <t>1. Sauté eggplant cubes in oil until golden; remove.
2. Sauté onion, garlic, spices; add tomatoes, chickpeas, eggplant.
3. Simmer 20 minutes; parsley, lemon.</t>
        </is>
      </c>
      <c r="AC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0% of this dish's available carbohydrate comes from ingredients with a published, measured GI; the rest uses conventional placeholders (see Ingredients sheet)</t>
        </is>
      </c>
      <c r="Z945" s="2" t="n">
        <v>0</v>
      </c>
      <c r="AA945" s="3" t="inlineStr">
        <is>
          <t>vegan, gluten-free, dairy-free, nut-free, low-carb, high-protein, high-fiber</t>
        </is>
      </c>
      <c r="AB945" s="3" t="inlineStr">
        <is>
          <t>1. Roast tofu and broccoli with oil at 425°F 20 minutes.
2. Sauté cauliflower rice.
3. Whisk tahini, lemon, tamari, garlic, water; bowl; sesame.</t>
        </is>
      </c>
      <c r="AC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0% of this dish's available carbohydrate comes from ingredients with a published, measured GI; the rest uses conventional placeholders (see Ingredients sheet)</t>
        </is>
      </c>
      <c r="Z946" s="2" t="n">
        <v>0</v>
      </c>
      <c r="AA946" s="3" t="inlineStr">
        <is>
          <t>vegetarian, gluten-free, nut-free, low-carb</t>
        </is>
      </c>
      <c r="AB946" s="3" t="inlineStr">
        <is>
          <t>1. Halve zucchini; scoop; roast 10 minutes.
2. Whisk eggs, feta, chopped tomato, dill, green onion, salt.
3. Fill; bake at 375°F 18 minutes until set.</t>
        </is>
      </c>
      <c r="AC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61% of this dish's available carbohydrate comes from ingredients with a published, measured GI; the rest uses conventional placeholders (see Ingredients sheet)</t>
        </is>
      </c>
      <c r="Z947" s="2" t="n">
        <v>61</v>
      </c>
      <c r="AA947" s="3" t="inlineStr">
        <is>
          <t>vegetarian, gluten-free, nut-free, high-fiber, one-pan, quick</t>
        </is>
      </c>
      <c r="AB947" s="3" t="inlineStr">
        <is>
          <t>1. Sauté onion, pepper, garlic, spices in oil.
2. Add cauliflower rice, beans, tomatoes; simmer 8 minutes.
3. Cheddar, avocado, cilantro, lime.</t>
        </is>
      </c>
      <c r="AC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0% of this dish's available carbohydrate comes from ingredients with a published, measured GI; the rest uses conventional placeholders (see Ingredients sheet)</t>
        </is>
      </c>
      <c r="Z948" s="2" t="n">
        <v>0</v>
      </c>
      <c r="AA948" s="3" t="inlineStr">
        <is>
          <t>vegan, gluten-free, dairy-free, nut-free, low-carb, high-protein, high-fiber, quick</t>
        </is>
      </c>
      <c r="AB948" s="3" t="inlineStr">
        <is>
          <t>1. Crumble tempeh; brown in oil with ginger and garlic.
2. Add water chestnuts, tamari, vinegar, sesame oil.
3. Fill lettuce; green onion, sriracha.</t>
        </is>
      </c>
      <c r="AC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40% of this dish's available carbohydrate comes from ingredients with a published, measured GI; the rest uses conventional placeholders (see Ingredients sheet)</t>
        </is>
      </c>
      <c r="Z949" s="2" t="n">
        <v>40</v>
      </c>
      <c r="AA949" s="3" t="inlineStr">
        <is>
          <t>vegetarian, gluten-free, nut-free, high-fiber</t>
        </is>
      </c>
      <c r="AB949" s="3" t="inlineStr">
        <is>
          <t>1. Roast halved squash 40 minutes.
2. Sear mushrooms in oil; add onion, garlic, wine, tomatoes, beans, rosemary; simmer 15 minutes.
3. Serve over squash with parmesan.</t>
        </is>
      </c>
      <c r="AC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0% of this dish's available carbohydrate comes from ingredients with a published, measured GI; the rest uses conventional placeholders (see Ingredients sheet)</t>
        </is>
      </c>
      <c r="Z950" s="2" t="n">
        <v>0</v>
      </c>
      <c r="AA950" s="3" t="inlineStr">
        <is>
          <t>vegetarian, gluten-free, dairy-free, nut-free, low-carb, quick, probiotic</t>
        </is>
      </c>
      <c r="AB950" s="3" t="inlineStr">
        <is>
          <t>1. Stir-fry cauliflower rice and kimchi in oil 5 minutes.
2. Scramble eggs in; tamari, sesame oil.
3. Green onion, nori.</t>
        </is>
      </c>
      <c r="AC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0% of this dish's available carbohydrate comes from ingredients with a published, measured GI; the rest uses conventional placeholders (see Ingredients sheet)</t>
        </is>
      </c>
      <c r="Z951" s="2" t="n">
        <v>0</v>
      </c>
      <c r="AA951" s="3" t="inlineStr">
        <is>
          <t>vegetarian, gluten-free, nut-free, low-carb</t>
        </is>
      </c>
      <c r="AB951" s="3" t="inlineStr">
        <is>
          <t>1. Sauté onion and chopped broccoli in oil in an ovenproof skillet 5 minutes.
2. Pour in egg whites and eggs whisked with Dijon and salt; top cheddar.
3. Bake at 375°F 15–18 minutes.</t>
        </is>
      </c>
      <c r="AC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0% of this dish's available carbohydrate comes from ingredients with a published, measured GI; the rest uses conventional placeholders (see Ingredients sheet)</t>
        </is>
      </c>
      <c r="Z952" s="2" t="n">
        <v>0</v>
      </c>
      <c r="AA952" s="3" t="inlineStr">
        <is>
          <t>vegetarian, gluten-free, dairy-free, low-carb, high-protein, high-fiber</t>
        </is>
      </c>
      <c r="AB952" s="3" t="inlineStr">
        <is>
          <t>1. Press tofu; slice slabs; dip in egg then almond flour-sesame; pan-fry in oil 3 minutes per side.
2. Toss shredded cabbage with vinegar.
3. Serve with tamari-sweetener dipping sauce; green onion.</t>
        </is>
      </c>
      <c r="AC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31</v>
      </c>
      <c r="U953" s="2" t="inlineStr">
        <is>
          <t>low</t>
        </is>
      </c>
      <c r="V953" s="5" t="n">
        <v>5.9</v>
      </c>
      <c r="W953" s="2" t="inlineStr">
        <is>
          <t>low</t>
        </is>
      </c>
      <c r="X953" s="3" t="inlineStr"/>
      <c r="Y953" s="3" t="inlineStr">
        <is>
          <t>64% of this dish's available carbohydrate comes from ingredients with a published, measured GI; the rest uses conventional placeholders (see Ingredients sheet)</t>
        </is>
      </c>
      <c r="Z953" s="2" t="n">
        <v>64</v>
      </c>
      <c r="AA953" s="3" t="inlineStr">
        <is>
          <t>vegan, gluten-free, dairy-free, high-fiber</t>
        </is>
      </c>
      <c r="AB953" s="3" t="inlineStr">
        <is>
          <t>1. Pulse lentils and walnuts coarsely.
2. Sauté onion, garlic; add lentil mix, seasoning, tomato paste, splash of water; cook 6 minutes.
3. Fill romaine; avocado, salsa, cilantro.</t>
        </is>
      </c>
      <c r="AC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16% of this dish's available carbohydrate comes from ingredients with a published, measured GI; the rest uses conventional placeholders (see Ingredients sheet)</t>
        </is>
      </c>
      <c r="Z954" s="2" t="n">
        <v>16</v>
      </c>
      <c r="AA954" s="3" t="inlineStr">
        <is>
          <t>vegetarian, gluten-free, nut-free, low-carb</t>
        </is>
      </c>
      <c r="AB954" s="3" t="inlineStr">
        <is>
          <t>1. Hard-boil eggs; chop; mix with yogurt, Dijon, chives, celery, salt.
2. Hollow tomatoes.
3. Fill.</t>
        </is>
      </c>
      <c r="AC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31</v>
      </c>
      <c r="U955" s="2" t="inlineStr">
        <is>
          <t>low</t>
        </is>
      </c>
      <c r="V955" s="5" t="n">
        <v>9.1</v>
      </c>
      <c r="W955" s="2" t="inlineStr">
        <is>
          <t>low</t>
        </is>
      </c>
      <c r="X955" s="3" t="inlineStr"/>
      <c r="Y955" s="3" t="inlineStr">
        <is>
          <t>49% of this dish's available carbohydrate comes from ingredients with a published, measured GI; the rest uses conventional placeholders (see Ingredients sheet)</t>
        </is>
      </c>
      <c r="Z955" s="2" t="n">
        <v>49</v>
      </c>
      <c r="AA955" s="3" t="inlineStr">
        <is>
          <t>vegan, dairy-free, nut-free, high-fiber</t>
        </is>
      </c>
      <c r="AB955" s="3" t="inlineStr">
        <is>
          <t>1. Roast cauliflower and chickpeas with spices, garlic, oil at 425°F 22 minutes.
2. Whisk tahini, lemon, water.
3. Fill tortillas; cucumber, tomato, parsley.</t>
        </is>
      </c>
      <c r="AC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0% of this dish's available carbohydrate comes from ingredients with a published, measured GI; the rest uses conventional placeholders (see Ingredients sheet)</t>
        </is>
      </c>
      <c r="Z956" s="2" t="n">
        <v>0</v>
      </c>
      <c r="AA956" s="3" t="inlineStr">
        <is>
          <t>vegetarian, dairy-free, nut-free, high-protein, quick</t>
        </is>
      </c>
      <c r="AB956" s="3" t="inlineStr">
        <is>
          <t>1. Simmer broth with ginger and shiitake 5 minutes; add bok choy, tofu 3 minutes.
2. Poach eggs in the broth 3 minutes.
3. Whisk in miso off heat; green onion, sesame oil.</t>
        </is>
      </c>
      <c r="AC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0% of this dish's available carbohydrate comes from ingredients with a published, measured GI; the rest uses conventional placeholders (see Ingredients sheet)</t>
        </is>
      </c>
      <c r="Z957" s="2" t="n">
        <v>0</v>
      </c>
      <c r="AA957" s="3" t="inlineStr">
        <is>
          <t>vegetarian, nut-free, low-carb, high-protein, high-fiber, quick</t>
        </is>
      </c>
      <c r="AB957" s="3" t="inlineStr">
        <is>
          <t>1. Wilt spinach in oil; add egg whites; scramble.
2. Add feta and tomato.
3. Roll in tortilla.</t>
        </is>
      </c>
      <c r="AC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50</v>
      </c>
      <c r="U958" s="2" t="inlineStr">
        <is>
          <t>low</t>
        </is>
      </c>
      <c r="V958" s="5" t="n">
        <v>9.5</v>
      </c>
      <c r="W958" s="2" t="inlineStr">
        <is>
          <t>low</t>
        </is>
      </c>
      <c r="X958" s="3" t="inlineStr"/>
      <c r="Y958" s="3" t="inlineStr">
        <is>
          <t>90% of this dish's available carbohydrate comes from ingredients with a published, measured GI; the rest uses conventional placeholders (see Ingredients sheet)</t>
        </is>
      </c>
      <c r="Z958" s="2" t="n">
        <v>90</v>
      </c>
      <c r="AA958" s="3" t="inlineStr">
        <is>
          <t>vegetarian, high-protein</t>
        </is>
      </c>
      <c r="AB958" s="3" t="inlineStr">
        <is>
          <t>1. Blend pumpkin, eggs, protein, oats, spice, baking powder.
2. Cook small pancakes in oil 2–3 minutes per side.
3. Yogurt, pecans.</t>
        </is>
      </c>
      <c r="AC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0% of this dish's available carbohydrate comes from ingredients with a published, measured GI; the rest uses conventional placeholders (see Ingredients sheet)</t>
        </is>
      </c>
      <c r="Z959" s="2" t="n">
        <v>0</v>
      </c>
      <c r="AA959" s="3" t="inlineStr">
        <is>
          <t>gluten-free, nut-free, low-carb, high-protein, quick</t>
        </is>
      </c>
      <c r="AB959" s="3" t="inlineStr">
        <is>
          <t>1. Brown sausage with pepper; add cauliflower rice 4 minutes.
2. Scramble eggs in; cheddar.
3. Green onion, hot sauce.</t>
        </is>
      </c>
      <c r="AC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91% of this dish's available carbohydrate comes from ingredients with a published, measured GI; the rest uses conventional placeholders (see Ingredients sheet)</t>
        </is>
      </c>
      <c r="Z960" s="2" t="n">
        <v>91</v>
      </c>
      <c r="AA960" s="3" t="inlineStr">
        <is>
          <t>vegetarian, high-fiber, make-ahead, no-cook</t>
        </is>
      </c>
      <c r="AB960" s="3" t="inlineStr">
        <is>
          <t>1. Stir oats, chia, milk, yogurt, vanilla.
2. Refrigerate overnight.
3. Blueberries, almonds.</t>
        </is>
      </c>
      <c r="AC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0% of this dish's available carbohydrate comes from ingredients with a published, measured GI; the rest uses conventional placeholders (see Ingredients sheet)</t>
        </is>
      </c>
      <c r="Z961" s="2" t="n">
        <v>0</v>
      </c>
      <c r="AA961" s="3" t="inlineStr">
        <is>
          <t>vegetarian, nut-free, high-protein, high-fiber, quick</t>
        </is>
      </c>
      <c r="AB961" s="3" t="inlineStr">
        <is>
          <t>1. Scramble eggs in oil.
2. Warm tortillas; fill with eggs, avocado, salsa.
3. Cotija, cilantro.</t>
        </is>
      </c>
      <c r="AC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0% of this dish's available carbohydrate comes from ingredients with a published, measured GI; the rest uses conventional placeholders (see Ingredients sheet)</t>
        </is>
      </c>
      <c r="Z962" s="2" t="n">
        <v>0</v>
      </c>
      <c r="AA962" s="3" t="inlineStr">
        <is>
          <t>vegetarian, gluten-free, nut-free, low-carb, quick</t>
        </is>
      </c>
      <c r="AB962" s="3" t="inlineStr">
        <is>
          <t>1. Whisk eggs with cottage cheese and pepper.
2. Cook in butter over low heat, stirring, for soft curds.
3. Chives; tomato on the side.</t>
        </is>
      </c>
      <c r="AC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20</v>
      </c>
      <c r="U963" s="2" t="inlineStr">
        <is>
          <t>low</t>
        </is>
      </c>
      <c r="V963" s="5" t="n">
        <v>4.4</v>
      </c>
      <c r="W963" s="2" t="inlineStr">
        <is>
          <t>low</t>
        </is>
      </c>
      <c r="X963" s="3" t="inlineStr"/>
      <c r="Y963" s="3" t="inlineStr">
        <is>
          <t>91% of this dish's available carbohydrate comes from ingredients with a published, measured GI; the rest uses conventional placeholders (see Ingredients sheet)</t>
        </is>
      </c>
      <c r="Z963" s="2" t="n">
        <v>91</v>
      </c>
      <c r="AA963" s="3" t="inlineStr">
        <is>
          <t>vegetarian, gluten-free, no-cook, quick</t>
        </is>
      </c>
      <c r="AB963" s="3" t="inlineStr">
        <is>
          <t>1. Bowl yogurt.
2. Top diced pear, walnuts, chia.
3. Cinnamon.</t>
        </is>
      </c>
      <c r="AC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0% of this dish's available carbohydrate comes from ingredients with a published, measured GI; the rest uses conventional placeholders (see Ingredients sheet)</t>
        </is>
      </c>
      <c r="Z964" s="2" t="n">
        <v>0</v>
      </c>
      <c r="AA964" s="3" t="inlineStr">
        <is>
          <t>pescatarian, gluten-free, nut-free, low-carb, high-protein, omega-3, quick</t>
        </is>
      </c>
      <c r="AB964" s="3" t="inlineStr">
        <is>
          <t>1. Whisk eggs; cook in butter low and slow.
2. Fold in cream cheese and salmon at the end.
3. Chives, pepper.</t>
        </is>
      </c>
      <c r="AC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41% of this dish's available carbohydrate comes from ingredients with a published, measured GI; the rest uses conventional placeholders (see Ingredients sheet)</t>
        </is>
      </c>
      <c r="Z965" s="2" t="n">
        <v>41</v>
      </c>
      <c r="AA965" s="3" t="inlineStr">
        <is>
          <t>vegetarian, gluten-free, dairy-free, nut-free, low-carb, high-protein</t>
        </is>
      </c>
      <c r="AB965" s="3" t="inlineStr">
        <is>
          <t>1. Sauté mushrooms and spinach in oil.
2. Pour egg whites; cook until set; fold with tomato.
3. Serve with hummus and za'atar.</t>
        </is>
      </c>
      <c r="AC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80% of this dish's available carbohydrate comes from ingredients with a published, measured GI; the rest uses conventional placeholders (see Ingredients sheet)</t>
        </is>
      </c>
      <c r="Z966" s="2" t="n">
        <v>80</v>
      </c>
      <c r="AA966" s="3" t="inlineStr">
        <is>
          <t>vegetarian, high-protein, high-fiber, make-ahead, no-cook</t>
        </is>
      </c>
      <c r="AB966" s="3" t="inlineStr">
        <is>
          <t>1. Whisk protein, cocoa, sweetener into milk; stir oats and chia.
2. Refrigerate overnight.
3. Raspberries.</t>
        </is>
      </c>
      <c r="AC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16% of this dish's available carbohydrate comes from ingredients with a published, measured GI; the rest uses conventional placeholders (see Ingredients sheet)</t>
        </is>
      </c>
      <c r="Z967" s="2" t="n">
        <v>16</v>
      </c>
      <c r="AA967" s="3" t="inlineStr">
        <is>
          <t>gluten-free, nut-free, low-carb, meal-prep</t>
        </is>
      </c>
      <c r="AB967" s="3" t="inlineStr">
        <is>
          <t>1. Brown crumbled sausage.
2. Divide sausage, spinach, pepper, cheddar into 12 oiled cups; pour whisked eggs with milk and salt.
3. Bake at 350°F 20 minutes.</t>
        </is>
      </c>
      <c r="AC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47</v>
      </c>
      <c r="U968" s="2" t="inlineStr">
        <is>
          <t>low</t>
        </is>
      </c>
      <c r="V968" s="5" t="n">
        <v>7.9</v>
      </c>
      <c r="W968" s="2" t="inlineStr">
        <is>
          <t>low</t>
        </is>
      </c>
      <c r="X968" s="3" t="inlineStr"/>
      <c r="Y968" s="3" t="inlineStr">
        <is>
          <t>71% of this dish's available carbohydrate comes from ingredients with a published, measured GI; the rest uses conventional placeholders (see Ingredients sheet)</t>
        </is>
      </c>
      <c r="Z968" s="2" t="n">
        <v>71</v>
      </c>
      <c r="AA968" s="3" t="inlineStr">
        <is>
          <t>vegetarian, gluten-free, nut-free, quick</t>
        </is>
      </c>
      <c r="AB968" s="3" t="inlineStr">
        <is>
          <t>1. Toast bread.
2. Spread cottage cheese; top sliced avocado.
3. Seasoning, pepper flakes.</t>
        </is>
      </c>
      <c r="AC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87% of this dish's available carbohydrate comes from ingredients with a published, measured GI; the rest uses conventional placeholders (see Ingredients sheet)</t>
        </is>
      </c>
      <c r="Z969" s="2" t="n">
        <v>87</v>
      </c>
      <c r="AA969" s="3" t="inlineStr">
        <is>
          <t>vegetarian, gluten-free, high-protein, quick, no-cook</t>
        </is>
      </c>
      <c r="AB969" s="3" t="inlineStr">
        <is>
          <t>1. Blend strawberries, yogurt, protein, milk until thick.
2. Bowl; top chia, almonds, coconut.</t>
        </is>
      </c>
      <c r="AC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0% of this dish's available carbohydrate comes from ingredients with a published, measured GI; the rest uses conventional placeholders (see Ingredients sheet)</t>
        </is>
      </c>
      <c r="Z970" s="2" t="n">
        <v>0</v>
      </c>
      <c r="AA970" s="3" t="inlineStr">
        <is>
          <t>vegetarian, gluten-free, nut-free, low-carb, meal-prep</t>
        </is>
      </c>
      <c r="AB970" s="3" t="inlineStr">
        <is>
          <t>1. Sauté mushrooms in oil; add spinach.
2. Divide into 8 oiled cups; pour egg whites with parmesan, garlic powder, salt.
3. Bake at 350°F 18 minutes.</t>
        </is>
      </c>
      <c r="AC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32% of this dish's available carbohydrate comes from ingredients with a published, measured GI; the rest uses conventional placeholders (see Ingredients sheet)</t>
        </is>
      </c>
      <c r="Z971" s="2" t="n">
        <v>32</v>
      </c>
      <c r="AA971" s="3" t="inlineStr">
        <is>
          <t>vegan, gluten-free, dairy-free, low-carb, high-fiber, make-ahead</t>
        </is>
      </c>
      <c r="AB971" s="3" t="inlineStr">
        <is>
          <t>1. Whisk peanut butter, sweetener, vanilla into milk; stir chia.
2. Refrigerate 4+ hours.
3. Strawberries.</t>
        </is>
      </c>
      <c r="AC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50% of this dish's available carbohydrate comes from ingredients with a published, measured GI; the rest uses conventional placeholders (see Ingredients sheet)</t>
        </is>
      </c>
      <c r="Z972" s="2" t="n">
        <v>50</v>
      </c>
      <c r="AA972" s="3" t="inlineStr">
        <is>
          <t>vegetarian, gluten-free, nut-free, low-carb, quick</t>
        </is>
      </c>
      <c r="AB972" s="3" t="inlineStr">
        <is>
          <t>1. Sauté onion, pepper, jalapeño with cumin in oil; add beans.
2. Add whisked eggs; scramble; cheddar.
3. Salsa, cilantro.</t>
        </is>
      </c>
      <c r="AC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78% of this dish's available carbohydrate comes from ingredients with a published, measured GI; the rest uses conventional placeholders (see Ingredients sheet)</t>
        </is>
      </c>
      <c r="Z973" s="2" t="n">
        <v>78</v>
      </c>
      <c r="AA973" s="3" t="inlineStr">
        <is>
          <t>vegetarian, nut-free</t>
        </is>
      </c>
      <c r="AB973" s="3" t="inlineStr">
        <is>
          <t>1. Blend cottage cheese, eggs, oats, cinnamon, vanilla, baking powder.
2. Cook small pancakes in oil 2–3 minutes per side.
3. Yogurt, blueberries.</t>
        </is>
      </c>
      <c r="AC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0% of this dish's available carbohydrate comes from ingredients with a published, measured GI; the rest uses conventional placeholders (see Ingredients sheet)</t>
        </is>
      </c>
      <c r="Z974" s="2" t="n">
        <v>0</v>
      </c>
      <c r="AA974" s="3" t="inlineStr">
        <is>
          <t>gluten-free, nut-free, low-carb, quick</t>
        </is>
      </c>
      <c r="AB974" s="3" t="inlineStr">
        <is>
          <t>1. Line 6 muffin cups with ham slices.
2. Add spinach and cheese; crack an egg into each; pepper.
3. Bake at 375°F 13–15 minutes.</t>
        </is>
      </c>
      <c r="AC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0% of this dish's available carbohydrate comes from ingredients with a published, measured GI; the rest uses conventional placeholders (see Ingredients sheet)</t>
        </is>
      </c>
      <c r="Z975" s="2" t="n">
        <v>0</v>
      </c>
      <c r="AA975" s="3" t="inlineStr">
        <is>
          <t>vegan, dairy-free, nut-free, low-carb, high-protein, high-fiber</t>
        </is>
      </c>
      <c r="AB975" s="3" t="inlineStr">
        <is>
          <t>1. Crumble tofu; sauté with pepper, turmeric, cumin, nutritional yeast; wilt spinach.
2. Fill tortillas with tofu, salsa, avocado.
3. Roll.</t>
        </is>
      </c>
      <c r="AC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0% of this dish's available carbohydrate comes from ingredients with a published, measured GI; the rest uses conventional placeholders (see Ingredients sheet)</t>
        </is>
      </c>
      <c r="Z976" s="2" t="n">
        <v>0</v>
      </c>
      <c r="AA976" s="3" t="inlineStr">
        <is>
          <t>pescatarian, gluten-free, dairy-free, nut-free, low-carb, high-protein, high-fiber, omega-3</t>
        </is>
      </c>
      <c r="AB976" s="3" t="inlineStr">
        <is>
          <t>1. Roast salmon 12 minutes.
2. Whisk tahini, lemon, garlic, water, salt; massage into kale.
3. Top cucumber, radish, avocado, salmon, hemp.</t>
        </is>
      </c>
      <c r="AC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0% of this dish's available carbohydrate comes from ingredients with a published, measured GI; the rest uses conventional placeholders (see Ingredients sheet)</t>
        </is>
      </c>
      <c r="Z977" s="2" t="n">
        <v>0</v>
      </c>
      <c r="AA977" s="3" t="inlineStr">
        <is>
          <t>gluten-free, dairy-free, nut-free, low-carb, high-protein, no-cook, quick</t>
        </is>
      </c>
      <c r="AB977" s="3" t="inlineStr">
        <is>
          <t>1. Chop chicken, cucumber, avocado, tomato, onion.
2. Toss with cilantro, lime, oil, salt.</t>
        </is>
      </c>
      <c r="AC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16% of this dish's available carbohydrate comes from ingredients with a published, measured GI; the rest uses conventional placeholders (see Ingredients sheet)</t>
        </is>
      </c>
      <c r="Z978" s="2" t="n">
        <v>16</v>
      </c>
      <c r="AA978" s="3" t="inlineStr">
        <is>
          <t>pescatarian, gluten-free, nut-free, low-carb, high-protein, no-cook</t>
        </is>
      </c>
      <c r="AB978" s="3" t="inlineStr">
        <is>
          <t>1. Whisk yogurt, lemon, Dijon, anchovy, garlic, oil.
2. Massage into kale.
3. Top tuna, parmesan, pumpkin seeds.</t>
        </is>
      </c>
      <c r="AC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80% of this dish's available carbohydrate comes from ingredients with a published, measured GI; the rest uses conventional placeholders (see Ingredients sheet)</t>
        </is>
      </c>
      <c r="Z979" s="2" t="n">
        <v>80</v>
      </c>
      <c r="AA979" s="3" t="inlineStr">
        <is>
          <t>pescatarian, gluten-free, nut-free, high-protein</t>
        </is>
      </c>
      <c r="AB979" s="3" t="inlineStr">
        <is>
          <t>1. Sauté shrimp 3 minutes; cool.
2. Toss quinoa, cucumber, tomato, olives, parsley with lemon, oil, oregano.
3. Add shrimp and feta.</t>
        </is>
      </c>
      <c r="AC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0% of this dish's available carbohydrate comes from ingredients with a published, measured GI; the rest uses conventional placeholders (see Ingredients sheet)</t>
        </is>
      </c>
      <c r="Z980" s="2" t="n">
        <v>0</v>
      </c>
      <c r="AA980" s="3" t="inlineStr">
        <is>
          <t>vegetarian, gluten-free, nut-free, low-carb</t>
        </is>
      </c>
      <c r="AB980" s="3" t="inlineStr">
        <is>
          <t>1. Soft-boil eggs 7 minutes; blanch asparagus 3 minutes.
2. Whisk oil, Dijon, lemon.
3. Toss greens, asparagus, radish; top halved eggs, parmesan, chives.</t>
        </is>
      </c>
      <c r="AC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0% of this dish's available carbohydrate comes from ingredients with a published, measured GI; the rest uses conventional placeholders (see Ingredients sheet)</t>
        </is>
      </c>
      <c r="Z981" s="2" t="n">
        <v>0</v>
      </c>
      <c r="AA981" s="3" t="inlineStr">
        <is>
          <t>gluten-free, nut-free, low-carb, high-protein</t>
        </is>
      </c>
      <c r="AB981" s="3" t="inlineStr">
        <is>
          <t>1. Sear steak; rest; slice. Boil eggs; crisp bacon.
2. Whisk oil, vinegar, Dijon.
3. Arrange over romaine; dressing.</t>
        </is>
      </c>
      <c r="AC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34</v>
      </c>
      <c r="U982" s="2" t="inlineStr">
        <is>
          <t>low</t>
        </is>
      </c>
      <c r="V982" s="5" t="n">
        <v>10.5</v>
      </c>
      <c r="W982" s="2" t="inlineStr">
        <is>
          <t>medium</t>
        </is>
      </c>
      <c r="X982" s="3" t="inlineStr"/>
      <c r="Y982" s="3" t="inlineStr">
        <is>
          <t>84% of this dish's available carbohydrate comes from ingredients with a published, measured GI; the rest uses conventional placeholders (see Ingredients sheet)</t>
        </is>
      </c>
      <c r="Z982" s="2" t="n">
        <v>84</v>
      </c>
      <c r="AA982" s="3" t="inlineStr">
        <is>
          <t>vegetarian, gluten-free, nut-free, high-fiber, no-cook, quick</t>
        </is>
      </c>
      <c r="AB982" s="3" t="inlineStr">
        <is>
          <t>1. Combine chickpeas, cucumber, onion, dill.
2. Dress with lemon, oil, salt.
3. Feta.</t>
        </is>
      </c>
      <c r="AC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20% of this dish's available carbohydrate comes from ingredients with a published, measured GI; the rest uses conventional placeholders (see Ingredients sheet)</t>
        </is>
      </c>
      <c r="Z983" s="2" t="n">
        <v>20</v>
      </c>
      <c r="AA983" s="3" t="inlineStr">
        <is>
          <t>gluten-free, dairy-free, low-carb, high-protein, no-cook</t>
        </is>
      </c>
      <c r="AB983" s="3" t="inlineStr">
        <is>
          <t>1. Whisk peanut butter, lime, tamari, ginger, sriracha, water.
2. Toss zoodles, carrot, cabbage, chicken, cilantro with dressing.
3. Peanuts.</t>
        </is>
      </c>
      <c r="AC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0% of this dish's available carbohydrate comes from ingredients with a published, measured GI; the rest uses conventional placeholders (see Ingredients sheet)</t>
        </is>
      </c>
      <c r="Z984" s="2" t="n">
        <v>0</v>
      </c>
      <c r="AA984" s="3" t="inlineStr">
        <is>
          <t>pescatarian, gluten-free, dairy-free, nut-free, low-carb, high-protein, quick</t>
        </is>
      </c>
      <c r="AB984" s="3" t="inlineStr">
        <is>
          <t>1. Sauté shrimp; cool.
2. Chop vegetables.
3. Toss with lemon, oil, dill, salt; add shrimp.</t>
        </is>
      </c>
      <c r="AC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39</v>
      </c>
      <c r="U985" s="2" t="inlineStr">
        <is>
          <t>low</t>
        </is>
      </c>
      <c r="V985" s="5" t="n">
        <v>7.6</v>
      </c>
      <c r="W985" s="2" t="inlineStr">
        <is>
          <t>low</t>
        </is>
      </c>
      <c r="X985" s="3" t="inlineStr"/>
      <c r="Y985" s="3" t="inlineStr">
        <is>
          <t>90% of this dish's available carbohydrate comes from ingredients with a published, measured GI; the rest uses conventional placeholders (see Ingredients sheet)</t>
        </is>
      </c>
      <c r="Z985" s="2" t="n">
        <v>90</v>
      </c>
      <c r="AA985" s="3" t="inlineStr">
        <is>
          <t>vegetarian, gluten-free, high-fiber, no-cook</t>
        </is>
      </c>
      <c r="AB985" s="3" t="inlineStr">
        <is>
          <t>1. Whisk oil, balsamic, Dijon.
2. Toss lentils, diced beet, arugula with dressing.
3. Goat cheese, walnuts.</t>
        </is>
      </c>
      <c r="AC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10% of this dish's available carbohydrate comes from ingredients with a published, measured GI; the rest uses conventional placeholders (see Ingredients sheet)</t>
        </is>
      </c>
      <c r="Z986" s="2" t="n">
        <v>10</v>
      </c>
      <c r="AA986" s="3" t="inlineStr">
        <is>
          <t>gluten-free, nut-free, low-carb, high-protein</t>
        </is>
      </c>
      <c r="AB986" s="3" t="inlineStr">
        <is>
          <t>1. Boil eggs; crisp bacon.
2. Mix yogurt, ranch seasoning, lemon.
3. Arrange over romaine; dressing.</t>
        </is>
      </c>
      <c r="AC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0% of this dish's available carbohydrate comes from ingredients with a published, measured GI; the rest uses conventional placeholders (see Ingredients sheet)</t>
        </is>
      </c>
      <c r="Z987" s="2" t="n">
        <v>0</v>
      </c>
      <c r="AA987" s="3" t="inlineStr">
        <is>
          <t>vegan, gluten-free, dairy-free, nut-free, low-carb, high-fiber, no-cook, quick</t>
        </is>
      </c>
      <c r="AB987" s="3" t="inlineStr">
        <is>
          <t>1. Combine edamame, avocado, cucumber, tomato, cilantro.
2. Dress with lime, sesame oil, tamari.
3. Sesame seeds.</t>
        </is>
      </c>
      <c r="AC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45</v>
      </c>
      <c r="U988" s="2" t="inlineStr">
        <is>
          <t>low</t>
        </is>
      </c>
      <c r="V988" s="5" t="n">
        <v>4.1</v>
      </c>
      <c r="W988" s="2" t="inlineStr">
        <is>
          <t>low</t>
        </is>
      </c>
      <c r="X988" s="3" t="inlineStr"/>
      <c r="Y988" s="3" t="inlineStr">
        <is>
          <t>66% of this dish's available carbohydrate comes from ingredients with a published, measured GI; the rest uses conventional placeholders (see Ingredients sheet)</t>
        </is>
      </c>
      <c r="Z988" s="2" t="n">
        <v>66</v>
      </c>
      <c r="AA988" s="3" t="inlineStr">
        <is>
          <t>gluten-free, low-carb, high-protein</t>
        </is>
      </c>
      <c r="AB988" s="3" t="inlineStr">
        <is>
          <t>1. Grill chicken; slice. Grill peach halves 2 minutes.
2. Toss arugula with oil and balsamic.
3. Top chicken, peach, goat cheese, almonds, basil.</t>
        </is>
      </c>
      <c r="AC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71% of this dish's available carbohydrate comes from ingredients with a published, measured GI; the rest uses conventional placeholders (see Ingredients sheet)</t>
        </is>
      </c>
      <c r="Z989" s="2" t="n">
        <v>71</v>
      </c>
      <c r="AA989" s="3" t="inlineStr">
        <is>
          <t>gluten-free, dairy-free, nut-free, high-protein</t>
        </is>
      </c>
      <c r="AB989" s="3" t="inlineStr">
        <is>
          <t>1. Sauté onion, carrot, celery, garlic in oil.
2. Add broth and chicken; simmer 20 minutes; shred chicken.
3. Add zucchini and cooked quinoa 5 minutes; parsley.</t>
        </is>
      </c>
      <c r="AC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46% of this dish's available carbohydrate comes from ingredients with a published, measured GI; the rest uses conventional placeholders (see Ingredients sheet)</t>
        </is>
      </c>
      <c r="Z990" s="2" t="n">
        <v>46</v>
      </c>
      <c r="AA990" s="3" t="inlineStr">
        <is>
          <t>vegetarian, gluten-free, nut-free, high-fiber, make-ahead</t>
        </is>
      </c>
      <c r="AB990" s="3" t="inlineStr">
        <is>
          <t>1. Sauté onion and garlic in oil.
2. Add tomatoes, beans, broth; simmer 15 minutes.
3. Blend with basil; stir in yogurt; salt.</t>
        </is>
      </c>
      <c r="AC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18% of this dish's available carbohydrate comes from ingredients with a published, measured GI; the rest uses conventional placeholders (see Ingredients sheet)</t>
        </is>
      </c>
      <c r="Z991" s="2" t="n">
        <v>18</v>
      </c>
      <c r="AA991" s="3" t="inlineStr">
        <is>
          <t>gluten-free, dairy-free, nut-free, low-carb, high-protein, make-ahead</t>
        </is>
      </c>
      <c r="AB991" s="3" t="inlineStr">
        <is>
          <t>1. Brown beef cubes in oil; add onion, carrot, celery, garlic.
2. Add broth, tomatoes, thyme, bay; simmer 60 minutes.
3. Add green beans and zucchini 8 minutes.</t>
        </is>
      </c>
      <c r="AC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18% of this dish's available carbohydrate comes from ingredients with a published, measured GI; the rest uses conventional placeholders (see Ingredients sheet)</t>
        </is>
      </c>
      <c r="Z992" s="2" t="n">
        <v>18</v>
      </c>
      <c r="AA992" s="3" t="inlineStr">
        <is>
          <t>gluten-free, low-carb, high-protein</t>
        </is>
      </c>
      <c r="AB992" s="3" t="inlineStr">
        <is>
          <t>1. Mix chicken, egg, parmesan, almond flour, garlic; form small meatballs.
2. Sauté onion and carrot; add broth and seasoning; simmer; drop in meatballs 12 minutes.
3. Add zucchini and spinach 4 minutes.</t>
        </is>
      </c>
      <c r="AC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0% of this dish's available carbohydrate comes from ingredients with a published, measured GI; the rest uses conventional placeholders (see Ingredients sheet)</t>
        </is>
      </c>
      <c r="Z993" s="2" t="n">
        <v>0</v>
      </c>
      <c r="AA993" s="3" t="inlineStr">
        <is>
          <t>pescatarian, dairy-free, nut-free, low-carb, high-protein, quick</t>
        </is>
      </c>
      <c r="AB993" s="3" t="inlineStr">
        <is>
          <t>1. Simmer broth with ginger and mushrooms 5 minutes; add bok choy and tofu.
2. Add shrimp 3 minutes.
3. Whisk in miso off heat; green onion, sesame oil.</t>
        </is>
      </c>
      <c r="AC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27</v>
      </c>
      <c r="U994" s="2" t="inlineStr">
        <is>
          <t>low</t>
        </is>
      </c>
      <c r="V994" s="5" t="n">
        <v>6.7</v>
      </c>
      <c r="W994" s="2" t="inlineStr">
        <is>
          <t>low</t>
        </is>
      </c>
      <c r="X994" s="3" t="inlineStr"/>
      <c r="Y994" s="3" t="inlineStr">
        <is>
          <t>65% of this dish's available carbohydrate comes from ingredients with a published, measured GI; the rest uses conventional placeholders (see Ingredients sheet)</t>
        </is>
      </c>
      <c r="Z994" s="2" t="n">
        <v>65</v>
      </c>
      <c r="AA994" s="3" t="inlineStr">
        <is>
          <t>vegan, gluten-free, dairy-free, nut-free, high-fiber, make-ahead</t>
        </is>
      </c>
      <c r="AB994" s="3" t="inlineStr">
        <is>
          <t>1. Sauté onion, carrot, garlic, cumin in oil.
2. Add lentils and broth; simmer 20 minutes.
3. Add kale 5 minutes; lemon, salt.</t>
        </is>
      </c>
      <c r="AC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61% of this dish's available carbohydrate comes from ingredients with a published, measured GI; the rest uses conventional placeholders (see Ingredients sheet)</t>
        </is>
      </c>
      <c r="Z995" s="2" t="n">
        <v>61</v>
      </c>
      <c r="AA995" s="3" t="inlineStr">
        <is>
          <t>gluten-free, nut-free, high-protein, high-fiber, make-ahead</t>
        </is>
      </c>
      <c r="AB995" s="3" t="inlineStr">
        <is>
          <t>1. Brown turkey with onion and pepper in oil; add seasoning.
2. Add beans, tomatoes, broth, corn, chiles; simmer 20 minutes.
3. Cheddar, yogurt, cilantro.</t>
        </is>
      </c>
      <c r="AC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24</v>
      </c>
      <c r="U996" s="2" t="inlineStr">
        <is>
          <t>low</t>
        </is>
      </c>
      <c r="V996" s="5" t="n">
        <v>5.6</v>
      </c>
      <c r="W996" s="2" t="inlineStr">
        <is>
          <t>low</t>
        </is>
      </c>
      <c r="X996" s="3" t="inlineStr"/>
      <c r="Y996" s="3" t="inlineStr">
        <is>
          <t>41% of this dish's available carbohydrate comes from ingredients with a published, measured GI; the rest uses conventional placeholders (see Ingredients sheet)</t>
        </is>
      </c>
      <c r="Z996" s="2" t="n">
        <v>41</v>
      </c>
      <c r="AA996" s="3" t="inlineStr">
        <is>
          <t>vegan, gluten-free, dairy-free, nut-free, high-fiber</t>
        </is>
      </c>
      <c r="AB996" s="3" t="inlineStr">
        <is>
          <t>1. Sauté onion, garlic, ginger, curry powder in oil.
2. Add cauliflower and broth; simmer 15 minutes; blend.
3. Stir in coconut milk and chickpeas; lime, cilantro.</t>
        </is>
      </c>
      <c r="AC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67% of this dish's available carbohydrate comes from ingredients with a published, measured GI; the rest uses conventional placeholders (see Ingredients sheet)</t>
        </is>
      </c>
      <c r="Z997" s="2" t="n">
        <v>67</v>
      </c>
      <c r="AA997" s="3" t="inlineStr">
        <is>
          <t>gluten-free, nut-free, high-protein, high-fiber</t>
        </is>
      </c>
      <c r="AB997" s="3" t="inlineStr">
        <is>
          <t>1. Sauté onion and garlic in oil; add broth and chicken; simmer 15 minutes; shred.
2. Add beans and kale 5 minutes.
3. Parmesan, pepper flakes, lemon.</t>
        </is>
      </c>
      <c r="AC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0% of this dish's available carbohydrate comes from ingredients with a published, measured GI; the rest uses conventional placeholders (see Ingredients sheet)</t>
        </is>
      </c>
      <c r="Z998" s="2" t="n">
        <v>0</v>
      </c>
      <c r="AA998" s="3" t="inlineStr">
        <is>
          <t>pescatarian, dairy-free, nut-free, low-carb, high-protein, omega-3</t>
        </is>
      </c>
      <c r="AB998" s="3" t="inlineStr">
        <is>
          <t>1. Simmer broth with ginger and shiitake 5 minutes; add bok choy and rinsed shirataki.
2. Add salmon chunks 4 minutes.
3. Miso off heat; green onion.</t>
        </is>
      </c>
      <c r="AC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0% of this dish's available carbohydrate comes from ingredients with a published, measured GI; the rest uses conventional placeholders (see Ingredients sheet)</t>
        </is>
      </c>
      <c r="Z999" s="2" t="n">
        <v>0</v>
      </c>
      <c r="AA999" s="3" t="inlineStr">
        <is>
          <t>gluten-free, dairy-free, nut-free, low-carb, high-protein</t>
        </is>
      </c>
      <c r="AB999" s="3" t="inlineStr">
        <is>
          <t>1. Sauté onion, garlic, jalapeño, cumin in oil.
2. Add broth, tomato, chicken; simmer 18 minutes; shred.
3. Lime juice, cilantro, avocado.</t>
        </is>
      </c>
      <c r="AC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81% of this dish's available carbohydrate comes from ingredients with a published, measured GI; the rest uses conventional placeholders (see Ingredients sheet)</t>
        </is>
      </c>
      <c r="Z1000" s="2" t="n">
        <v>81</v>
      </c>
      <c r="AA1000" s="3" t="inlineStr">
        <is>
          <t>vegetarian, gluten-free, nut-free, high-fiber, make-ahead</t>
        </is>
      </c>
      <c r="AB1000" s="3" t="inlineStr">
        <is>
          <t>1. Sauté onion, garlic, rosemary in oil.
2. Add beans and broth; simmer 15 minutes; blend half.
3. Lemon, parmesan, salt.</t>
        </is>
      </c>
      <c r="AC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0% of this dish's available carbohydrate comes from ingredients with a published, measured GI; the rest uses conventional placeholders (see Ingredients sheet)</t>
        </is>
      </c>
      <c r="Z1001" s="2" t="n">
        <v>0</v>
      </c>
      <c r="AA1001" s="3" t="inlineStr">
        <is>
          <t>gluten-free, dairy-free, nut-free, low-carb, high-protein, one-pan</t>
        </is>
      </c>
      <c r="AB1001" s="3" t="inlineStr">
        <is>
          <t>1. Rub chicken with oil, garlic, rosemary, salt; roast at 425°F 20 minutes.
2. Add broccolini tossed in oil and pepper flakes; roast 10 minutes more.
3. Squeeze lemon over everything.</t>
        </is>
      </c>
      <c r="AC1001" s="4" t="inlineStr">
        <is>
          <t>["Rub chicken with oil, garlic, rosemary, salt; roast at 425°F 20 minutes.", "Add broccolini tossed in oil and pepper flakes; roast 10 minutes more.", "Squeeze lemon over everything."]</t>
        </is>
      </c>
    </row>
  </sheetData>
  <autoFilter ref="A1:AC1001"/>
  <conditionalFormatting sqref="T2:T1001">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1001">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18" customWidth="1" min="11" max="11"/>
    <col width="54" customWidth="1" min="12" max="12"/>
    <col width="34" customWidth="1" min="13" max="13"/>
    <col width="15" customWidth="1" min="14" max="14"/>
    <col width="62" customWidth="1" min="15" max="15"/>
    <col width="40" customWidth="1" min="16" max="16"/>
    <col width="12" customWidth="1" min="17" max="17"/>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gi_confidence</t>
        </is>
      </c>
      <c r="L1" s="1" t="inlineStr">
        <is>
          <t>gi_source</t>
        </is>
      </c>
      <c r="M1" s="1" t="inlineStr">
        <is>
          <t>gi_evidence_basis</t>
        </is>
      </c>
      <c r="N1" s="1" t="inlineStr">
        <is>
          <t>gi_value_in_sources</t>
        </is>
      </c>
      <c r="O1" s="1" t="inlineStr">
        <is>
          <t>gi_citation</t>
        </is>
      </c>
      <c r="P1" s="1" t="inlineStr">
        <is>
          <t>nutrient_source</t>
        </is>
      </c>
      <c r="Q1" s="1" t="inlineStr">
        <is>
          <t>last_checked</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definitional</t>
        </is>
      </c>
      <c r="L2" s="7" t="inlineStr">
        <is>
          <t>No available carbohydrate — GI is 0 by definition (protein / fat / water)</t>
        </is>
      </c>
      <c r="M2" s="7" t="inlineStr">
        <is>
          <t>n/a</t>
        </is>
      </c>
      <c r="N2" s="6" t="inlineStr"/>
      <c r="O2" s="7" t="inlineStr">
        <is>
          <t>ISO 26642:2010</t>
        </is>
      </c>
      <c r="P2" s="7" t="inlineStr">
        <is>
          <t>USDA FoodData Central (SR Legacy / Foundation Foods), fdc.nal.usda.gov</t>
        </is>
      </c>
      <c r="Q2" s="6" t="inlineStr">
        <is>
          <t>2026-09-26</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definitional</t>
        </is>
      </c>
      <c r="L3" s="7" t="inlineStr">
        <is>
          <t>No available carbohydrate — GI is 0 by definition (protein / fat / water)</t>
        </is>
      </c>
      <c r="M3" s="7" t="inlineStr">
        <is>
          <t>n/a</t>
        </is>
      </c>
      <c r="N3" s="6" t="inlineStr"/>
      <c r="O3" s="7" t="inlineStr">
        <is>
          <t>ISO 26642:2010</t>
        </is>
      </c>
      <c r="P3" s="7" t="inlineStr">
        <is>
          <t>USDA FoodData Central (SR Legacy / Foundation Foods), fdc.nal.usda.gov</t>
        </is>
      </c>
      <c r="Q3" s="6" t="inlineStr">
        <is>
          <t>2026-09-26</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definitional</t>
        </is>
      </c>
      <c r="L4" s="7" t="inlineStr">
        <is>
          <t>No available carbohydrate — GI is 0 by definition (protein / fat / water)</t>
        </is>
      </c>
      <c r="M4" s="7" t="inlineStr">
        <is>
          <t>n/a</t>
        </is>
      </c>
      <c r="N4" s="6" t="inlineStr"/>
      <c r="O4" s="7" t="inlineStr">
        <is>
          <t>ISO 26642:2010</t>
        </is>
      </c>
      <c r="P4" s="7" t="inlineStr">
        <is>
          <t>USDA FoodData Central (SR Legacy / Foundation Foods), fdc.nal.usda.gov</t>
        </is>
      </c>
      <c r="Q4" s="6" t="inlineStr">
        <is>
          <t>2026-09-26</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definitional</t>
        </is>
      </c>
      <c r="L5" s="7" t="inlineStr">
        <is>
          <t>No available carbohydrate — GI is 0 by definition (protein / fat / water)</t>
        </is>
      </c>
      <c r="M5" s="7" t="inlineStr">
        <is>
          <t>n/a</t>
        </is>
      </c>
      <c r="N5" s="6" t="inlineStr"/>
      <c r="O5" s="7" t="inlineStr">
        <is>
          <t>ISO 26642:2010</t>
        </is>
      </c>
      <c r="P5" s="7" t="inlineStr">
        <is>
          <t>USDA FoodData Central (SR Legacy / Foundation Foods), fdc.nal.usda.gov</t>
        </is>
      </c>
      <c r="Q5" s="6" t="inlineStr">
        <is>
          <t>2026-09-26</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low</t>
        </is>
      </c>
      <c r="L6" s="7" t="inlineStr">
        <is>
          <t>Estimated from the closest tested food; no direct measurement found in the pooled sources</t>
        </is>
      </c>
      <c r="M6" s="7" t="inlineStr">
        <is>
          <t>no direct match</t>
        </is>
      </c>
      <c r="N6" s="6" t="inlineStr"/>
      <c r="O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 s="7" t="inlineStr">
        <is>
          <t>USDA FoodData Central (SR Legacy / Foundation Foods), fdc.nal.usda.gov</t>
        </is>
      </c>
      <c r="Q6" s="6" t="inlineStr">
        <is>
          <t>2026-09-26</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definitional</t>
        </is>
      </c>
      <c r="L7" s="7" t="inlineStr">
        <is>
          <t>No available carbohydrate — GI is 0 by definition (protein / fat / water)</t>
        </is>
      </c>
      <c r="M7" s="7" t="inlineStr">
        <is>
          <t>n/a</t>
        </is>
      </c>
      <c r="N7" s="6" t="inlineStr"/>
      <c r="O7" s="7" t="inlineStr">
        <is>
          <t>ISO 26642:2010</t>
        </is>
      </c>
      <c r="P7" s="7" t="inlineStr">
        <is>
          <t>USDA FoodData Central (SR Legacy / Foundation Foods), fdc.nal.usda.gov</t>
        </is>
      </c>
      <c r="Q7" s="6" t="inlineStr">
        <is>
          <t>2026-09-26</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definitional</t>
        </is>
      </c>
      <c r="L8" s="7" t="inlineStr">
        <is>
          <t>No available carbohydrate — GI is 0 by definition (protein / fat / water)</t>
        </is>
      </c>
      <c r="M8" s="7" t="inlineStr">
        <is>
          <t>n/a</t>
        </is>
      </c>
      <c r="N8" s="6" t="inlineStr"/>
      <c r="O8" s="7" t="inlineStr">
        <is>
          <t>ISO 26642:2010</t>
        </is>
      </c>
      <c r="P8" s="7" t="inlineStr">
        <is>
          <t>USDA FoodData Central (SR Legacy / Foundation Foods), fdc.nal.usda.gov</t>
        </is>
      </c>
      <c r="Q8" s="6" t="inlineStr">
        <is>
          <t>2026-09-26</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low</t>
        </is>
      </c>
      <c r="L9" s="7" t="inlineStr">
        <is>
          <t>Estimated from the closest tested food; no direct measurement found in the pooled sources</t>
        </is>
      </c>
      <c r="M9" s="7" t="inlineStr">
        <is>
          <t>no direct match</t>
        </is>
      </c>
      <c r="N9" s="6" t="inlineStr"/>
      <c r="O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 s="7" t="inlineStr">
        <is>
          <t>USDA FoodData Central (SR Legacy / Foundation Foods), fdc.nal.usda.gov</t>
        </is>
      </c>
      <c r="Q9" s="6" t="inlineStr">
        <is>
          <t>2026-09-26</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low</t>
        </is>
      </c>
      <c r="L10" s="7" t="inlineStr">
        <is>
          <t>Estimated from the closest tested food; no direct measurement found in the pooled sources</t>
        </is>
      </c>
      <c r="M10" s="7" t="inlineStr">
        <is>
          <t>no direct match</t>
        </is>
      </c>
      <c r="N10" s="6" t="inlineStr"/>
      <c r="O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0" s="7" t="inlineStr">
        <is>
          <t>USDA FoodData Central (SR Legacy / Foundation Foods), fdc.nal.usda.gov</t>
        </is>
      </c>
      <c r="Q10" s="6" t="inlineStr">
        <is>
          <t>2026-09-26</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low</t>
        </is>
      </c>
      <c r="L11" s="7" t="inlineStr">
        <is>
          <t>Estimated from the closest tested food; no direct measurement found in the pooled sources</t>
        </is>
      </c>
      <c r="M11" s="7" t="inlineStr">
        <is>
          <t>no direct match</t>
        </is>
      </c>
      <c r="N11" s="6" t="inlineStr"/>
      <c r="O1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1" s="7" t="inlineStr">
        <is>
          <t>USDA FoodData Central (SR Legacy / Foundation Foods), fdc.nal.usda.gov</t>
        </is>
      </c>
      <c r="Q11" s="6" t="inlineStr">
        <is>
          <t>2026-09-26</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definitional</t>
        </is>
      </c>
      <c r="L12" s="7" t="inlineStr">
        <is>
          <t>No available carbohydrate — GI is 0 by definition (protein / fat / water)</t>
        </is>
      </c>
      <c r="M12" s="7" t="inlineStr">
        <is>
          <t>n/a</t>
        </is>
      </c>
      <c r="N12" s="6" t="inlineStr"/>
      <c r="O12" s="7" t="inlineStr">
        <is>
          <t>ISO 26642:2010</t>
        </is>
      </c>
      <c r="P12" s="7" t="inlineStr">
        <is>
          <t>USDA FoodData Central (SR Legacy / Foundation Foods), fdc.nal.usda.gov</t>
        </is>
      </c>
      <c r="Q12" s="6" t="inlineStr">
        <is>
          <t>2026-09-26</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definitional</t>
        </is>
      </c>
      <c r="L13" s="7" t="inlineStr">
        <is>
          <t>No available carbohydrate — GI is 0 by definition (protein / fat / water)</t>
        </is>
      </c>
      <c r="M13" s="7" t="inlineStr">
        <is>
          <t>n/a</t>
        </is>
      </c>
      <c r="N13" s="6" t="inlineStr"/>
      <c r="O13" s="7" t="inlineStr">
        <is>
          <t>ISO 26642:2010</t>
        </is>
      </c>
      <c r="P13" s="7" t="inlineStr">
        <is>
          <t>USDA FoodData Central (SR Legacy / Foundation Foods), fdc.nal.usda.gov</t>
        </is>
      </c>
      <c r="Q13" s="6" t="inlineStr">
        <is>
          <t>2026-09-26</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definitional</t>
        </is>
      </c>
      <c r="L14" s="7" t="inlineStr">
        <is>
          <t>No available carbohydrate — GI is 0 by definition (protein / fat / water)</t>
        </is>
      </c>
      <c r="M14" s="7" t="inlineStr">
        <is>
          <t>n/a</t>
        </is>
      </c>
      <c r="N14" s="6" t="inlineStr"/>
      <c r="O14" s="7" t="inlineStr">
        <is>
          <t>ISO 26642:2010</t>
        </is>
      </c>
      <c r="P14" s="7" t="inlineStr">
        <is>
          <t>USDA FoodData Central (SR Legacy / Foundation Foods), fdc.nal.usda.gov</t>
        </is>
      </c>
      <c r="Q14" s="6" t="inlineStr">
        <is>
          <t>2026-09-26</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definitional</t>
        </is>
      </c>
      <c r="L15" s="7" t="inlineStr">
        <is>
          <t>No available carbohydrate — GI is 0 by definition (protein / fat / water)</t>
        </is>
      </c>
      <c r="M15" s="7" t="inlineStr">
        <is>
          <t>n/a</t>
        </is>
      </c>
      <c r="N15" s="6" t="inlineStr"/>
      <c r="O15" s="7" t="inlineStr">
        <is>
          <t>ISO 26642:2010</t>
        </is>
      </c>
      <c r="P15" s="7" t="inlineStr">
        <is>
          <t>USDA FoodData Central (SR Legacy / Foundation Foods), fdc.nal.usda.gov</t>
        </is>
      </c>
      <c r="Q15" s="6" t="inlineStr">
        <is>
          <t>2026-09-26</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definitional</t>
        </is>
      </c>
      <c r="L16" s="7" t="inlineStr">
        <is>
          <t>No available carbohydrate — GI is 0 by definition (protein / fat / water)</t>
        </is>
      </c>
      <c r="M16" s="7" t="inlineStr">
        <is>
          <t>n/a</t>
        </is>
      </c>
      <c r="N16" s="6" t="inlineStr"/>
      <c r="O16" s="7" t="inlineStr">
        <is>
          <t>ISO 26642:2010</t>
        </is>
      </c>
      <c r="P16" s="7" t="inlineStr">
        <is>
          <t>USDA FoodData Central (SR Legacy / Foundation Foods), fdc.nal.usda.gov</t>
        </is>
      </c>
      <c r="Q16" s="6" t="inlineStr">
        <is>
          <t>2026-09-26</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definitional</t>
        </is>
      </c>
      <c r="L17" s="7" t="inlineStr">
        <is>
          <t>No available carbohydrate — GI is 0 by definition (protein / fat / water)</t>
        </is>
      </c>
      <c r="M17" s="7" t="inlineStr">
        <is>
          <t>n/a</t>
        </is>
      </c>
      <c r="N17" s="6" t="inlineStr"/>
      <c r="O17" s="7" t="inlineStr">
        <is>
          <t>ISO 26642:2010</t>
        </is>
      </c>
      <c r="P17" s="7" t="inlineStr">
        <is>
          <t>USDA FoodData Central (SR Legacy / Foundation Foods), fdc.nal.usda.gov</t>
        </is>
      </c>
      <c r="Q17" s="6" t="inlineStr">
        <is>
          <t>2026-09-26</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definitional</t>
        </is>
      </c>
      <c r="L18" s="7" t="inlineStr">
        <is>
          <t>No available carbohydrate — GI is 0 by definition (protein / fat / water)</t>
        </is>
      </c>
      <c r="M18" s="7" t="inlineStr">
        <is>
          <t>n/a</t>
        </is>
      </c>
      <c r="N18" s="6" t="inlineStr"/>
      <c r="O18" s="7" t="inlineStr">
        <is>
          <t>ISO 26642:2010</t>
        </is>
      </c>
      <c r="P18" s="7" t="inlineStr">
        <is>
          <t>USDA FoodData Central (SR Legacy / Foundation Foods), fdc.nal.usda.gov</t>
        </is>
      </c>
      <c r="Q18" s="6" t="inlineStr">
        <is>
          <t>2026-09-26</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definitional</t>
        </is>
      </c>
      <c r="L19" s="7" t="inlineStr">
        <is>
          <t>No available carbohydrate — GI is 0 by definition (protein / fat / water)</t>
        </is>
      </c>
      <c r="M19" s="7" t="inlineStr">
        <is>
          <t>n/a</t>
        </is>
      </c>
      <c r="N19" s="6" t="inlineStr"/>
      <c r="O19" s="7" t="inlineStr">
        <is>
          <t>ISO 26642:2010</t>
        </is>
      </c>
      <c r="P19" s="7" t="inlineStr">
        <is>
          <t>USDA FoodData Central (SR Legacy / Foundation Foods), fdc.nal.usda.gov</t>
        </is>
      </c>
      <c r="Q19" s="6" t="inlineStr">
        <is>
          <t>2026-09-26</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definitional</t>
        </is>
      </c>
      <c r="L20" s="7" t="inlineStr">
        <is>
          <t>No available carbohydrate — GI is 0 by definition (protein / fat / water)</t>
        </is>
      </c>
      <c r="M20" s="7" t="inlineStr">
        <is>
          <t>n/a</t>
        </is>
      </c>
      <c r="N20" s="6" t="inlineStr"/>
      <c r="O20" s="7" t="inlineStr">
        <is>
          <t>ISO 26642:2010</t>
        </is>
      </c>
      <c r="P20" s="7" t="inlineStr">
        <is>
          <t>USDA FoodData Central (SR Legacy / Foundation Foods), fdc.nal.usda.gov</t>
        </is>
      </c>
      <c r="Q20" s="6" t="inlineStr">
        <is>
          <t>2026-09-26</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definitional</t>
        </is>
      </c>
      <c r="L21" s="7" t="inlineStr">
        <is>
          <t>No available carbohydrate — GI is 0 by definition (protein / fat / water)</t>
        </is>
      </c>
      <c r="M21" s="7" t="inlineStr">
        <is>
          <t>n/a</t>
        </is>
      </c>
      <c r="N21" s="6" t="inlineStr"/>
      <c r="O21" s="7" t="inlineStr">
        <is>
          <t>ISO 26642:2010</t>
        </is>
      </c>
      <c r="P21" s="7" t="inlineStr">
        <is>
          <t>USDA FoodData Central (SR Legacy / Foundation Foods), fdc.nal.usda.gov</t>
        </is>
      </c>
      <c r="Q21" s="6" t="inlineStr">
        <is>
          <t>2026-09-26</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definitional</t>
        </is>
      </c>
      <c r="L22" s="7" t="inlineStr">
        <is>
          <t>No available carbohydrate — GI is 0 by definition (protein / fat / water)</t>
        </is>
      </c>
      <c r="M22" s="7" t="inlineStr">
        <is>
          <t>n/a</t>
        </is>
      </c>
      <c r="N22" s="6" t="inlineStr"/>
      <c r="O22" s="7" t="inlineStr">
        <is>
          <t>ISO 26642:2010</t>
        </is>
      </c>
      <c r="P22" s="7" t="inlineStr">
        <is>
          <t>USDA FoodData Central (SR Legacy / Foundation Foods), fdc.nal.usda.gov</t>
        </is>
      </c>
      <c r="Q22" s="6" t="inlineStr">
        <is>
          <t>2026-09-26</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definitional</t>
        </is>
      </c>
      <c r="L23" s="7" t="inlineStr">
        <is>
          <t>No available carbohydrate — GI is 0 by definition (protein / fat / water)</t>
        </is>
      </c>
      <c r="M23" s="7" t="inlineStr">
        <is>
          <t>n/a</t>
        </is>
      </c>
      <c r="N23" s="6" t="inlineStr"/>
      <c r="O23" s="7" t="inlineStr">
        <is>
          <t>ISO 26642:2010</t>
        </is>
      </c>
      <c r="P23" s="7" t="inlineStr">
        <is>
          <t>USDA FoodData Central (SR Legacy / Foundation Foods), fdc.nal.usda.gov</t>
        </is>
      </c>
      <c r="Q23" s="6" t="inlineStr">
        <is>
          <t>2026-09-26</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low</t>
        </is>
      </c>
      <c r="L24" s="7" t="inlineStr">
        <is>
          <t>Estimated from the closest tested food; no direct measurement found in the pooled sources</t>
        </is>
      </c>
      <c r="M24" s="7" t="inlineStr">
        <is>
          <t>no direct match</t>
        </is>
      </c>
      <c r="N24" s="6" t="inlineStr"/>
      <c r="O2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 s="7" t="inlineStr">
        <is>
          <t>USDA FoodData Central (SR Legacy / Foundation Foods), fdc.nal.usda.gov</t>
        </is>
      </c>
      <c r="Q24" s="6" t="inlineStr">
        <is>
          <t>2026-09-26</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low</t>
        </is>
      </c>
      <c r="L25" s="7" t="inlineStr">
        <is>
          <t>Estimated from the closest tested food; no direct measurement found in the pooled sources</t>
        </is>
      </c>
      <c r="M25" s="7" t="inlineStr">
        <is>
          <t>no direct match</t>
        </is>
      </c>
      <c r="N25" s="6" t="inlineStr"/>
      <c r="O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 s="7" t="inlineStr">
        <is>
          <t>USDA FoodData Central (SR Legacy / Foundation Foods), fdc.nal.usda.gov</t>
        </is>
      </c>
      <c r="Q25" s="6" t="inlineStr">
        <is>
          <t>2026-09-26</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low</t>
        </is>
      </c>
      <c r="L26" s="7" t="inlineStr">
        <is>
          <t>Estimated from the closest tested food; no direct measurement found in the pooled sources</t>
        </is>
      </c>
      <c r="M26" s="7" t="inlineStr">
        <is>
          <t>no direct match</t>
        </is>
      </c>
      <c r="N26" s="6" t="inlineStr"/>
      <c r="O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 s="7" t="inlineStr">
        <is>
          <t>USDA FoodData Central (SR Legacy / Foundation Foods), fdc.nal.usda.gov</t>
        </is>
      </c>
      <c r="Q26" s="6" t="inlineStr">
        <is>
          <t>2026-09-26</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definitional</t>
        </is>
      </c>
      <c r="L27" s="7" t="inlineStr">
        <is>
          <t>No available carbohydrate — GI is 0 by definition (protein / fat / water)</t>
        </is>
      </c>
      <c r="M27" s="7" t="inlineStr">
        <is>
          <t>n/a</t>
        </is>
      </c>
      <c r="N27" s="6" t="inlineStr"/>
      <c r="O27" s="7" t="inlineStr">
        <is>
          <t>ISO 26642:2010</t>
        </is>
      </c>
      <c r="P27" s="7" t="inlineStr">
        <is>
          <t>USDA FoodData Central (SR Legacy / Foundation Foods), fdc.nal.usda.gov</t>
        </is>
      </c>
      <c r="Q27" s="6" t="inlineStr">
        <is>
          <t>2026-09-26</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definitional</t>
        </is>
      </c>
      <c r="L28" s="7" t="inlineStr">
        <is>
          <t>No available carbohydrate — GI is 0 by definition (protein / fat / water)</t>
        </is>
      </c>
      <c r="M28" s="7" t="inlineStr">
        <is>
          <t>n/a</t>
        </is>
      </c>
      <c r="N28" s="6" t="inlineStr"/>
      <c r="O28" s="7" t="inlineStr">
        <is>
          <t>ISO 26642:2010</t>
        </is>
      </c>
      <c r="P28" s="7" t="inlineStr">
        <is>
          <t>USDA FoodData Central (SR Legacy / Foundation Foods), fdc.nal.usda.gov</t>
        </is>
      </c>
      <c r="Q28" s="6" t="inlineStr">
        <is>
          <t>2026-09-26</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definitional</t>
        </is>
      </c>
      <c r="L29" s="7" t="inlineStr">
        <is>
          <t>No available carbohydrate — GI is 0 by definition (protein / fat / water)</t>
        </is>
      </c>
      <c r="M29" s="7" t="inlineStr">
        <is>
          <t>n/a</t>
        </is>
      </c>
      <c r="N29" s="6" t="inlineStr"/>
      <c r="O29" s="7" t="inlineStr">
        <is>
          <t>ISO 26642:2010</t>
        </is>
      </c>
      <c r="P29" s="7" t="inlineStr">
        <is>
          <t>USDA FoodData Central (SR Legacy / Foundation Foods), fdc.nal.usda.gov</t>
        </is>
      </c>
      <c r="Q29" s="6" t="inlineStr">
        <is>
          <t>2026-09-26</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definitional</t>
        </is>
      </c>
      <c r="L30" s="7" t="inlineStr">
        <is>
          <t>No available carbohydrate — GI is 0 by definition (protein / fat / water)</t>
        </is>
      </c>
      <c r="M30" s="7" t="inlineStr">
        <is>
          <t>n/a</t>
        </is>
      </c>
      <c r="N30" s="6" t="inlineStr"/>
      <c r="O30" s="7" t="inlineStr">
        <is>
          <t>ISO 26642:2010</t>
        </is>
      </c>
      <c r="P30" s="7" t="inlineStr">
        <is>
          <t>USDA FoodData Central (SR Legacy / Foundation Foods), fdc.nal.usda.gov</t>
        </is>
      </c>
      <c r="Q30" s="6" t="inlineStr">
        <is>
          <t>2026-09-26</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definitional</t>
        </is>
      </c>
      <c r="L31" s="7" t="inlineStr">
        <is>
          <t>No available carbohydrate — GI is 0 by definition (protein / fat / water)</t>
        </is>
      </c>
      <c r="M31" s="7" t="inlineStr">
        <is>
          <t>n/a</t>
        </is>
      </c>
      <c r="N31" s="6" t="inlineStr"/>
      <c r="O31" s="7" t="inlineStr">
        <is>
          <t>ISO 26642:2010</t>
        </is>
      </c>
      <c r="P31" s="7" t="inlineStr">
        <is>
          <t>USDA FoodData Central (SR Legacy / Foundation Foods), fdc.nal.usda.gov</t>
        </is>
      </c>
      <c r="Q31" s="6" t="inlineStr">
        <is>
          <t>2026-09-26</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definitional</t>
        </is>
      </c>
      <c r="L32" s="7" t="inlineStr">
        <is>
          <t>No available carbohydrate — GI is 0 by definition (protein / fat / water)</t>
        </is>
      </c>
      <c r="M32" s="7" t="inlineStr">
        <is>
          <t>n/a</t>
        </is>
      </c>
      <c r="N32" s="6" t="inlineStr"/>
      <c r="O32" s="7" t="inlineStr">
        <is>
          <t>ISO 26642:2010</t>
        </is>
      </c>
      <c r="P32" s="7" t="inlineStr">
        <is>
          <t>USDA FoodData Central (SR Legacy / Foundation Foods), fdc.nal.usda.gov</t>
        </is>
      </c>
      <c r="Q32" s="6" t="inlineStr">
        <is>
          <t>2026-09-26</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definitional</t>
        </is>
      </c>
      <c r="L33" s="7" t="inlineStr">
        <is>
          <t>No available carbohydrate — GI is 0 by definition (protein / fat / water)</t>
        </is>
      </c>
      <c r="M33" s="7" t="inlineStr">
        <is>
          <t>n/a</t>
        </is>
      </c>
      <c r="N33" s="6" t="inlineStr"/>
      <c r="O33" s="7" t="inlineStr">
        <is>
          <t>ISO 26642:2010</t>
        </is>
      </c>
      <c r="P33" s="7" t="inlineStr">
        <is>
          <t>USDA FoodData Central (SR Legacy / Foundation Foods), fdc.nal.usda.gov</t>
        </is>
      </c>
      <c r="Q33" s="6" t="inlineStr">
        <is>
          <t>2026-09-26</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definitional</t>
        </is>
      </c>
      <c r="L34" s="7" t="inlineStr">
        <is>
          <t>No available carbohydrate — GI is 0 by definition (protein / fat / water)</t>
        </is>
      </c>
      <c r="M34" s="7" t="inlineStr">
        <is>
          <t>n/a</t>
        </is>
      </c>
      <c r="N34" s="6" t="inlineStr"/>
      <c r="O34" s="7" t="inlineStr">
        <is>
          <t>ISO 26642:2010</t>
        </is>
      </c>
      <c r="P34" s="7" t="inlineStr">
        <is>
          <t>USDA FoodData Central (SR Legacy / Foundation Foods), fdc.nal.usda.gov</t>
        </is>
      </c>
      <c r="Q34" s="6" t="inlineStr">
        <is>
          <t>2026-09-26</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definitional</t>
        </is>
      </c>
      <c r="L35" s="7" t="inlineStr">
        <is>
          <t>No available carbohydrate — GI is 0 by definition (protein / fat / water)</t>
        </is>
      </c>
      <c r="M35" s="7" t="inlineStr">
        <is>
          <t>n/a</t>
        </is>
      </c>
      <c r="N35" s="6" t="inlineStr"/>
      <c r="O35" s="7" t="inlineStr">
        <is>
          <t>ISO 26642:2010</t>
        </is>
      </c>
      <c r="P35" s="7" t="inlineStr">
        <is>
          <t>USDA FoodData Central (SR Legacy / Foundation Foods), fdc.nal.usda.gov</t>
        </is>
      </c>
      <c r="Q35" s="6" t="inlineStr">
        <is>
          <t>2026-09-26</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definitional</t>
        </is>
      </c>
      <c r="L36" s="7" t="inlineStr">
        <is>
          <t>No available carbohydrate — GI is 0 by definition (protein / fat / water)</t>
        </is>
      </c>
      <c r="M36" s="7" t="inlineStr">
        <is>
          <t>n/a</t>
        </is>
      </c>
      <c r="N36" s="6" t="inlineStr"/>
      <c r="O36" s="7" t="inlineStr">
        <is>
          <t>ISO 26642:2010</t>
        </is>
      </c>
      <c r="P36" s="7" t="inlineStr">
        <is>
          <t>USDA FoodData Central (SR Legacy / Foundation Foods), fdc.nal.usda.gov</t>
        </is>
      </c>
      <c r="Q36" s="6" t="inlineStr">
        <is>
          <t>2026-09-26</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definitional</t>
        </is>
      </c>
      <c r="L37" s="7" t="inlineStr">
        <is>
          <t>No available carbohydrate — GI is 0 by definition (protein / fat / water)</t>
        </is>
      </c>
      <c r="M37" s="7" t="inlineStr">
        <is>
          <t>n/a</t>
        </is>
      </c>
      <c r="N37" s="6" t="inlineStr"/>
      <c r="O37" s="7" t="inlineStr">
        <is>
          <t>ISO 26642:2010</t>
        </is>
      </c>
      <c r="P37" s="7" t="inlineStr">
        <is>
          <t>USDA FoodData Central (SR Legacy / Foundation Foods), fdc.nal.usda.gov</t>
        </is>
      </c>
      <c r="Q37" s="6" t="inlineStr">
        <is>
          <t>2026-09-26</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definitional</t>
        </is>
      </c>
      <c r="L38" s="7" t="inlineStr">
        <is>
          <t>No available carbohydrate — GI is 0 by definition (protein / fat / water)</t>
        </is>
      </c>
      <c r="M38" s="7" t="inlineStr">
        <is>
          <t>n/a</t>
        </is>
      </c>
      <c r="N38" s="6" t="inlineStr"/>
      <c r="O38" s="7" t="inlineStr">
        <is>
          <t>ISO 26642:2010</t>
        </is>
      </c>
      <c r="P38" s="7" t="inlineStr">
        <is>
          <t>USDA FoodData Central (SR Legacy / Foundation Foods), fdc.nal.usda.gov</t>
        </is>
      </c>
      <c r="Q38" s="6" t="inlineStr">
        <is>
          <t>2026-09-26</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definitional</t>
        </is>
      </c>
      <c r="L39" s="7" t="inlineStr">
        <is>
          <t>No available carbohydrate — GI is 0 by definition (protein / fat / water)</t>
        </is>
      </c>
      <c r="M39" s="7" t="inlineStr">
        <is>
          <t>n/a</t>
        </is>
      </c>
      <c r="N39" s="6" t="inlineStr"/>
      <c r="O39" s="7" t="inlineStr">
        <is>
          <t>ISO 26642:2010</t>
        </is>
      </c>
      <c r="P39" s="7" t="inlineStr">
        <is>
          <t>USDA FoodData Central (SR Legacy / Foundation Foods), fdc.nal.usda.gov</t>
        </is>
      </c>
      <c r="Q39" s="6" t="inlineStr">
        <is>
          <t>2026-09-26</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definitional</t>
        </is>
      </c>
      <c r="L40" s="7" t="inlineStr">
        <is>
          <t>No available carbohydrate — GI is 0 by definition (protein / fat / water)</t>
        </is>
      </c>
      <c r="M40" s="7" t="inlineStr">
        <is>
          <t>n/a</t>
        </is>
      </c>
      <c r="N40" s="6" t="inlineStr"/>
      <c r="O40" s="7" t="inlineStr">
        <is>
          <t>ISO 26642:2010</t>
        </is>
      </c>
      <c r="P40" s="7" t="inlineStr">
        <is>
          <t>USDA FoodData Central (SR Legacy / Foundation Foods), fdc.nal.usda.gov</t>
        </is>
      </c>
      <c r="Q40" s="6" t="inlineStr">
        <is>
          <t>2026-09-26</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definitional</t>
        </is>
      </c>
      <c r="L41" s="7" t="inlineStr">
        <is>
          <t>No available carbohydrate — GI is 0 by definition (protein / fat / water)</t>
        </is>
      </c>
      <c r="M41" s="7" t="inlineStr">
        <is>
          <t>n/a</t>
        </is>
      </c>
      <c r="N41" s="6" t="inlineStr"/>
      <c r="O41" s="7" t="inlineStr">
        <is>
          <t>ISO 26642:2010</t>
        </is>
      </c>
      <c r="P41" s="7" t="inlineStr">
        <is>
          <t>USDA FoodData Central (SR Legacy / Foundation Foods), fdc.nal.usda.gov</t>
        </is>
      </c>
      <c r="Q41" s="6" t="inlineStr">
        <is>
          <t>2026-09-26</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definitional</t>
        </is>
      </c>
      <c r="L42" s="7" t="inlineStr">
        <is>
          <t>No available carbohydrate — GI is 0 by definition (protein / fat / water)</t>
        </is>
      </c>
      <c r="M42" s="7" t="inlineStr">
        <is>
          <t>n/a</t>
        </is>
      </c>
      <c r="N42" s="6" t="inlineStr"/>
      <c r="O42" s="7" t="inlineStr">
        <is>
          <t>ISO 26642:2010</t>
        </is>
      </c>
      <c r="P42" s="7" t="inlineStr">
        <is>
          <t>USDA FoodData Central (SR Legacy / Foundation Foods), fdc.nal.usda.gov</t>
        </is>
      </c>
      <c r="Q42" s="6" t="inlineStr">
        <is>
          <t>2026-09-26</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definitional</t>
        </is>
      </c>
      <c r="L43" s="7" t="inlineStr">
        <is>
          <t>No available carbohydrate — GI is 0 by definition (protein / fat / water)</t>
        </is>
      </c>
      <c r="M43" s="7" t="inlineStr">
        <is>
          <t>n/a</t>
        </is>
      </c>
      <c r="N43" s="6" t="inlineStr"/>
      <c r="O43" s="7" t="inlineStr">
        <is>
          <t>ISO 26642:2010</t>
        </is>
      </c>
      <c r="P43" s="7" t="inlineStr">
        <is>
          <t>USDA FoodData Central (SR Legacy / Foundation Foods), fdc.nal.usda.gov</t>
        </is>
      </c>
      <c r="Q43" s="6" t="inlineStr">
        <is>
          <t>2026-09-26</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definitional</t>
        </is>
      </c>
      <c r="L44" s="7" t="inlineStr">
        <is>
          <t>No available carbohydrate — GI is 0 by definition (protein / fat / water)</t>
        </is>
      </c>
      <c r="M44" s="7" t="inlineStr">
        <is>
          <t>n/a</t>
        </is>
      </c>
      <c r="N44" s="6" t="inlineStr"/>
      <c r="O44" s="7" t="inlineStr">
        <is>
          <t>ISO 26642:2010</t>
        </is>
      </c>
      <c r="P44" s="7" t="inlineStr">
        <is>
          <t>USDA FoodData Central (SR Legacy / Foundation Foods), fdc.nal.usda.gov</t>
        </is>
      </c>
      <c r="Q44" s="6" t="inlineStr">
        <is>
          <t>2026-09-26</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definitional</t>
        </is>
      </c>
      <c r="L45" s="7" t="inlineStr">
        <is>
          <t>No available carbohydrate — GI is 0 by definition (protein / fat / water)</t>
        </is>
      </c>
      <c r="M45" s="7" t="inlineStr">
        <is>
          <t>n/a</t>
        </is>
      </c>
      <c r="N45" s="6" t="inlineStr"/>
      <c r="O45" s="7" t="inlineStr">
        <is>
          <t>ISO 26642:2010</t>
        </is>
      </c>
      <c r="P45" s="7" t="inlineStr">
        <is>
          <t>USDA FoodData Central (SR Legacy / Foundation Foods), fdc.nal.usda.gov</t>
        </is>
      </c>
      <c r="Q45" s="6" t="inlineStr">
        <is>
          <t>2026-09-26</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definitional</t>
        </is>
      </c>
      <c r="L46" s="7" t="inlineStr">
        <is>
          <t>No available carbohydrate — GI is 0 by definition (protein / fat / water)</t>
        </is>
      </c>
      <c r="M46" s="7" t="inlineStr">
        <is>
          <t>n/a</t>
        </is>
      </c>
      <c r="N46" s="6" t="inlineStr"/>
      <c r="O46" s="7" t="inlineStr">
        <is>
          <t>ISO 26642:2010</t>
        </is>
      </c>
      <c r="P46" s="7" t="inlineStr">
        <is>
          <t>USDA FoodData Central (SR Legacy / Foundation Foods), fdc.nal.usda.gov</t>
        </is>
      </c>
      <c r="Q46" s="6" t="inlineStr">
        <is>
          <t>2026-09-26</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definitional</t>
        </is>
      </c>
      <c r="L47" s="7" t="inlineStr">
        <is>
          <t>No available carbohydrate — GI is 0 by definition (protein / fat / water)</t>
        </is>
      </c>
      <c r="M47" s="7" t="inlineStr">
        <is>
          <t>n/a</t>
        </is>
      </c>
      <c r="N47" s="6" t="inlineStr"/>
      <c r="O47" s="7" t="inlineStr">
        <is>
          <t>ISO 26642:2010</t>
        </is>
      </c>
      <c r="P47" s="7" t="inlineStr">
        <is>
          <t>USDA FoodData Central (SR Legacy / Foundation Foods), fdc.nal.usda.gov</t>
        </is>
      </c>
      <c r="Q47" s="6" t="inlineStr">
        <is>
          <t>2026-09-26</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definitional</t>
        </is>
      </c>
      <c r="L48" s="7" t="inlineStr">
        <is>
          <t>No available carbohydrate — GI is 0 by definition (protein / fat / water)</t>
        </is>
      </c>
      <c r="M48" s="7" t="inlineStr">
        <is>
          <t>n/a</t>
        </is>
      </c>
      <c r="N48" s="6" t="inlineStr"/>
      <c r="O48" s="7" t="inlineStr">
        <is>
          <t>ISO 26642:2010</t>
        </is>
      </c>
      <c r="P48" s="7" t="inlineStr">
        <is>
          <t>USDA FoodData Central (SR Legacy / Foundation Foods), fdc.nal.usda.gov</t>
        </is>
      </c>
      <c r="Q48" s="6" t="inlineStr">
        <is>
          <t>2026-09-26</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low</t>
        </is>
      </c>
      <c r="L49" s="7" t="inlineStr">
        <is>
          <t>Estimated from the closest tested food; no direct measurement found in the pooled sources</t>
        </is>
      </c>
      <c r="M49" s="7" t="inlineStr">
        <is>
          <t>no direct match</t>
        </is>
      </c>
      <c r="N49" s="6" t="inlineStr"/>
      <c r="O4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49" s="7" t="inlineStr">
        <is>
          <t>USDA FoodData Central (SR Legacy / Foundation Foods), fdc.nal.usda.gov</t>
        </is>
      </c>
      <c r="Q49" s="6" t="inlineStr">
        <is>
          <t>2026-09-26</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definitional</t>
        </is>
      </c>
      <c r="L50" s="7" t="inlineStr">
        <is>
          <t>No available carbohydrate — GI is 0 by definition (protein / fat / water)</t>
        </is>
      </c>
      <c r="M50" s="7" t="inlineStr">
        <is>
          <t>n/a</t>
        </is>
      </c>
      <c r="N50" s="6" t="inlineStr"/>
      <c r="O50" s="7" t="inlineStr">
        <is>
          <t>ISO 26642:2010</t>
        </is>
      </c>
      <c r="P50" s="7" t="inlineStr">
        <is>
          <t>USDA FoodData Central (SR Legacy / Foundation Foods), fdc.nal.usda.gov</t>
        </is>
      </c>
      <c r="Q50" s="6" t="inlineStr">
        <is>
          <t>2026-09-26</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definitional</t>
        </is>
      </c>
      <c r="L51" s="7" t="inlineStr">
        <is>
          <t>No available carbohydrate — GI is 0 by definition (protein / fat / water)</t>
        </is>
      </c>
      <c r="M51" s="7" t="inlineStr">
        <is>
          <t>n/a</t>
        </is>
      </c>
      <c r="N51" s="6" t="inlineStr"/>
      <c r="O51" s="7" t="inlineStr">
        <is>
          <t>ISO 26642:2010</t>
        </is>
      </c>
      <c r="P51" s="7" t="inlineStr">
        <is>
          <t>USDA FoodData Central (SR Legacy / Foundation Foods), fdc.nal.usda.gov</t>
        </is>
      </c>
      <c r="Q51" s="6" t="inlineStr">
        <is>
          <t>2026-09-26</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low</t>
        </is>
      </c>
      <c r="L52" s="7" t="inlineStr">
        <is>
          <t>Estimated from the closest tested food; no direct measurement found in the pooled sources</t>
        </is>
      </c>
      <c r="M52" s="7" t="inlineStr">
        <is>
          <t>no direct match</t>
        </is>
      </c>
      <c r="N52" s="6" t="inlineStr"/>
      <c r="O5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2" s="7" t="inlineStr">
        <is>
          <t>USDA FoodData Central (SR Legacy / Foundation Foods), fdc.nal.usda.gov</t>
        </is>
      </c>
      <c r="Q52" s="6" t="inlineStr">
        <is>
          <t>2026-09-26</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low</t>
        </is>
      </c>
      <c r="L53" s="7" t="inlineStr">
        <is>
          <t>Estimated from the closest tested food; no direct measurement found in the pooled sources</t>
        </is>
      </c>
      <c r="M53" s="7" t="inlineStr">
        <is>
          <t>no direct match</t>
        </is>
      </c>
      <c r="N53" s="6" t="inlineStr"/>
      <c r="O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3" s="7" t="inlineStr">
        <is>
          <t>USDA FoodData Central (SR Legacy / Foundation Foods), fdc.nal.usda.gov</t>
        </is>
      </c>
      <c r="Q53" s="6" t="inlineStr">
        <is>
          <t>2026-09-26</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low</t>
        </is>
      </c>
      <c r="L54" s="7" t="inlineStr">
        <is>
          <t>Estimated from the closest tested food; no direct measurement found in the pooled sources</t>
        </is>
      </c>
      <c r="M54" s="7" t="inlineStr">
        <is>
          <t>no direct match</t>
        </is>
      </c>
      <c r="N54" s="6" t="inlineStr"/>
      <c r="O5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4" s="7" t="inlineStr">
        <is>
          <t>USDA FoodData Central (SR Legacy / Foundation Foods), fdc.nal.usda.gov</t>
        </is>
      </c>
      <c r="Q54" s="6" t="inlineStr">
        <is>
          <t>2026-09-26</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low</t>
        </is>
      </c>
      <c r="L55" s="7" t="inlineStr">
        <is>
          <t>Estimated from the closest tested food; no direct measurement found in the pooled sources</t>
        </is>
      </c>
      <c r="M55" s="7" t="inlineStr">
        <is>
          <t>no direct match</t>
        </is>
      </c>
      <c r="N55" s="6" t="inlineStr"/>
      <c r="O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5" s="7" t="inlineStr">
        <is>
          <t>USDA FoodData Central (SR Legacy / Foundation Foods), fdc.nal.usda.gov</t>
        </is>
      </c>
      <c r="Q55" s="6" t="inlineStr">
        <is>
          <t>2026-09-26</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low</t>
        </is>
      </c>
      <c r="L56" s="7" t="inlineStr">
        <is>
          <t>Estimated from the closest tested food; no direct measurement found in the pooled sources</t>
        </is>
      </c>
      <c r="M56" s="7" t="inlineStr">
        <is>
          <t>no direct match</t>
        </is>
      </c>
      <c r="N56" s="6" t="inlineStr"/>
      <c r="O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6" s="7" t="inlineStr">
        <is>
          <t>USDA FoodData Central (SR Legacy / Foundation Foods), fdc.nal.usda.gov</t>
        </is>
      </c>
      <c r="Q56" s="6" t="inlineStr">
        <is>
          <t>2026-09-26</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low</t>
        </is>
      </c>
      <c r="L57" s="7" t="inlineStr">
        <is>
          <t>Estimated from the closest tested food; no direct measurement found in the pooled sources</t>
        </is>
      </c>
      <c r="M57" s="7" t="inlineStr">
        <is>
          <t>no direct match</t>
        </is>
      </c>
      <c r="N57" s="6" t="inlineStr"/>
      <c r="O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7" s="7" t="inlineStr">
        <is>
          <t>USDA FoodData Central (SR Legacy / Foundation Foods), fdc.nal.usda.gov</t>
        </is>
      </c>
      <c r="Q57" s="6" t="inlineStr">
        <is>
          <t>2026-09-26</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medium</t>
        </is>
      </c>
      <c r="L58" s="7" t="inlineStr">
        <is>
          <t>2021 International Tables, Suppl. Tables 1+2 (incl. studies with method deviations)</t>
        </is>
      </c>
      <c r="M58" s="7" t="inlineStr">
        <is>
          <t>median of 2 tested foods, range 12-17</t>
        </is>
      </c>
      <c r="N58" s="6" t="n">
        <v>14</v>
      </c>
      <c r="O58" s="7" t="inlineStr">
        <is>
          <t>Atkinson FS, Brand-Miller JC, Foster-Powell K, Buyken AE, Goletzke J. International tables of glycemic index and glycemic load values 2021. Am J Clin Nutr 2021;114(5):1625-32. doi:10.1093/ajcn/nqab233</t>
        </is>
      </c>
      <c r="P58" s="7" t="inlineStr">
        <is>
          <t>USDA FoodData Central (SR Legacy / Foundation Foods), fdc.nal.usda.gov</t>
        </is>
      </c>
      <c r="Q58" s="6" t="inlineStr">
        <is>
          <t>2026-09-26</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low</t>
        </is>
      </c>
      <c r="L59" s="7" t="inlineStr">
        <is>
          <t>Estimated from the closest tested food; no direct measurement found in the pooled sources</t>
        </is>
      </c>
      <c r="M59" s="7" t="inlineStr">
        <is>
          <t>no direct match</t>
        </is>
      </c>
      <c r="N59" s="6" t="n">
        <v>10</v>
      </c>
      <c r="O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9" s="7" t="inlineStr">
        <is>
          <t>USDA FoodData Central (SR Legacy / Foundation Foods), fdc.nal.usda.gov</t>
        </is>
      </c>
      <c r="Q59" s="6" t="inlineStr">
        <is>
          <t>2026-09-26</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none (placeholder)</t>
        </is>
      </c>
      <c r="L60" s="7" t="inlineStr">
        <is>
          <t>Conventional placeholder for foods with too little carbohydrate to test (non-starchy vegetables, nuts, seeds, herbs); no published measurement exists</t>
        </is>
      </c>
      <c r="M60" s="7" t="inlineStr">
        <is>
          <t>not measurable</t>
        </is>
      </c>
      <c r="N60" s="6" t="inlineStr"/>
      <c r="O60" s="7" t="inlineStr">
        <is>
          <t>clinical convention</t>
        </is>
      </c>
      <c r="P60" s="7" t="inlineStr">
        <is>
          <t>USDA FoodData Central (SR Legacy / Foundation Foods), fdc.nal.usda.gov</t>
        </is>
      </c>
      <c r="Q60" s="6" t="inlineStr">
        <is>
          <t>2026-09-26</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low</t>
        </is>
      </c>
      <c r="L61" s="7" t="inlineStr">
        <is>
          <t>Estimated from the closest tested food; no direct measurement found in the pooled sources</t>
        </is>
      </c>
      <c r="M61" s="7" t="inlineStr">
        <is>
          <t>no direct match</t>
        </is>
      </c>
      <c r="N61" s="6" t="inlineStr"/>
      <c r="O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1" s="7" t="inlineStr">
        <is>
          <t>USDA FoodData Central (SR Legacy / Foundation Foods), fdc.nal.usda.gov</t>
        </is>
      </c>
      <c r="Q61" s="6" t="inlineStr">
        <is>
          <t>2026-09-26</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low</t>
        </is>
      </c>
      <c r="L62" s="7" t="inlineStr">
        <is>
          <t>Estimated from the closest tested food; no direct measurement found in the pooled sources</t>
        </is>
      </c>
      <c r="M62" s="7" t="inlineStr">
        <is>
          <t>no direct match</t>
        </is>
      </c>
      <c r="N62" s="6" t="inlineStr"/>
      <c r="O6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2" s="7" t="inlineStr">
        <is>
          <t>USDA FoodData Central (SR Legacy / Foundation Foods), fdc.nal.usda.gov</t>
        </is>
      </c>
      <c r="Q62" s="6" t="inlineStr">
        <is>
          <t>2026-09-26</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low</t>
        </is>
      </c>
      <c r="L63" s="7" t="inlineStr">
        <is>
          <t>Estimated from the closest tested food; no direct measurement found in the pooled sources</t>
        </is>
      </c>
      <c r="M63" s="7" t="inlineStr">
        <is>
          <t>no direct match</t>
        </is>
      </c>
      <c r="N63" s="6" t="inlineStr"/>
      <c r="O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3" s="7" t="inlineStr">
        <is>
          <t>USDA FoodData Central (SR Legacy / Foundation Foods), fdc.nal.usda.gov</t>
        </is>
      </c>
      <c r="Q63" s="6" t="inlineStr">
        <is>
          <t>2026-09-26</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low</t>
        </is>
      </c>
      <c r="L64" s="7" t="inlineStr">
        <is>
          <t>Estimated from the closest tested food; no direct measurement found in the pooled sources</t>
        </is>
      </c>
      <c r="M64" s="7" t="inlineStr">
        <is>
          <t>no direct match</t>
        </is>
      </c>
      <c r="N64" s="6" t="inlineStr"/>
      <c r="O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4" s="7" t="inlineStr">
        <is>
          <t>USDA FoodData Central (SR Legacy / Foundation Foods), fdc.nal.usda.gov</t>
        </is>
      </c>
      <c r="Q64" s="6" t="inlineStr">
        <is>
          <t>2026-09-26</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definitional</t>
        </is>
      </c>
      <c r="L65" s="7" t="inlineStr">
        <is>
          <t>No available carbohydrate — GI is 0 by definition (protein / fat / water)</t>
        </is>
      </c>
      <c r="M65" s="7" t="inlineStr">
        <is>
          <t>n/a</t>
        </is>
      </c>
      <c r="N65" s="6" t="inlineStr"/>
      <c r="O65" s="7" t="inlineStr">
        <is>
          <t>ISO 26642:2010</t>
        </is>
      </c>
      <c r="P65" s="7" t="inlineStr">
        <is>
          <t>USDA FoodData Central (SR Legacy / Foundation Foods), fdc.nal.usda.gov</t>
        </is>
      </c>
      <c r="Q65" s="6" t="inlineStr">
        <is>
          <t>2026-09-26</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low</t>
        </is>
      </c>
      <c r="L66" s="7" t="inlineStr">
        <is>
          <t>Estimated from the closest tested food; no direct measurement found in the pooled sources</t>
        </is>
      </c>
      <c r="M66" s="7" t="inlineStr">
        <is>
          <t>no direct match</t>
        </is>
      </c>
      <c r="N66" s="6" t="inlineStr"/>
      <c r="O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6" s="7" t="inlineStr">
        <is>
          <t>USDA FoodData Central (SR Legacy / Foundation Foods), fdc.nal.usda.gov</t>
        </is>
      </c>
      <c r="Q66" s="6" t="inlineStr">
        <is>
          <t>2026-09-26</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low</t>
        </is>
      </c>
      <c r="L67" s="7" t="inlineStr">
        <is>
          <t>Estimated from the closest tested food; no direct measurement found in the pooled sources</t>
        </is>
      </c>
      <c r="M67" s="7" t="inlineStr">
        <is>
          <t>no direct match</t>
        </is>
      </c>
      <c r="N67" s="6" t="inlineStr"/>
      <c r="O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7" s="7" t="inlineStr">
        <is>
          <t>USDA FoodData Central (SR Legacy / Foundation Foods), fdc.nal.usda.gov</t>
        </is>
      </c>
      <c r="Q67" s="6" t="inlineStr">
        <is>
          <t>2026-09-26</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low</t>
        </is>
      </c>
      <c r="L68" s="7" t="inlineStr">
        <is>
          <t>Estimated from the closest tested food; no direct measurement found in the pooled sources</t>
        </is>
      </c>
      <c r="M68" s="7" t="inlineStr">
        <is>
          <t>no direct match</t>
        </is>
      </c>
      <c r="N68" s="6" t="inlineStr"/>
      <c r="O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8" s="7" t="inlineStr">
        <is>
          <t>USDA FoodData Central (SR Legacy / Foundation Foods), fdc.nal.usda.gov</t>
        </is>
      </c>
      <c r="Q68" s="6" t="inlineStr">
        <is>
          <t>2026-09-26</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low</t>
        </is>
      </c>
      <c r="L69" s="7" t="inlineStr">
        <is>
          <t>Estimated from the closest tested food; no direct measurement found in the pooled sources</t>
        </is>
      </c>
      <c r="M69" s="7" t="inlineStr">
        <is>
          <t>no direct match</t>
        </is>
      </c>
      <c r="N69" s="6" t="inlineStr"/>
      <c r="O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9" s="7" t="inlineStr">
        <is>
          <t>USDA FoodData Central (SR Legacy / Foundation Foods), fdc.nal.usda.gov</t>
        </is>
      </c>
      <c r="Q69" s="6" t="inlineStr">
        <is>
          <t>2026-09-26</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low</t>
        </is>
      </c>
      <c r="L70" s="7" t="inlineStr">
        <is>
          <t>Estimated from the closest tested food; no direct measurement found in the pooled sources</t>
        </is>
      </c>
      <c r="M70" s="7" t="inlineStr">
        <is>
          <t>no direct match</t>
        </is>
      </c>
      <c r="N70" s="6" t="inlineStr"/>
      <c r="O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0" s="7" t="inlineStr">
        <is>
          <t>USDA FoodData Central (SR Legacy / Foundation Foods), fdc.nal.usda.gov</t>
        </is>
      </c>
      <c r="Q70" s="6" t="inlineStr">
        <is>
          <t>2026-09-26</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high</t>
        </is>
      </c>
      <c r="L71" s="7" t="inlineStr">
        <is>
          <t>2021 International Tables, Suppl. Table 1 (ISO 26642:2010-compliant studies)</t>
        </is>
      </c>
      <c r="M71" s="7" t="inlineStr">
        <is>
          <t>median of 3 tested foods, range 26-34</t>
        </is>
      </c>
      <c r="N71" s="6" t="n">
        <v>30</v>
      </c>
      <c r="O71" s="7" t="inlineStr">
        <is>
          <t>Atkinson FS, Brand-Miller JC, Foster-Powell K, Buyken AE, Goletzke J. International tables of glycemic index and glycemic load values 2021. Am J Clin Nutr 2021;114(5):1625-32. doi:10.1093/ajcn/nqab233</t>
        </is>
      </c>
      <c r="P71" s="7" t="inlineStr">
        <is>
          <t>USDA FoodData Central (SR Legacy / Foundation Foods), fdc.nal.usda.gov</t>
        </is>
      </c>
      <c r="Q71" s="6" t="inlineStr">
        <is>
          <t>2026-09-26</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low</t>
        </is>
      </c>
      <c r="L72" s="7" t="inlineStr">
        <is>
          <t>Estimated from the closest tested food; no direct measurement found in the pooled sources</t>
        </is>
      </c>
      <c r="M72" s="7" t="inlineStr">
        <is>
          <t>no direct match</t>
        </is>
      </c>
      <c r="N72" s="6" t="inlineStr"/>
      <c r="O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2" s="7" t="inlineStr">
        <is>
          <t>USDA FoodData Central (SR Legacy / Foundation Foods), fdc.nal.usda.gov</t>
        </is>
      </c>
      <c r="Q72" s="6" t="inlineStr">
        <is>
          <t>2026-09-26</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low</t>
        </is>
      </c>
      <c r="L73" s="7" t="inlineStr">
        <is>
          <t>Estimated from the closest tested food; no direct measurement found in the pooled sources</t>
        </is>
      </c>
      <c r="M73" s="7" t="inlineStr">
        <is>
          <t>no direct match</t>
        </is>
      </c>
      <c r="N73" s="6" t="inlineStr"/>
      <c r="O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3" s="7" t="inlineStr">
        <is>
          <t>USDA FoodData Central (SR Legacy / Foundation Foods), fdc.nal.usda.gov</t>
        </is>
      </c>
      <c r="Q73" s="6" t="inlineStr">
        <is>
          <t>2026-09-26</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definitional</t>
        </is>
      </c>
      <c r="L74" s="7" t="inlineStr">
        <is>
          <t>No available carbohydrate — GI is 0 by definition (protein / fat / water)</t>
        </is>
      </c>
      <c r="M74" s="7" t="inlineStr">
        <is>
          <t>n/a</t>
        </is>
      </c>
      <c r="N74" s="6" t="inlineStr"/>
      <c r="O74" s="7" t="inlineStr">
        <is>
          <t>ISO 26642:2010</t>
        </is>
      </c>
      <c r="P74" s="7" t="inlineStr">
        <is>
          <t>USDA FoodData Central (SR Legacy / Foundation Foods), fdc.nal.usda.gov</t>
        </is>
      </c>
      <c r="Q74" s="6" t="inlineStr">
        <is>
          <t>2026-09-26</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definitional</t>
        </is>
      </c>
      <c r="L75" s="7" t="inlineStr">
        <is>
          <t>No available carbohydrate — GI is 0 by definition (protein / fat / water)</t>
        </is>
      </c>
      <c r="M75" s="7" t="inlineStr">
        <is>
          <t>n/a</t>
        </is>
      </c>
      <c r="N75" s="6" t="inlineStr"/>
      <c r="O75" s="7" t="inlineStr">
        <is>
          <t>ISO 26642:2010</t>
        </is>
      </c>
      <c r="P75" s="7" t="inlineStr">
        <is>
          <t>USDA FoodData Central (SR Legacy / Foundation Foods), fdc.nal.usda.gov</t>
        </is>
      </c>
      <c r="Q75" s="6" t="inlineStr">
        <is>
          <t>2026-09-26</t>
        </is>
      </c>
    </row>
    <row r="76">
      <c r="A76" s="6" t="inlineStr">
        <is>
          <t>kefir</t>
        </is>
      </c>
      <c r="B76" s="6" t="inlineStr">
        <is>
          <t>Kefir, plain</t>
        </is>
      </c>
      <c r="C76" s="6" t="inlineStr">
        <is>
          <t>dairy</t>
        </is>
      </c>
      <c r="D76" s="6" t="n">
        <v>41</v>
      </c>
      <c r="E76" s="6" t="n">
        <v>3.3</v>
      </c>
      <c r="F76" s="6" t="n">
        <v>1</v>
      </c>
      <c r="G76" s="6" t="n">
        <v>4</v>
      </c>
      <c r="H76" s="6" t="n">
        <v>0</v>
      </c>
      <c r="I76" s="6" t="n">
        <v>4</v>
      </c>
      <c r="J76" s="6" t="n">
        <v>36</v>
      </c>
      <c r="K76" s="6" t="inlineStr">
        <is>
          <t>medium</t>
        </is>
      </c>
      <c r="L76" s="7" t="inlineStr">
        <is>
          <t>2021 International Tables, Suppl. Tables 1+2 (incl. studies with method deviations)</t>
        </is>
      </c>
      <c r="M76" s="7" t="inlineStr">
        <is>
          <t>median of 1 tested foods, range 36-36</t>
        </is>
      </c>
      <c r="N76" s="6" t="n">
        <v>36</v>
      </c>
      <c r="O76" s="7" t="inlineStr">
        <is>
          <t>Atkinson FS, Brand-Miller JC, Foster-Powell K, Buyken AE, Goletzke J. International tables of glycemic index and glycemic load values 2021. Am J Clin Nutr 2021;114(5):1625-32. doi:10.1093/ajcn/nqab233</t>
        </is>
      </c>
      <c r="P76" s="7" t="inlineStr">
        <is>
          <t>USDA FoodData Central (SR Legacy / Foundation Foods), fdc.nal.usda.gov</t>
        </is>
      </c>
      <c r="Q76" s="6" t="inlineStr">
        <is>
          <t>2026-09-26</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low</t>
        </is>
      </c>
      <c r="L77" s="7" t="inlineStr">
        <is>
          <t>Estimated from the closest tested food; no direct measurement found in the pooled sources</t>
        </is>
      </c>
      <c r="M77" s="7" t="inlineStr">
        <is>
          <t>no direct match</t>
        </is>
      </c>
      <c r="N77" s="6" t="n">
        <v>25</v>
      </c>
      <c r="O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7" s="7" t="inlineStr">
        <is>
          <t>USDA FoodData Central (SR Legacy / Foundation Foods), fdc.nal.usda.gov</t>
        </is>
      </c>
      <c r="Q77" s="6" t="inlineStr">
        <is>
          <t>2026-09-26</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36</v>
      </c>
      <c r="K78" s="6" t="inlineStr">
        <is>
          <t>high</t>
        </is>
      </c>
      <c r="L78" s="7" t="inlineStr">
        <is>
          <t>2021 International Tables, Suppl. Table 1 (ISO 26642:2010-compliant studies)</t>
        </is>
      </c>
      <c r="M78" s="7" t="inlineStr">
        <is>
          <t>median of 11 tested foods, range 17-44</t>
        </is>
      </c>
      <c r="N78" s="6" t="n">
        <v>36</v>
      </c>
      <c r="O78" s="7" t="inlineStr">
        <is>
          <t>Atkinson FS, Brand-Miller JC, Foster-Powell K, Buyken AE, Goletzke J. International tables of glycemic index and glycemic load values 2021. Am J Clin Nutr 2021;114(5):1625-32. doi:10.1093/ajcn/nqab233</t>
        </is>
      </c>
      <c r="P78" s="7" t="inlineStr">
        <is>
          <t>USDA FoodData Central (SR Legacy / Foundation Foods), fdc.nal.usda.gov</t>
        </is>
      </c>
      <c r="Q78" s="6" t="inlineStr">
        <is>
          <t>2026-09-26</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low</t>
        </is>
      </c>
      <c r="L79" s="7" t="inlineStr">
        <is>
          <t>Estimated from the closest tested food; no direct measurement found in the pooled sources</t>
        </is>
      </c>
      <c r="M79" s="7" t="inlineStr">
        <is>
          <t>no direct match</t>
        </is>
      </c>
      <c r="N79" s="6" t="n">
        <v>35</v>
      </c>
      <c r="O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9" s="7" t="inlineStr">
        <is>
          <t>USDA FoodData Central (SR Legacy / Foundation Foods), fdc.nal.usda.gov</t>
        </is>
      </c>
      <c r="Q79" s="6" t="inlineStr">
        <is>
          <t>2026-09-26</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low</t>
        </is>
      </c>
      <c r="L80" s="7" t="inlineStr">
        <is>
          <t>Estimated from the closest tested food; no direct measurement found in the pooled sources</t>
        </is>
      </c>
      <c r="M80" s="7" t="inlineStr">
        <is>
          <t>no direct match</t>
        </is>
      </c>
      <c r="N80" s="6" t="n">
        <v>35</v>
      </c>
      <c r="O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0" s="7" t="inlineStr">
        <is>
          <t>USDA FoodData Central (SR Legacy / Foundation Foods), fdc.nal.usda.gov</t>
        </is>
      </c>
      <c r="Q80" s="6" t="inlineStr">
        <is>
          <t>2026-09-26</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medium</t>
        </is>
      </c>
      <c r="L81" s="7" t="inlineStr">
        <is>
          <t>2021 International Tables, Suppl. Tables 1+2 (incl. studies with method deviations)</t>
        </is>
      </c>
      <c r="M81" s="7" t="inlineStr">
        <is>
          <t>median of 1 tested foods, range 31-31</t>
        </is>
      </c>
      <c r="N81" s="6" t="n">
        <v>31</v>
      </c>
      <c r="O81" s="7" t="inlineStr">
        <is>
          <t>Atkinson FS, Brand-Miller JC, Foster-Powell K, Buyken AE, Goletzke J. International tables of glycemic index and glycemic load values 2021. Am J Clin Nutr 2021;114(5):1625-32. doi:10.1093/ajcn/nqab233</t>
        </is>
      </c>
      <c r="P81" s="7" t="inlineStr">
        <is>
          <t>USDA FoodData Central (SR Legacy / Foundation Foods), fdc.nal.usda.gov</t>
        </is>
      </c>
      <c r="Q81" s="6" t="inlineStr">
        <is>
          <t>2026-09-26</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low</t>
        </is>
      </c>
      <c r="L82" s="7" t="inlineStr">
        <is>
          <t>Estimated from the closest tested food; no direct measurement found in the pooled sources</t>
        </is>
      </c>
      <c r="M82" s="7" t="inlineStr">
        <is>
          <t>no direct match</t>
        </is>
      </c>
      <c r="N82" s="6" t="inlineStr"/>
      <c r="O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2" s="7" t="inlineStr">
        <is>
          <t>USDA FoodData Central (SR Legacy / Foundation Foods), fdc.nal.usda.gov</t>
        </is>
      </c>
      <c r="Q82" s="6" t="inlineStr">
        <is>
          <t>2026-09-26</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low</t>
        </is>
      </c>
      <c r="L83" s="7" t="inlineStr">
        <is>
          <t>Estimated from the closest tested food; no direct measurement found in the pooled sources</t>
        </is>
      </c>
      <c r="M83" s="7" t="inlineStr">
        <is>
          <t>no direct match</t>
        </is>
      </c>
      <c r="N83" s="6" t="inlineStr"/>
      <c r="O8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3" s="7" t="inlineStr">
        <is>
          <t>USDA FoodData Central (SR Legacy / Foundation Foods), fdc.nal.usda.gov</t>
        </is>
      </c>
      <c r="Q83" s="6" t="inlineStr">
        <is>
          <t>2026-09-26</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none (placeholder)</t>
        </is>
      </c>
      <c r="L84" s="7" t="inlineStr">
        <is>
          <t>Conventional placeholder for foods with too little carbohydrate to test (non-starchy vegetables, nuts, seeds, herbs); no published measurement exists</t>
        </is>
      </c>
      <c r="M84" s="7" t="inlineStr">
        <is>
          <t>not measurable</t>
        </is>
      </c>
      <c r="N84" s="6" t="n">
        <v>15</v>
      </c>
      <c r="O84" s="7" t="inlineStr">
        <is>
          <t>clinical convention</t>
        </is>
      </c>
      <c r="P84" s="7" t="inlineStr">
        <is>
          <t>USDA FoodData Central (SR Legacy / Foundation Foods), fdc.nal.usda.gov</t>
        </is>
      </c>
      <c r="Q84" s="6" t="inlineStr">
        <is>
          <t>2026-09-26</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none (placeholder)</t>
        </is>
      </c>
      <c r="L85" s="7" t="inlineStr">
        <is>
          <t>Conventional placeholder for foods with too little carbohydrate to test (non-starchy vegetables, nuts, seeds, herbs); no published measurement exists</t>
        </is>
      </c>
      <c r="M85" s="7" t="inlineStr">
        <is>
          <t>not measurable</t>
        </is>
      </c>
      <c r="N85" s="6" t="n">
        <v>15</v>
      </c>
      <c r="O85" s="7" t="inlineStr">
        <is>
          <t>clinical convention</t>
        </is>
      </c>
      <c r="P85" s="7" t="inlineStr">
        <is>
          <t>USDA FoodData Central (SR Legacy / Foundation Foods), fdc.nal.usda.gov</t>
        </is>
      </c>
      <c r="Q85" s="6" t="inlineStr">
        <is>
          <t>2026-09-26</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low</t>
        </is>
      </c>
      <c r="L86" s="7" t="inlineStr">
        <is>
          <t>Estimated from the closest tested food; no direct measurement found in the pooled sources</t>
        </is>
      </c>
      <c r="M86" s="7" t="inlineStr">
        <is>
          <t>no direct match</t>
        </is>
      </c>
      <c r="N86" s="6" t="n">
        <v>18</v>
      </c>
      <c r="O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6" s="7" t="inlineStr">
        <is>
          <t>USDA FoodData Central (SR Legacy / Foundation Foods), fdc.nal.usda.gov</t>
        </is>
      </c>
      <c r="Q86" s="6" t="inlineStr">
        <is>
          <t>2026-09-26</t>
        </is>
      </c>
    </row>
    <row r="87">
      <c r="A87" s="6" t="inlineStr">
        <is>
          <t>lentils</t>
        </is>
      </c>
      <c r="B87" s="6" t="inlineStr">
        <is>
          <t>Lentils, cooked</t>
        </is>
      </c>
      <c r="C87" s="6" t="inlineStr">
        <is>
          <t>legume</t>
        </is>
      </c>
      <c r="D87" s="6" t="n">
        <v>116</v>
      </c>
      <c r="E87" s="6" t="n">
        <v>9</v>
      </c>
      <c r="F87" s="6" t="n">
        <v>0.4</v>
      </c>
      <c r="G87" s="6" t="n">
        <v>20</v>
      </c>
      <c r="H87" s="6" t="n">
        <v>7.9</v>
      </c>
      <c r="I87" s="6" t="n">
        <v>12.1</v>
      </c>
      <c r="J87" s="6" t="n">
        <v>36</v>
      </c>
      <c r="K87" s="6" t="inlineStr">
        <is>
          <t>high</t>
        </is>
      </c>
      <c r="L87" s="7" t="inlineStr">
        <is>
          <t>2021 International Tables, Suppl. Table 1 (ISO 26642:2010-compliant studies)</t>
        </is>
      </c>
      <c r="M87" s="7" t="inlineStr">
        <is>
          <t>median of 3 tested foods, range 16-57</t>
        </is>
      </c>
      <c r="N87" s="6" t="n">
        <v>36</v>
      </c>
      <c r="O87" s="7" t="inlineStr">
        <is>
          <t>Atkinson FS, Brand-Miller JC, Foster-Powell K, Buyken AE, Goletzke J. International tables of glycemic index and glycemic load values 2021. Am J Clin Nutr 2021;114(5):1625-32. doi:10.1093/ajcn/nqab233</t>
        </is>
      </c>
      <c r="P87" s="7" t="inlineStr">
        <is>
          <t>USDA FoodData Central (SR Legacy / Foundation Foods), fdc.nal.usda.gov</t>
        </is>
      </c>
      <c r="Q87" s="6" t="inlineStr">
        <is>
          <t>2026-09-26</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21</v>
      </c>
      <c r="K88" s="6" t="inlineStr">
        <is>
          <t>medium</t>
        </is>
      </c>
      <c r="L88" s="7" t="inlineStr">
        <is>
          <t>2021 International Tables, Suppl. Tables 1+2 (incl. studies with method deviations)</t>
        </is>
      </c>
      <c r="M88" s="7" t="inlineStr">
        <is>
          <t>median of 5 tested foods, range 18-32</t>
        </is>
      </c>
      <c r="N88" s="6" t="n">
        <v>21</v>
      </c>
      <c r="O88" s="7" t="inlineStr">
        <is>
          <t>Atkinson FS, Brand-Miller JC, Foster-Powell K, Buyken AE, Goletzke J. International tables of glycemic index and glycemic load values 2021. Am J Clin Nutr 2021;114(5):1625-32. doi:10.1093/ajcn/nqab233</t>
        </is>
      </c>
      <c r="P88" s="7" t="inlineStr">
        <is>
          <t>USDA FoodData Central (SR Legacy / Foundation Foods), fdc.nal.usda.gov</t>
        </is>
      </c>
      <c r="Q88" s="6" t="inlineStr">
        <is>
          <t>2026-09-26</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38</v>
      </c>
      <c r="K89" s="6" t="inlineStr">
        <is>
          <t>high</t>
        </is>
      </c>
      <c r="L89" s="7" t="inlineStr">
        <is>
          <t>2021 International Tables, Suppl. Table 1 (ISO 26642:2010-compliant studies)</t>
        </is>
      </c>
      <c r="M89" s="7" t="inlineStr">
        <is>
          <t>median of 3 tested foods, range 22-39</t>
        </is>
      </c>
      <c r="N89" s="6" t="n">
        <v>38</v>
      </c>
      <c r="O89" s="7" t="inlineStr">
        <is>
          <t>Atkinson FS, Brand-Miller JC, Foster-Powell K, Buyken AE, Goletzke J. International tables of glycemic index and glycemic load values 2021. Am J Clin Nutr 2021;114(5):1625-32. doi:10.1093/ajcn/nqab233</t>
        </is>
      </c>
      <c r="P89" s="7" t="inlineStr">
        <is>
          <t>USDA FoodData Central (SR Legacy / Foundation Foods), fdc.nal.usda.gov</t>
        </is>
      </c>
      <c r="Q89" s="6" t="inlineStr">
        <is>
          <t>2026-09-26</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medium</t>
        </is>
      </c>
      <c r="L90" s="7" t="inlineStr">
        <is>
          <t>2021 International Tables, Suppl. Tables 1+2 (incl. studies with method deviations)</t>
        </is>
      </c>
      <c r="M90" s="7" t="inlineStr">
        <is>
          <t>median of 2 tested foods, range 20-31</t>
        </is>
      </c>
      <c r="N90" s="6" t="n">
        <v>26</v>
      </c>
      <c r="O90" s="7" t="inlineStr">
        <is>
          <t>Atkinson FS, Brand-Miller JC, Foster-Powell K, Buyken AE, Goletzke J. International tables of glycemic index and glycemic load values 2021. Am J Clin Nutr 2021;114(5):1625-32. doi:10.1093/ajcn/nqab233</t>
        </is>
      </c>
      <c r="P90" s="7" t="inlineStr">
        <is>
          <t>USDA FoodData Central (SR Legacy / Foundation Foods), fdc.nal.usda.gov</t>
        </is>
      </c>
      <c r="Q90" s="6" t="inlineStr">
        <is>
          <t>2026-09-26</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34</v>
      </c>
      <c r="K91" s="6" t="inlineStr">
        <is>
          <t>medium</t>
        </is>
      </c>
      <c r="L91" s="7" t="inlineStr">
        <is>
          <t>2021 International Tables, Suppl. Tables 1+2 (incl. studies with method deviations)</t>
        </is>
      </c>
      <c r="M91" s="7" t="inlineStr">
        <is>
          <t>median of 14 tested foods, range 9-70</t>
        </is>
      </c>
      <c r="N91" s="6" t="n">
        <v>34</v>
      </c>
      <c r="O91" s="7" t="inlineStr">
        <is>
          <t>Atkinson FS, Brand-Miller JC, Foster-Powell K, Buyken AE, Goletzke J. International tables of glycemic index and glycemic load values 2021. Am J Clin Nutr 2021;114(5):1625-32. doi:10.1093/ajcn/nqab233</t>
        </is>
      </c>
      <c r="P91" s="7" t="inlineStr">
        <is>
          <t>USDA FoodData Central (SR Legacy / Foundation Foods), fdc.nal.usda.gov</t>
        </is>
      </c>
      <c r="Q91" s="6" t="inlineStr">
        <is>
          <t>2026-09-26</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33</v>
      </c>
      <c r="K92" s="6" t="inlineStr">
        <is>
          <t>medium</t>
        </is>
      </c>
      <c r="L92" s="7" t="inlineStr">
        <is>
          <t>2021 International Tables, Suppl. Tables 1+2 (incl. studies with method deviations)</t>
        </is>
      </c>
      <c r="M92" s="7" t="inlineStr">
        <is>
          <t>median of 5 tested foods, range 14-45</t>
        </is>
      </c>
      <c r="N92" s="6" t="n">
        <v>33</v>
      </c>
      <c r="O92" s="7" t="inlineStr">
        <is>
          <t>Atkinson FS, Brand-Miller JC, Foster-Powell K, Buyken AE, Goletzke J. International tables of glycemic index and glycemic load values 2021. Am J Clin Nutr 2021;114(5):1625-32. doi:10.1093/ajcn/nqab233</t>
        </is>
      </c>
      <c r="P92" s="7" t="inlineStr">
        <is>
          <t>USDA FoodData Central (SR Legacy / Foundation Foods), fdc.nal.usda.gov</t>
        </is>
      </c>
      <c r="Q92" s="6" t="inlineStr">
        <is>
          <t>2026-09-26</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medium</t>
        </is>
      </c>
      <c r="L93" s="7" t="inlineStr">
        <is>
          <t>2021 International Tables, Suppl. Tables 1+2 (incl. studies with method deviations)</t>
        </is>
      </c>
      <c r="M93" s="7" t="inlineStr">
        <is>
          <t>median of 1 tested foods, range 31-31</t>
        </is>
      </c>
      <c r="N93" s="6" t="n">
        <v>31</v>
      </c>
      <c r="O93" s="7" t="inlineStr">
        <is>
          <t>Atkinson FS, Brand-Miller JC, Foster-Powell K, Buyken AE, Goletzke J. International tables of glycemic index and glycemic load values 2021. Am J Clin Nutr 2021;114(5):1625-32. doi:10.1093/ajcn/nqab233</t>
        </is>
      </c>
      <c r="P93" s="7" t="inlineStr">
        <is>
          <t>USDA FoodData Central (SR Legacy / Foundation Foods), fdc.nal.usda.gov</t>
        </is>
      </c>
      <c r="Q93" s="6" t="inlineStr">
        <is>
          <t>2026-09-26</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low</t>
        </is>
      </c>
      <c r="L94" s="7" t="inlineStr">
        <is>
          <t>Estimated from the closest tested food; no direct measurement found in the pooled sources</t>
        </is>
      </c>
      <c r="M94" s="7" t="inlineStr">
        <is>
          <t>no direct match</t>
        </is>
      </c>
      <c r="N94" s="6" t="n">
        <v>31</v>
      </c>
      <c r="O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4" s="7" t="inlineStr">
        <is>
          <t>USDA FoodData Central (SR Legacy / Foundation Foods), fdc.nal.usda.gov</t>
        </is>
      </c>
      <c r="Q94" s="6" t="inlineStr">
        <is>
          <t>2026-09-26</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medium</t>
        </is>
      </c>
      <c r="L95" s="7" t="inlineStr">
        <is>
          <t>2021 International Tables, Suppl. Tables 1+2 (incl. studies with method deviations)</t>
        </is>
      </c>
      <c r="M95" s="7" t="inlineStr">
        <is>
          <t>median of 10 tested foods, range 26-54</t>
        </is>
      </c>
      <c r="N95" s="6" t="n">
        <v>34</v>
      </c>
      <c r="O95" s="7" t="inlineStr">
        <is>
          <t>Atkinson FS, Brand-Miller JC, Foster-Powell K, Buyken AE, Goletzke J. International tables of glycemic index and glycemic load values 2021. Am J Clin Nutr 2021;114(5):1625-32. doi:10.1093/ajcn/nqab233</t>
        </is>
      </c>
      <c r="P95" s="7" t="inlineStr">
        <is>
          <t>USDA FoodData Central (SR Legacy / Foundation Foods), fdc.nal.usda.gov</t>
        </is>
      </c>
      <c r="Q95" s="6" t="inlineStr">
        <is>
          <t>2026-09-26</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50</v>
      </c>
      <c r="K96" s="6" t="inlineStr">
        <is>
          <t>medium</t>
        </is>
      </c>
      <c r="L96" s="7" t="inlineStr">
        <is>
          <t>2021 International Tables, Suppl. Tables 1+2 (incl. studies with method deviations)</t>
        </is>
      </c>
      <c r="M96" s="7" t="inlineStr">
        <is>
          <t>median of 3 tested foods, range 33-52</t>
        </is>
      </c>
      <c r="N96" s="6" t="n">
        <v>50</v>
      </c>
      <c r="O96" s="7" t="inlineStr">
        <is>
          <t>Atkinson FS, Brand-Miller JC, Foster-Powell K, Buyken AE, Goletzke J. International tables of glycemic index and glycemic load values 2021. Am J Clin Nutr 2021;114(5):1625-32. doi:10.1093/ajcn/nqab233</t>
        </is>
      </c>
      <c r="P96" s="7" t="inlineStr">
        <is>
          <t>USDA FoodData Central (SR Legacy / Foundation Foods), fdc.nal.usda.gov</t>
        </is>
      </c>
      <c r="Q96" s="6" t="inlineStr">
        <is>
          <t>2026-09-26</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32</v>
      </c>
      <c r="K97" s="6" t="inlineStr">
        <is>
          <t>medium</t>
        </is>
      </c>
      <c r="L97" s="7" t="inlineStr">
        <is>
          <t>2021 International Tables, Suppl. Tables 1+2 (incl. studies with method deviations)</t>
        </is>
      </c>
      <c r="M97" s="7" t="inlineStr">
        <is>
          <t>median of 3 tested foods, range 25-61</t>
        </is>
      </c>
      <c r="N97" s="6" t="n">
        <v>32</v>
      </c>
      <c r="O97" s="7" t="inlineStr">
        <is>
          <t>Atkinson FS, Brand-Miller JC, Foster-Powell K, Buyken AE, Goletzke J. International tables of glycemic index and glycemic load values 2021. Am J Clin Nutr 2021;114(5):1625-32. doi:10.1093/ajcn/nqab233</t>
        </is>
      </c>
      <c r="P97" s="7" t="inlineStr">
        <is>
          <t>USDA FoodData Central (SR Legacy / Foundation Foods), fdc.nal.usda.gov</t>
        </is>
      </c>
      <c r="Q97" s="6" t="inlineStr">
        <is>
          <t>2026-09-26</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low</t>
        </is>
      </c>
      <c r="L98" s="7" t="inlineStr">
        <is>
          <t>Estimated from the closest tested food; no direct measurement found in the pooled sources</t>
        </is>
      </c>
      <c r="M98" s="7" t="inlineStr">
        <is>
          <t>no direct match</t>
        </is>
      </c>
      <c r="N98" s="6" t="n">
        <v>38</v>
      </c>
      <c r="O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8" s="7" t="inlineStr">
        <is>
          <t>USDA FoodData Central (SR Legacy / Foundation Foods), fdc.nal.usda.gov</t>
        </is>
      </c>
      <c r="Q98" s="6" t="inlineStr">
        <is>
          <t>2026-09-26</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medium</t>
        </is>
      </c>
      <c r="L99" s="7" t="inlineStr">
        <is>
          <t>2021 International Tables, Suppl. Tables 1+2 (incl. studies with method deviations)</t>
        </is>
      </c>
      <c r="M99" s="7" t="inlineStr">
        <is>
          <t>median of 3 tested foods, range 6-15</t>
        </is>
      </c>
      <c r="N99" s="6" t="n">
        <v>10</v>
      </c>
      <c r="O99" s="7" t="inlineStr">
        <is>
          <t>Atkinson FS, Brand-Miller JC, Foster-Powell K, Buyken AE, Goletzke J. International tables of glycemic index and glycemic load values 2021. Am J Clin Nutr 2021;114(5):1625-32. doi:10.1093/ajcn/nqab233</t>
        </is>
      </c>
      <c r="P99" s="7" t="inlineStr">
        <is>
          <t>USDA FoodData Central (SR Legacy / Foundation Foods), fdc.nal.usda.gov</t>
        </is>
      </c>
      <c r="Q99" s="6" t="inlineStr">
        <is>
          <t>2026-09-26</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none (placeholder)</t>
        </is>
      </c>
      <c r="L100" s="7" t="inlineStr">
        <is>
          <t>Conventional placeholder for foods with too little carbohydrate to test (non-starchy vegetables, nuts, seeds, herbs); no published measurement exists</t>
        </is>
      </c>
      <c r="M100" s="7" t="inlineStr">
        <is>
          <t>not measurable</t>
        </is>
      </c>
      <c r="N100" s="6" t="inlineStr"/>
      <c r="O100" s="7" t="inlineStr">
        <is>
          <t>clinical convention</t>
        </is>
      </c>
      <c r="P100" s="7" t="inlineStr">
        <is>
          <t>USDA FoodData Central (SR Legacy / Foundation Foods), fdc.nal.usda.gov</t>
        </is>
      </c>
      <c r="Q100" s="6" t="inlineStr">
        <is>
          <t>2026-09-26</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none (placeholder)</t>
        </is>
      </c>
      <c r="L101" s="7" t="inlineStr">
        <is>
          <t>Conventional placeholder for foods with too little carbohydrate to test (non-starchy vegetables, nuts, seeds, herbs); no published measurement exists</t>
        </is>
      </c>
      <c r="M101" s="7" t="inlineStr">
        <is>
          <t>not measurable</t>
        </is>
      </c>
      <c r="N101" s="6" t="inlineStr"/>
      <c r="O101" s="7" t="inlineStr">
        <is>
          <t>clinical convention</t>
        </is>
      </c>
      <c r="P101" s="7" t="inlineStr">
        <is>
          <t>USDA FoodData Central (SR Legacy / Foundation Foods), fdc.nal.usda.gov</t>
        </is>
      </c>
      <c r="Q101" s="6" t="inlineStr">
        <is>
          <t>2026-09-26</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none (placeholder)</t>
        </is>
      </c>
      <c r="L102" s="7" t="inlineStr">
        <is>
          <t>Conventional placeholder for foods with too little carbohydrate to test (non-starchy vegetables, nuts, seeds, herbs); no published measurement exists</t>
        </is>
      </c>
      <c r="M102" s="7" t="inlineStr">
        <is>
          <t>not measurable</t>
        </is>
      </c>
      <c r="N102" s="6" t="inlineStr"/>
      <c r="O102" s="7" t="inlineStr">
        <is>
          <t>clinical convention</t>
        </is>
      </c>
      <c r="P102" s="7" t="inlineStr">
        <is>
          <t>USDA FoodData Central (SR Legacy / Foundation Foods), fdc.nal.usda.gov</t>
        </is>
      </c>
      <c r="Q102" s="6" t="inlineStr">
        <is>
          <t>2026-09-26</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none (placeholder)</t>
        </is>
      </c>
      <c r="L103" s="7" t="inlineStr">
        <is>
          <t>Conventional placeholder for foods with too little carbohydrate to test (non-starchy vegetables, nuts, seeds, herbs); no published measurement exists</t>
        </is>
      </c>
      <c r="M103" s="7" t="inlineStr">
        <is>
          <t>not measurable</t>
        </is>
      </c>
      <c r="N103" s="6" t="inlineStr"/>
      <c r="O103" s="7" t="inlineStr">
        <is>
          <t>clinical convention</t>
        </is>
      </c>
      <c r="P103" s="7" t="inlineStr">
        <is>
          <t>USDA FoodData Central (SR Legacy / Foundation Foods), fdc.nal.usda.gov</t>
        </is>
      </c>
      <c r="Q103" s="6" t="inlineStr">
        <is>
          <t>2026-09-26</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none (placeholder)</t>
        </is>
      </c>
      <c r="L104" s="7" t="inlineStr">
        <is>
          <t>Conventional placeholder for foods with too little carbohydrate to test (non-starchy vegetables, nuts, seeds, herbs); no published measurement exists</t>
        </is>
      </c>
      <c r="M104" s="7" t="inlineStr">
        <is>
          <t>not measurable</t>
        </is>
      </c>
      <c r="N104" s="6" t="inlineStr"/>
      <c r="O104" s="7" t="inlineStr">
        <is>
          <t>clinical convention</t>
        </is>
      </c>
      <c r="P104" s="7" t="inlineStr">
        <is>
          <t>USDA FoodData Central (SR Legacy / Foundation Foods), fdc.nal.usda.gov</t>
        </is>
      </c>
      <c r="Q104" s="6" t="inlineStr">
        <is>
          <t>2026-09-26</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none (placeholder)</t>
        </is>
      </c>
      <c r="L105" s="7" t="inlineStr">
        <is>
          <t>Conventional placeholder for foods with too little carbohydrate to test (non-starchy vegetables, nuts, seeds, herbs); no published measurement exists</t>
        </is>
      </c>
      <c r="M105" s="7" t="inlineStr">
        <is>
          <t>not measurable</t>
        </is>
      </c>
      <c r="N105" s="6" t="inlineStr"/>
      <c r="O105" s="7" t="inlineStr">
        <is>
          <t>clinical convention</t>
        </is>
      </c>
      <c r="P105" s="7" t="inlineStr">
        <is>
          <t>USDA FoodData Central (SR Legacy / Foundation Foods), fdc.nal.usda.gov</t>
        </is>
      </c>
      <c r="Q105" s="6" t="inlineStr">
        <is>
          <t>2026-09-26</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none (placeholder)</t>
        </is>
      </c>
      <c r="L106" s="7" t="inlineStr">
        <is>
          <t>Conventional placeholder for foods with too little carbohydrate to test (non-starchy vegetables, nuts, seeds, herbs); no published measurement exists</t>
        </is>
      </c>
      <c r="M106" s="7" t="inlineStr">
        <is>
          <t>not measurable</t>
        </is>
      </c>
      <c r="N106" s="6" t="inlineStr"/>
      <c r="O106" s="7" t="inlineStr">
        <is>
          <t>clinical convention</t>
        </is>
      </c>
      <c r="P106" s="7" t="inlineStr">
        <is>
          <t>USDA FoodData Central (SR Legacy / Foundation Foods), fdc.nal.usda.gov</t>
        </is>
      </c>
      <c r="Q106" s="6" t="inlineStr">
        <is>
          <t>2026-09-26</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none (placeholder)</t>
        </is>
      </c>
      <c r="L107" s="7" t="inlineStr">
        <is>
          <t>Conventional placeholder for foods with too little carbohydrate to test (non-starchy vegetables, nuts, seeds, herbs); no published measurement exists</t>
        </is>
      </c>
      <c r="M107" s="7" t="inlineStr">
        <is>
          <t>not measurable</t>
        </is>
      </c>
      <c r="N107" s="6" t="inlineStr"/>
      <c r="O107" s="7" t="inlineStr">
        <is>
          <t>clinical convention</t>
        </is>
      </c>
      <c r="P107" s="7" t="inlineStr">
        <is>
          <t>USDA FoodData Central (SR Legacy / Foundation Foods), fdc.nal.usda.gov</t>
        </is>
      </c>
      <c r="Q107" s="6" t="inlineStr">
        <is>
          <t>2026-09-26</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none (placeholder)</t>
        </is>
      </c>
      <c r="L108" s="7" t="inlineStr">
        <is>
          <t>Conventional placeholder for foods with too little carbohydrate to test (non-starchy vegetables, nuts, seeds, herbs); no published measurement exists</t>
        </is>
      </c>
      <c r="M108" s="7" t="inlineStr">
        <is>
          <t>not measurable</t>
        </is>
      </c>
      <c r="N108" s="6" t="inlineStr"/>
      <c r="O108" s="7" t="inlineStr">
        <is>
          <t>clinical convention</t>
        </is>
      </c>
      <c r="P108" s="7" t="inlineStr">
        <is>
          <t>USDA FoodData Central (SR Legacy / Foundation Foods), fdc.nal.usda.gov</t>
        </is>
      </c>
      <c r="Q108" s="6" t="inlineStr">
        <is>
          <t>2026-09-26</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none (placeholder)</t>
        </is>
      </c>
      <c r="L109" s="7" t="inlineStr">
        <is>
          <t>Conventional placeholder for foods with too little carbohydrate to test (non-starchy vegetables, nuts, seeds, herbs); no published measurement exists</t>
        </is>
      </c>
      <c r="M109" s="7" t="inlineStr">
        <is>
          <t>not measurable</t>
        </is>
      </c>
      <c r="N109" s="6" t="inlineStr"/>
      <c r="O109" s="7" t="inlineStr">
        <is>
          <t>clinical convention</t>
        </is>
      </c>
      <c r="P109" s="7" t="inlineStr">
        <is>
          <t>USDA FoodData Central (SR Legacy / Foundation Foods), fdc.nal.usda.gov</t>
        </is>
      </c>
      <c r="Q109" s="6" t="inlineStr">
        <is>
          <t>2026-09-26</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none (placeholder)</t>
        </is>
      </c>
      <c r="L110" s="7" t="inlineStr">
        <is>
          <t>Conventional placeholder for foods with too little carbohydrate to test (non-starchy vegetables, nuts, seeds, herbs); no published measurement exists</t>
        </is>
      </c>
      <c r="M110" s="7" t="inlineStr">
        <is>
          <t>not measurable</t>
        </is>
      </c>
      <c r="N110" s="6" t="inlineStr"/>
      <c r="O110" s="7" t="inlineStr">
        <is>
          <t>clinical convention</t>
        </is>
      </c>
      <c r="P110" s="7" t="inlineStr">
        <is>
          <t>USDA FoodData Central (SR Legacy / Foundation Foods), fdc.nal.usda.gov</t>
        </is>
      </c>
      <c r="Q110" s="6" t="inlineStr">
        <is>
          <t>2026-09-26</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none (placeholder)</t>
        </is>
      </c>
      <c r="L111" s="7" t="inlineStr">
        <is>
          <t>Conventional placeholder for foods with too little carbohydrate to test (non-starchy vegetables, nuts, seeds, herbs); no published measurement exists</t>
        </is>
      </c>
      <c r="M111" s="7" t="inlineStr">
        <is>
          <t>not measurable</t>
        </is>
      </c>
      <c r="N111" s="6" t="inlineStr"/>
      <c r="O111" s="7" t="inlineStr">
        <is>
          <t>clinical convention</t>
        </is>
      </c>
      <c r="P111" s="7" t="inlineStr">
        <is>
          <t>USDA FoodData Central (SR Legacy / Foundation Foods), fdc.nal.usda.gov</t>
        </is>
      </c>
      <c r="Q111" s="6" t="inlineStr">
        <is>
          <t>2026-09-26</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none (placeholder)</t>
        </is>
      </c>
      <c r="L112" s="7" t="inlineStr">
        <is>
          <t>Conventional placeholder for foods with too little carbohydrate to test (non-starchy vegetables, nuts, seeds, herbs); no published measurement exists</t>
        </is>
      </c>
      <c r="M112" s="7" t="inlineStr">
        <is>
          <t>not measurable</t>
        </is>
      </c>
      <c r="N112" s="6" t="inlineStr"/>
      <c r="O112" s="7" t="inlineStr">
        <is>
          <t>clinical convention</t>
        </is>
      </c>
      <c r="P112" s="7" t="inlineStr">
        <is>
          <t>USDA FoodData Central (SR Legacy / Foundation Foods), fdc.nal.usda.gov</t>
        </is>
      </c>
      <c r="Q112" s="6" t="inlineStr">
        <is>
          <t>2026-09-26</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none (placeholder)</t>
        </is>
      </c>
      <c r="L113" s="7" t="inlineStr">
        <is>
          <t>Conventional placeholder for foods with too little carbohydrate to test (non-starchy vegetables, nuts, seeds, herbs); no published measurement exists</t>
        </is>
      </c>
      <c r="M113" s="7" t="inlineStr">
        <is>
          <t>not measurable</t>
        </is>
      </c>
      <c r="N113" s="6" t="inlineStr"/>
      <c r="O113" s="7" t="inlineStr">
        <is>
          <t>clinical convention</t>
        </is>
      </c>
      <c r="P113" s="7" t="inlineStr">
        <is>
          <t>USDA FoodData Central (SR Legacy / Foundation Foods), fdc.nal.usda.gov</t>
        </is>
      </c>
      <c r="Q113" s="6" t="inlineStr">
        <is>
          <t>2026-09-26</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none (placeholder)</t>
        </is>
      </c>
      <c r="L114" s="7" t="inlineStr">
        <is>
          <t>Conventional placeholder for foods with too little carbohydrate to test (non-starchy vegetables, nuts, seeds, herbs); no published measurement exists</t>
        </is>
      </c>
      <c r="M114" s="7" t="inlineStr">
        <is>
          <t>not measurable</t>
        </is>
      </c>
      <c r="N114" s="6" t="inlineStr"/>
      <c r="O114" s="7" t="inlineStr">
        <is>
          <t>clinical convention</t>
        </is>
      </c>
      <c r="P114" s="7" t="inlineStr">
        <is>
          <t>USDA FoodData Central (SR Legacy / Foundation Foods), fdc.nal.usda.gov</t>
        </is>
      </c>
      <c r="Q114" s="6" t="inlineStr">
        <is>
          <t>2026-09-26</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none (placeholder)</t>
        </is>
      </c>
      <c r="L115" s="7" t="inlineStr">
        <is>
          <t>Conventional placeholder for foods with too little carbohydrate to test (non-starchy vegetables, nuts, seeds, herbs); no published measurement exists</t>
        </is>
      </c>
      <c r="M115" s="7" t="inlineStr">
        <is>
          <t>not measurable</t>
        </is>
      </c>
      <c r="N115" s="6" t="inlineStr"/>
      <c r="O115" s="7" t="inlineStr">
        <is>
          <t>clinical convention</t>
        </is>
      </c>
      <c r="P115" s="7" t="inlineStr">
        <is>
          <t>USDA FoodData Central (SR Legacy / Foundation Foods), fdc.nal.usda.gov</t>
        </is>
      </c>
      <c r="Q115" s="6" t="inlineStr">
        <is>
          <t>2026-09-26</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none (placeholder)</t>
        </is>
      </c>
      <c r="L116" s="7" t="inlineStr">
        <is>
          <t>Conventional placeholder for foods with too little carbohydrate to test (non-starchy vegetables, nuts, seeds, herbs); no published measurement exists</t>
        </is>
      </c>
      <c r="M116" s="7" t="inlineStr">
        <is>
          <t>not measurable</t>
        </is>
      </c>
      <c r="N116" s="6" t="inlineStr"/>
      <c r="O116" s="7" t="inlineStr">
        <is>
          <t>clinical convention</t>
        </is>
      </c>
      <c r="P116" s="7" t="inlineStr">
        <is>
          <t>USDA FoodData Central (SR Legacy / Foundation Foods), fdc.nal.usda.gov</t>
        </is>
      </c>
      <c r="Q116" s="6" t="inlineStr">
        <is>
          <t>2026-09-26</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none (placeholder)</t>
        </is>
      </c>
      <c r="L117" s="7" t="inlineStr">
        <is>
          <t>Conventional placeholder for foods with too little carbohydrate to test (non-starchy vegetables, nuts, seeds, herbs); no published measurement exists</t>
        </is>
      </c>
      <c r="M117" s="7" t="inlineStr">
        <is>
          <t>not measurable</t>
        </is>
      </c>
      <c r="N117" s="6" t="inlineStr"/>
      <c r="O117" s="7" t="inlineStr">
        <is>
          <t>clinical convention</t>
        </is>
      </c>
      <c r="P117" s="7" t="inlineStr">
        <is>
          <t>USDA FoodData Central (SR Legacy / Foundation Foods), fdc.nal.usda.gov</t>
        </is>
      </c>
      <c r="Q117" s="6" t="inlineStr">
        <is>
          <t>2026-09-26</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none (placeholder)</t>
        </is>
      </c>
      <c r="L118" s="7" t="inlineStr">
        <is>
          <t>Conventional placeholder for foods with too little carbohydrate to test (non-starchy vegetables, nuts, seeds, herbs); no published measurement exists</t>
        </is>
      </c>
      <c r="M118" s="7" t="inlineStr">
        <is>
          <t>not measurable</t>
        </is>
      </c>
      <c r="N118" s="6" t="inlineStr"/>
      <c r="O118" s="7" t="inlineStr">
        <is>
          <t>clinical convention</t>
        </is>
      </c>
      <c r="P118" s="7" t="inlineStr">
        <is>
          <t>USDA FoodData Central (SR Legacy / Foundation Foods), fdc.nal.usda.gov</t>
        </is>
      </c>
      <c r="Q118" s="6" t="inlineStr">
        <is>
          <t>2026-09-26</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none (placeholder)</t>
        </is>
      </c>
      <c r="L119" s="7" t="inlineStr">
        <is>
          <t>Conventional placeholder for foods with too little carbohydrate to test (non-starchy vegetables, nuts, seeds, herbs); no published measurement exists</t>
        </is>
      </c>
      <c r="M119" s="7" t="inlineStr">
        <is>
          <t>not measurable</t>
        </is>
      </c>
      <c r="N119" s="6" t="inlineStr"/>
      <c r="O119" s="7" t="inlineStr">
        <is>
          <t>clinical convention</t>
        </is>
      </c>
      <c r="P119" s="7" t="inlineStr">
        <is>
          <t>USDA FoodData Central (SR Legacy / Foundation Foods), fdc.nal.usda.gov</t>
        </is>
      </c>
      <c r="Q119" s="6" t="inlineStr">
        <is>
          <t>2026-09-26</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none (placeholder)</t>
        </is>
      </c>
      <c r="L120" s="7" t="inlineStr">
        <is>
          <t>Conventional placeholder for foods with too little carbohydrate to test (non-starchy vegetables, nuts, seeds, herbs); no published measurement exists</t>
        </is>
      </c>
      <c r="M120" s="7" t="inlineStr">
        <is>
          <t>not measurable</t>
        </is>
      </c>
      <c r="N120" s="6" t="inlineStr"/>
      <c r="O120" s="7" t="inlineStr">
        <is>
          <t>clinical convention</t>
        </is>
      </c>
      <c r="P120" s="7" t="inlineStr">
        <is>
          <t>USDA FoodData Central (SR Legacy / Foundation Foods), fdc.nal.usda.gov</t>
        </is>
      </c>
      <c r="Q120" s="6" t="inlineStr">
        <is>
          <t>2026-09-26</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none (placeholder)</t>
        </is>
      </c>
      <c r="L121" s="7" t="inlineStr">
        <is>
          <t>Conventional placeholder for foods with too little carbohydrate to test (non-starchy vegetables, nuts, seeds, herbs); no published measurement exists</t>
        </is>
      </c>
      <c r="M121" s="7" t="inlineStr">
        <is>
          <t>not measurable</t>
        </is>
      </c>
      <c r="N121" s="6" t="inlineStr"/>
      <c r="O121" s="7" t="inlineStr">
        <is>
          <t>clinical convention</t>
        </is>
      </c>
      <c r="P121" s="7" t="inlineStr">
        <is>
          <t>USDA FoodData Central (SR Legacy / Foundation Foods), fdc.nal.usda.gov</t>
        </is>
      </c>
      <c r="Q121" s="6" t="inlineStr">
        <is>
          <t>2026-09-26</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38</v>
      </c>
      <c r="K122" s="6" t="inlineStr">
        <is>
          <t>medium</t>
        </is>
      </c>
      <c r="L122" s="7" t="inlineStr">
        <is>
          <t>2021 International Tables, Suppl. Tables 1+2 (incl. studies with method deviations)</t>
        </is>
      </c>
      <c r="M122" s="7" t="inlineStr">
        <is>
          <t>median of 8 tested foods, range 9-54</t>
        </is>
      </c>
      <c r="N122" s="6" t="n">
        <v>38</v>
      </c>
      <c r="O122" s="7" t="inlineStr">
        <is>
          <t>Atkinson FS, Brand-Miller JC, Foster-Powell K, Buyken AE, Goletzke J. International tables of glycemic index and glycemic load values 2021. Am J Clin Nutr 2021;114(5):1625-32. doi:10.1093/ajcn/nqab233</t>
        </is>
      </c>
      <c r="P122" s="7" t="inlineStr">
        <is>
          <t>USDA FoodData Central (SR Legacy / Foundation Foods), fdc.nal.usda.gov</t>
        </is>
      </c>
      <c r="Q122" s="6" t="inlineStr">
        <is>
          <t>2026-09-26</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none (placeholder)</t>
        </is>
      </c>
      <c r="L123" s="7" t="inlineStr">
        <is>
          <t>Conventional placeholder for foods with too little carbohydrate to test (non-starchy vegetables, nuts, seeds, herbs); no published measurement exists</t>
        </is>
      </c>
      <c r="M123" s="7" t="inlineStr">
        <is>
          <t>not measurable</t>
        </is>
      </c>
      <c r="N123" s="6" t="inlineStr"/>
      <c r="O123" s="7" t="inlineStr">
        <is>
          <t>clinical convention</t>
        </is>
      </c>
      <c r="P123" s="7" t="inlineStr">
        <is>
          <t>USDA FoodData Central (SR Legacy / Foundation Foods), fdc.nal.usda.gov</t>
        </is>
      </c>
      <c r="Q123" s="6" t="inlineStr">
        <is>
          <t>2026-09-26</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none (placeholder)</t>
        </is>
      </c>
      <c r="L124" s="7" t="inlineStr">
        <is>
          <t>Conventional placeholder for foods with too little carbohydrate to test (non-starchy vegetables, nuts, seeds, herbs); no published measurement exists</t>
        </is>
      </c>
      <c r="M124" s="7" t="inlineStr">
        <is>
          <t>not measurable</t>
        </is>
      </c>
      <c r="N124" s="6" t="inlineStr"/>
      <c r="O124" s="7" t="inlineStr">
        <is>
          <t>clinical convention</t>
        </is>
      </c>
      <c r="P124" s="7" t="inlineStr">
        <is>
          <t>USDA FoodData Central (SR Legacy / Foundation Foods), fdc.nal.usda.gov</t>
        </is>
      </c>
      <c r="Q124" s="6" t="inlineStr">
        <is>
          <t>2026-09-26</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none (placeholder)</t>
        </is>
      </c>
      <c r="L125" s="7" t="inlineStr">
        <is>
          <t>Conventional placeholder for foods with too little carbohydrate to test (non-starchy vegetables, nuts, seeds, herbs); no published measurement exists</t>
        </is>
      </c>
      <c r="M125" s="7" t="inlineStr">
        <is>
          <t>not measurable</t>
        </is>
      </c>
      <c r="N125" s="6" t="inlineStr"/>
      <c r="O125" s="7" t="inlineStr">
        <is>
          <t>clinical convention</t>
        </is>
      </c>
      <c r="P125" s="7" t="inlineStr">
        <is>
          <t>USDA FoodData Central (SR Legacy / Foundation Foods), fdc.nal.usda.gov</t>
        </is>
      </c>
      <c r="Q125" s="6" t="inlineStr">
        <is>
          <t>2026-09-26</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low</t>
        </is>
      </c>
      <c r="L126" s="7" t="inlineStr">
        <is>
          <t>Estimated from the closest tested food; no direct measurement found in the pooled sources</t>
        </is>
      </c>
      <c r="M126" s="7" t="inlineStr">
        <is>
          <t>no direct match</t>
        </is>
      </c>
      <c r="N126" s="6" t="inlineStr"/>
      <c r="O1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26" s="7" t="inlineStr">
        <is>
          <t>USDA FoodData Central (SR Legacy / Foundation Foods), fdc.nal.usda.gov</t>
        </is>
      </c>
      <c r="Q126" s="6" t="inlineStr">
        <is>
          <t>2026-09-26</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medium</t>
        </is>
      </c>
      <c r="L127" s="7" t="inlineStr">
        <is>
          <t>University of Sydney online GI database</t>
        </is>
      </c>
      <c r="M127" s="7" t="inlineStr">
        <is>
          <t>median of 1 tested foods, range 51-51</t>
        </is>
      </c>
      <c r="N127" s="6" t="n">
        <v>51</v>
      </c>
      <c r="O127" s="7" t="inlineStr">
        <is>
          <t>University of Sydney GI database, glycemicindex.com/gi-search (accessed 2026-09-16)</t>
        </is>
      </c>
      <c r="P127" s="7" t="inlineStr">
        <is>
          <t>USDA FoodData Central (SR Legacy / Foundation Foods), fdc.nal.usda.gov</t>
        </is>
      </c>
      <c r="Q127" s="6" t="inlineStr">
        <is>
          <t>2026-09-26</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75</v>
      </c>
      <c r="K128" s="6" t="inlineStr">
        <is>
          <t>medium</t>
        </is>
      </c>
      <c r="L128" s="7" t="inlineStr">
        <is>
          <t>2021 International Tables, Suppl. Tables 1+2 (incl. studies with method deviations)</t>
        </is>
      </c>
      <c r="M128" s="7" t="inlineStr">
        <is>
          <t>median of 1 tested foods, range 75-75</t>
        </is>
      </c>
      <c r="N128" s="6" t="n">
        <v>75</v>
      </c>
      <c r="O128" s="7" t="inlineStr">
        <is>
          <t>Atkinson FS, Brand-Miller JC, Foster-Powell K, Buyken AE, Goletzke J. International tables of glycemic index and glycemic load values 2021. Am J Clin Nutr 2021;114(5):1625-32. doi:10.1093/ajcn/nqab233</t>
        </is>
      </c>
      <c r="P128" s="7" t="inlineStr">
        <is>
          <t>USDA FoodData Central (SR Legacy / Foundation Foods), fdc.nal.usda.gov</t>
        </is>
      </c>
      <c r="Q128" s="6" t="inlineStr">
        <is>
          <t>2026-09-26</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none (placeholder)</t>
        </is>
      </c>
      <c r="L129" s="7" t="inlineStr">
        <is>
          <t>Conventional placeholder for foods with too little carbohydrate to test (non-starchy vegetables, nuts, seeds, herbs); no published measurement exists</t>
        </is>
      </c>
      <c r="M129" s="7" t="inlineStr">
        <is>
          <t>not measurable</t>
        </is>
      </c>
      <c r="N129" s="6" t="inlineStr"/>
      <c r="O129" s="7" t="inlineStr">
        <is>
          <t>clinical convention</t>
        </is>
      </c>
      <c r="P129" s="7" t="inlineStr">
        <is>
          <t>USDA FoodData Central (SR Legacy / Foundation Foods), fdc.nal.usda.gov</t>
        </is>
      </c>
      <c r="Q129" s="6" t="inlineStr">
        <is>
          <t>2026-09-26</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none (placeholder)</t>
        </is>
      </c>
      <c r="L130" s="7" t="inlineStr">
        <is>
          <t>Conventional placeholder for foods with too little carbohydrate to test (non-starchy vegetables, nuts, seeds, herbs); no published measurement exists</t>
        </is>
      </c>
      <c r="M130" s="7" t="inlineStr">
        <is>
          <t>not measurable</t>
        </is>
      </c>
      <c r="N130" s="6" t="inlineStr"/>
      <c r="O130" s="7" t="inlineStr">
        <is>
          <t>clinical convention</t>
        </is>
      </c>
      <c r="P130" s="7" t="inlineStr">
        <is>
          <t>USDA FoodData Central (SR Legacy / Foundation Foods), fdc.nal.usda.gov</t>
        </is>
      </c>
      <c r="Q130" s="6" t="inlineStr">
        <is>
          <t>2026-09-26</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none (placeholder)</t>
        </is>
      </c>
      <c r="L131" s="7" t="inlineStr">
        <is>
          <t>Conventional placeholder for foods with too little carbohydrate to test (non-starchy vegetables, nuts, seeds, herbs); no published measurement exists</t>
        </is>
      </c>
      <c r="M131" s="7" t="inlineStr">
        <is>
          <t>not measurable</t>
        </is>
      </c>
      <c r="N131" s="6" t="inlineStr"/>
      <c r="O131" s="7" t="inlineStr">
        <is>
          <t>clinical convention</t>
        </is>
      </c>
      <c r="P131" s="7" t="inlineStr">
        <is>
          <t>USDA FoodData Central (SR Legacy / Foundation Foods), fdc.nal.usda.gov</t>
        </is>
      </c>
      <c r="Q131" s="6" t="inlineStr">
        <is>
          <t>2026-09-26</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none (placeholder)</t>
        </is>
      </c>
      <c r="L132" s="7" t="inlineStr">
        <is>
          <t>Conventional placeholder for foods with too little carbohydrate to test (non-starchy vegetables, nuts, seeds, herbs); no published measurement exists</t>
        </is>
      </c>
      <c r="M132" s="7" t="inlineStr">
        <is>
          <t>not measurable</t>
        </is>
      </c>
      <c r="N132" s="6" t="inlineStr"/>
      <c r="O132" s="7" t="inlineStr">
        <is>
          <t>clinical convention</t>
        </is>
      </c>
      <c r="P132" s="7" t="inlineStr">
        <is>
          <t>USDA FoodData Central (SR Legacy / Foundation Foods), fdc.nal.usda.gov</t>
        </is>
      </c>
      <c r="Q132" s="6" t="inlineStr">
        <is>
          <t>2026-09-26</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none (placeholder)</t>
        </is>
      </c>
      <c r="L133" s="7" t="inlineStr">
        <is>
          <t>Conventional placeholder for foods with too little carbohydrate to test (non-starchy vegetables, nuts, seeds, herbs); no published measurement exists</t>
        </is>
      </c>
      <c r="M133" s="7" t="inlineStr">
        <is>
          <t>not measurable</t>
        </is>
      </c>
      <c r="N133" s="6" t="inlineStr"/>
      <c r="O133" s="7" t="inlineStr">
        <is>
          <t>clinical convention</t>
        </is>
      </c>
      <c r="P133" s="7" t="inlineStr">
        <is>
          <t>USDA FoodData Central (SR Legacy / Foundation Foods), fdc.nal.usda.gov</t>
        </is>
      </c>
      <c r="Q133" s="6" t="inlineStr">
        <is>
          <t>2026-09-26</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none (placeholder)</t>
        </is>
      </c>
      <c r="L134" s="7" t="inlineStr">
        <is>
          <t>Conventional placeholder for foods with too little carbohydrate to test (non-starchy vegetables, nuts, seeds, herbs); no published measurement exists</t>
        </is>
      </c>
      <c r="M134" s="7" t="inlineStr">
        <is>
          <t>not measurable</t>
        </is>
      </c>
      <c r="N134" s="6" t="inlineStr"/>
      <c r="O134" s="7" t="inlineStr">
        <is>
          <t>clinical convention</t>
        </is>
      </c>
      <c r="P134" s="7" t="inlineStr">
        <is>
          <t>USDA FoodData Central (SR Legacy / Foundation Foods), fdc.nal.usda.gov</t>
        </is>
      </c>
      <c r="Q134" s="6" t="inlineStr">
        <is>
          <t>2026-09-26</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none (placeholder)</t>
        </is>
      </c>
      <c r="L135" s="7" t="inlineStr">
        <is>
          <t>Conventional placeholder for foods with too little carbohydrate to test (non-starchy vegetables, nuts, seeds, herbs); no published measurement exists</t>
        </is>
      </c>
      <c r="M135" s="7" t="inlineStr">
        <is>
          <t>not measurable</t>
        </is>
      </c>
      <c r="N135" s="6" t="inlineStr"/>
      <c r="O135" s="7" t="inlineStr">
        <is>
          <t>clinical convention</t>
        </is>
      </c>
      <c r="P135" s="7" t="inlineStr">
        <is>
          <t>USDA FoodData Central (SR Legacy / Foundation Foods), fdc.nal.usda.gov</t>
        </is>
      </c>
      <c r="Q135" s="6" t="inlineStr">
        <is>
          <t>2026-09-26</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none (placeholder)</t>
        </is>
      </c>
      <c r="L136" s="7" t="inlineStr">
        <is>
          <t>Conventional placeholder for foods with too little carbohydrate to test (non-starchy vegetables, nuts, seeds, herbs); no published measurement exists</t>
        </is>
      </c>
      <c r="M136" s="7" t="inlineStr">
        <is>
          <t>not measurable</t>
        </is>
      </c>
      <c r="N136" s="6" t="inlineStr"/>
      <c r="O136" s="7" t="inlineStr">
        <is>
          <t>clinical convention</t>
        </is>
      </c>
      <c r="P136" s="7" t="inlineStr">
        <is>
          <t>USDA FoodData Central (SR Legacy / Foundation Foods), fdc.nal.usda.gov</t>
        </is>
      </c>
      <c r="Q136" s="6" t="inlineStr">
        <is>
          <t>2026-09-26</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none (placeholder)</t>
        </is>
      </c>
      <c r="L137" s="7" t="inlineStr">
        <is>
          <t>Conventional placeholder for foods with too little carbohydrate to test (non-starchy vegetables, nuts, seeds, herbs); no published measurement exists</t>
        </is>
      </c>
      <c r="M137" s="7" t="inlineStr">
        <is>
          <t>not measurable</t>
        </is>
      </c>
      <c r="N137" s="6" t="inlineStr"/>
      <c r="O137" s="7" t="inlineStr">
        <is>
          <t>clinical convention</t>
        </is>
      </c>
      <c r="P137" s="7" t="inlineStr">
        <is>
          <t>USDA FoodData Central (SR Legacy / Foundation Foods), fdc.nal.usda.gov</t>
        </is>
      </c>
      <c r="Q137" s="6" t="inlineStr">
        <is>
          <t>2026-09-26</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low</t>
        </is>
      </c>
      <c r="L138" s="7" t="inlineStr">
        <is>
          <t>Estimated from the closest tested food; no direct measurement found in the pooled sources</t>
        </is>
      </c>
      <c r="M138" s="7" t="inlineStr">
        <is>
          <t>no direct match</t>
        </is>
      </c>
      <c r="N138" s="6" t="inlineStr"/>
      <c r="O1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38" s="7" t="inlineStr">
        <is>
          <t>USDA FoodData Central (SR Legacy / Foundation Foods), fdc.nal.usda.gov</t>
        </is>
      </c>
      <c r="Q138" s="6" t="inlineStr">
        <is>
          <t>2026-09-26</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none (placeholder)</t>
        </is>
      </c>
      <c r="L139" s="7" t="inlineStr">
        <is>
          <t>Conventional placeholder for foods with too little carbohydrate to test (non-starchy vegetables, nuts, seeds, herbs); no published measurement exists</t>
        </is>
      </c>
      <c r="M139" s="7" t="inlineStr">
        <is>
          <t>not measurable</t>
        </is>
      </c>
      <c r="N139" s="6" t="inlineStr"/>
      <c r="O139" s="7" t="inlineStr">
        <is>
          <t>clinical convention</t>
        </is>
      </c>
      <c r="P139" s="7" t="inlineStr">
        <is>
          <t>USDA FoodData Central (SR Legacy / Foundation Foods), fdc.nal.usda.gov</t>
        </is>
      </c>
      <c r="Q139" s="6" t="inlineStr">
        <is>
          <t>2026-09-26</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none (placeholder)</t>
        </is>
      </c>
      <c r="L140" s="7" t="inlineStr">
        <is>
          <t>Conventional placeholder for foods with too little carbohydrate to test (non-starchy vegetables, nuts, seeds, herbs); no published measurement exists</t>
        </is>
      </c>
      <c r="M140" s="7" t="inlineStr">
        <is>
          <t>not measurable</t>
        </is>
      </c>
      <c r="N140" s="6" t="inlineStr"/>
      <c r="O140" s="7" t="inlineStr">
        <is>
          <t>clinical convention</t>
        </is>
      </c>
      <c r="P140" s="7" t="inlineStr">
        <is>
          <t>USDA FoodData Central (SR Legacy / Foundation Foods), fdc.nal.usda.gov</t>
        </is>
      </c>
      <c r="Q140" s="6" t="inlineStr">
        <is>
          <t>2026-09-26</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high</t>
        </is>
      </c>
      <c r="L141" s="7" t="inlineStr">
        <is>
          <t>2021 International Tables, Suppl. Table 1 (ISO 26642:2010-compliant studies)</t>
        </is>
      </c>
      <c r="M141" s="7" t="inlineStr">
        <is>
          <t>median of 3 tested foods, range 31-32</t>
        </is>
      </c>
      <c r="N141" s="6" t="n">
        <v>32</v>
      </c>
      <c r="O141" s="7" t="inlineStr">
        <is>
          <t>Atkinson FS, Brand-Miller JC, Foster-Powell K, Buyken AE, Goletzke J. International tables of glycemic index and glycemic load values 2021. Am J Clin Nutr 2021;114(5):1625-32. doi:10.1093/ajcn/nqab233</t>
        </is>
      </c>
      <c r="P141" s="7" t="inlineStr">
        <is>
          <t>USDA FoodData Central (SR Legacy / Foundation Foods), fdc.nal.usda.gov</t>
        </is>
      </c>
      <c r="Q141" s="6" t="inlineStr">
        <is>
          <t>2026-09-26</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medium</t>
        </is>
      </c>
      <c r="L142" s="7" t="inlineStr">
        <is>
          <t>University of Sydney online GI database</t>
        </is>
      </c>
      <c r="M142" s="7" t="inlineStr">
        <is>
          <t>median of 1 tested foods, range 64-64</t>
        </is>
      </c>
      <c r="N142" s="6" t="n">
        <v>64</v>
      </c>
      <c r="O142" s="7" t="inlineStr">
        <is>
          <t>University of Sydney GI database, glycemicindex.com/gi-search (accessed 2026-09-16)</t>
        </is>
      </c>
      <c r="P142" s="7" t="inlineStr">
        <is>
          <t>USDA FoodData Central (SR Legacy / Foundation Foods), fdc.nal.usda.gov</t>
        </is>
      </c>
      <c r="Q142" s="6" t="inlineStr">
        <is>
          <t>2026-09-26</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medium</t>
        </is>
      </c>
      <c r="L143" s="7" t="inlineStr">
        <is>
          <t>2021 International Tables, Suppl. Tables 1+2 (incl. studies with method deviations)</t>
        </is>
      </c>
      <c r="M143" s="7" t="inlineStr">
        <is>
          <t>median of 1 tested foods, range 72-72</t>
        </is>
      </c>
      <c r="N143" s="6" t="n">
        <v>72</v>
      </c>
      <c r="O143" s="7" t="inlineStr">
        <is>
          <t>Atkinson FS, Brand-Miller JC, Foster-Powell K, Buyken AE, Goletzke J. International tables of glycemic index and glycemic load values 2021. Am J Clin Nutr 2021;114(5):1625-32. doi:10.1093/ajcn/nqab233</t>
        </is>
      </c>
      <c r="P143" s="7" t="inlineStr">
        <is>
          <t>USDA FoodData Central (SR Legacy / Foundation Foods), fdc.nal.usda.gov</t>
        </is>
      </c>
      <c r="Q143" s="6" t="inlineStr">
        <is>
          <t>2026-09-26</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none (placeholder)</t>
        </is>
      </c>
      <c r="L144" s="7" t="inlineStr">
        <is>
          <t>Conventional placeholder for foods with too little carbohydrate to test (non-starchy vegetables, nuts, seeds, herbs); no published measurement exists</t>
        </is>
      </c>
      <c r="M144" s="7" t="inlineStr">
        <is>
          <t>not measurable</t>
        </is>
      </c>
      <c r="N144" s="6" t="inlineStr"/>
      <c r="O144" s="7" t="inlineStr">
        <is>
          <t>clinical convention</t>
        </is>
      </c>
      <c r="P144" s="7" t="inlineStr">
        <is>
          <t>USDA FoodData Central (SR Legacy / Foundation Foods), fdc.nal.usda.gov</t>
        </is>
      </c>
      <c r="Q144" s="6" t="inlineStr">
        <is>
          <t>2026-09-26</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none (placeholder)</t>
        </is>
      </c>
      <c r="L145" s="7" t="inlineStr">
        <is>
          <t>Conventional placeholder for foods with too little carbohydrate to test (non-starchy vegetables, nuts, seeds, herbs); no published measurement exists</t>
        </is>
      </c>
      <c r="M145" s="7" t="inlineStr">
        <is>
          <t>not measurable</t>
        </is>
      </c>
      <c r="N145" s="6" t="inlineStr"/>
      <c r="O145" s="7" t="inlineStr">
        <is>
          <t>clinical convention</t>
        </is>
      </c>
      <c r="P145" s="7" t="inlineStr">
        <is>
          <t>USDA FoodData Central (SR Legacy / Foundation Foods), fdc.nal.usda.gov</t>
        </is>
      </c>
      <c r="Q145" s="6" t="inlineStr">
        <is>
          <t>2026-09-26</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none (placeholder)</t>
        </is>
      </c>
      <c r="L146" s="7" t="inlineStr">
        <is>
          <t>Conventional placeholder for foods with too little carbohydrate to test (non-starchy vegetables, nuts, seeds, herbs); no published measurement exists</t>
        </is>
      </c>
      <c r="M146" s="7" t="inlineStr">
        <is>
          <t>not measurable</t>
        </is>
      </c>
      <c r="N146" s="6" t="n">
        <v>15</v>
      </c>
      <c r="O146" s="7" t="inlineStr">
        <is>
          <t>clinical convention</t>
        </is>
      </c>
      <c r="P146" s="7" t="inlineStr">
        <is>
          <t>USDA FoodData Central (SR Legacy / Foundation Foods), fdc.nal.usda.gov</t>
        </is>
      </c>
      <c r="Q146" s="6" t="inlineStr">
        <is>
          <t>2026-09-26</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none (placeholder)</t>
        </is>
      </c>
      <c r="L147" s="7" t="inlineStr">
        <is>
          <t>Conventional placeholder for foods with too little carbohydrate to test (non-starchy vegetables, nuts, seeds, herbs); no published measurement exists</t>
        </is>
      </c>
      <c r="M147" s="7" t="inlineStr">
        <is>
          <t>not measurable</t>
        </is>
      </c>
      <c r="N147" s="6" t="inlineStr"/>
      <c r="O147" s="7" t="inlineStr">
        <is>
          <t>clinical convention</t>
        </is>
      </c>
      <c r="P147" s="7" t="inlineStr">
        <is>
          <t>USDA FoodData Central (SR Legacy / Foundation Foods), fdc.nal.usda.gov</t>
        </is>
      </c>
      <c r="Q147" s="6" t="inlineStr">
        <is>
          <t>2026-09-26</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none (placeholder)</t>
        </is>
      </c>
      <c r="L148" s="7" t="inlineStr">
        <is>
          <t>Conventional placeholder for foods with too little carbohydrate to test (non-starchy vegetables, nuts, seeds, herbs); no published measurement exists</t>
        </is>
      </c>
      <c r="M148" s="7" t="inlineStr">
        <is>
          <t>not measurable</t>
        </is>
      </c>
      <c r="N148" s="6" t="inlineStr"/>
      <c r="O148" s="7" t="inlineStr">
        <is>
          <t>clinical convention</t>
        </is>
      </c>
      <c r="P148" s="7" t="inlineStr">
        <is>
          <t>USDA FoodData Central (SR Legacy / Foundation Foods), fdc.nal.usda.gov</t>
        </is>
      </c>
      <c r="Q148" s="6" t="inlineStr">
        <is>
          <t>2026-09-26</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none (placeholder)</t>
        </is>
      </c>
      <c r="L149" s="7" t="inlineStr">
        <is>
          <t>Conventional placeholder for foods with too little carbohydrate to test (non-starchy vegetables, nuts, seeds, herbs); no published measurement exists</t>
        </is>
      </c>
      <c r="M149" s="7" t="inlineStr">
        <is>
          <t>not measurable</t>
        </is>
      </c>
      <c r="N149" s="6" t="inlineStr"/>
      <c r="O149" s="7" t="inlineStr">
        <is>
          <t>clinical convention</t>
        </is>
      </c>
      <c r="P149" s="7" t="inlineStr">
        <is>
          <t>USDA FoodData Central (SR Legacy / Foundation Foods), fdc.nal.usda.gov</t>
        </is>
      </c>
      <c r="Q149" s="6" t="inlineStr">
        <is>
          <t>2026-09-26</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none (placeholder)</t>
        </is>
      </c>
      <c r="L150" s="7" t="inlineStr">
        <is>
          <t>Conventional placeholder for foods with too little carbohydrate to test (non-starchy vegetables, nuts, seeds, herbs); no published measurement exists</t>
        </is>
      </c>
      <c r="M150" s="7" t="inlineStr">
        <is>
          <t>not measurable</t>
        </is>
      </c>
      <c r="N150" s="6" t="inlineStr"/>
      <c r="O150" s="7" t="inlineStr">
        <is>
          <t>clinical convention</t>
        </is>
      </c>
      <c r="P150" s="7" t="inlineStr">
        <is>
          <t>USDA FoodData Central (SR Legacy / Foundation Foods), fdc.nal.usda.gov</t>
        </is>
      </c>
      <c r="Q150" s="6" t="inlineStr">
        <is>
          <t>2026-09-26</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none (placeholder)</t>
        </is>
      </c>
      <c r="L151" s="7" t="inlineStr">
        <is>
          <t>Conventional placeholder for foods with too little carbohydrate to test (non-starchy vegetables, nuts, seeds, herbs); no published measurement exists</t>
        </is>
      </c>
      <c r="M151" s="7" t="inlineStr">
        <is>
          <t>not measurable</t>
        </is>
      </c>
      <c r="N151" s="6" t="inlineStr"/>
      <c r="O151" s="7" t="inlineStr">
        <is>
          <t>clinical convention</t>
        </is>
      </c>
      <c r="P151" s="7" t="inlineStr">
        <is>
          <t>USDA FoodData Central (SR Legacy / Foundation Foods), fdc.nal.usda.gov</t>
        </is>
      </c>
      <c r="Q151" s="6" t="inlineStr">
        <is>
          <t>2026-09-26</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none (placeholder)</t>
        </is>
      </c>
      <c r="L152" s="7" t="inlineStr">
        <is>
          <t>Conventional placeholder for foods with too little carbohydrate to test (non-starchy vegetables, nuts, seeds, herbs); no published measurement exists</t>
        </is>
      </c>
      <c r="M152" s="7" t="inlineStr">
        <is>
          <t>not measurable</t>
        </is>
      </c>
      <c r="N152" s="6" t="inlineStr"/>
      <c r="O152" s="7" t="inlineStr">
        <is>
          <t>clinical convention</t>
        </is>
      </c>
      <c r="P152" s="7" t="inlineStr">
        <is>
          <t>USDA FoodData Central (SR Legacy / Foundation Foods), fdc.nal.usda.gov</t>
        </is>
      </c>
      <c r="Q152" s="6" t="inlineStr">
        <is>
          <t>2026-09-26</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low</t>
        </is>
      </c>
      <c r="L153" s="7" t="inlineStr">
        <is>
          <t>Estimated from the closest tested food; no direct measurement found in the pooled sources</t>
        </is>
      </c>
      <c r="M153" s="7" t="inlineStr">
        <is>
          <t>no direct match</t>
        </is>
      </c>
      <c r="N153" s="6" t="inlineStr"/>
      <c r="O1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53" s="7" t="inlineStr">
        <is>
          <t>USDA FoodData Central (SR Legacy / Foundation Foods), fdc.nal.usda.gov</t>
        </is>
      </c>
      <c r="Q153" s="6" t="inlineStr">
        <is>
          <t>2026-09-26</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none (placeholder)</t>
        </is>
      </c>
      <c r="L154" s="7" t="inlineStr">
        <is>
          <t>Conventional placeholder for foods with too little carbohydrate to test (non-starchy vegetables, nuts, seeds, herbs); no published measurement exists</t>
        </is>
      </c>
      <c r="M154" s="7" t="inlineStr">
        <is>
          <t>not measurable</t>
        </is>
      </c>
      <c r="N154" s="6" t="inlineStr"/>
      <c r="O154" s="7" t="inlineStr">
        <is>
          <t>clinical convention</t>
        </is>
      </c>
      <c r="P154" s="7" t="inlineStr">
        <is>
          <t>USDA FoodData Central (SR Legacy / Foundation Foods), fdc.nal.usda.gov</t>
        </is>
      </c>
      <c r="Q154" s="6" t="inlineStr">
        <is>
          <t>2026-09-26</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none (placeholder)</t>
        </is>
      </c>
      <c r="L155" s="7" t="inlineStr">
        <is>
          <t>Conventional placeholder for foods with too little carbohydrate to test (non-starchy vegetables, nuts, seeds, herbs); no published measurement exists</t>
        </is>
      </c>
      <c r="M155" s="7" t="inlineStr">
        <is>
          <t>not measurable</t>
        </is>
      </c>
      <c r="N155" s="6" t="inlineStr"/>
      <c r="O155" s="7" t="inlineStr">
        <is>
          <t>clinical convention</t>
        </is>
      </c>
      <c r="P155" s="7" t="inlineStr">
        <is>
          <t>USDA FoodData Central (SR Legacy / Foundation Foods), fdc.nal.usda.gov</t>
        </is>
      </c>
      <c r="Q155" s="6" t="inlineStr">
        <is>
          <t>2026-09-26</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none (placeholder)</t>
        </is>
      </c>
      <c r="L156" s="7" t="inlineStr">
        <is>
          <t>Conventional placeholder for foods with too little carbohydrate to test (non-starchy vegetables, nuts, seeds, herbs); no published measurement exists</t>
        </is>
      </c>
      <c r="M156" s="7" t="inlineStr">
        <is>
          <t>not measurable</t>
        </is>
      </c>
      <c r="N156" s="6" t="inlineStr"/>
      <c r="O156" s="7" t="inlineStr">
        <is>
          <t>clinical convention</t>
        </is>
      </c>
      <c r="P156" s="7" t="inlineStr">
        <is>
          <t>USDA FoodData Central (SR Legacy / Foundation Foods), fdc.nal.usda.gov</t>
        </is>
      </c>
      <c r="Q156" s="6" t="inlineStr">
        <is>
          <t>2026-09-26</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none (placeholder)</t>
        </is>
      </c>
      <c r="L157" s="7" t="inlineStr">
        <is>
          <t>Conventional placeholder for foods with too little carbohydrate to test (non-starchy vegetables, nuts, seeds, herbs); no published measurement exists</t>
        </is>
      </c>
      <c r="M157" s="7" t="inlineStr">
        <is>
          <t>not measurable</t>
        </is>
      </c>
      <c r="N157" s="6" t="inlineStr"/>
      <c r="O157" s="7" t="inlineStr">
        <is>
          <t>clinical convention</t>
        </is>
      </c>
      <c r="P157" s="7" t="inlineStr">
        <is>
          <t>USDA FoodData Central (SR Legacy / Foundation Foods), fdc.nal.usda.gov</t>
        </is>
      </c>
      <c r="Q157" s="6" t="inlineStr">
        <is>
          <t>2026-09-26</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none (placeholder)</t>
        </is>
      </c>
      <c r="L158" s="7" t="inlineStr">
        <is>
          <t>Conventional placeholder for foods with too little carbohydrate to test (non-starchy vegetables, nuts, seeds, herbs); no published measurement exists</t>
        </is>
      </c>
      <c r="M158" s="7" t="inlineStr">
        <is>
          <t>not measurable</t>
        </is>
      </c>
      <c r="N158" s="6" t="inlineStr"/>
      <c r="O158" s="7" t="inlineStr">
        <is>
          <t>clinical convention</t>
        </is>
      </c>
      <c r="P158" s="7" t="inlineStr">
        <is>
          <t>USDA FoodData Central (SR Legacy / Foundation Foods), fdc.nal.usda.gov</t>
        </is>
      </c>
      <c r="Q158" s="6" t="inlineStr">
        <is>
          <t>2026-09-26</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none (placeholder)</t>
        </is>
      </c>
      <c r="L159" s="7" t="inlineStr">
        <is>
          <t>Conventional placeholder for foods with too little carbohydrate to test (non-starchy vegetables, nuts, seeds, herbs); no published measurement exists</t>
        </is>
      </c>
      <c r="M159" s="7" t="inlineStr">
        <is>
          <t>not measurable</t>
        </is>
      </c>
      <c r="N159" s="6" t="inlineStr"/>
      <c r="O159" s="7" t="inlineStr">
        <is>
          <t>clinical convention</t>
        </is>
      </c>
      <c r="P159" s="7" t="inlineStr">
        <is>
          <t>USDA FoodData Central (SR Legacy / Foundation Foods), fdc.nal.usda.gov</t>
        </is>
      </c>
      <c r="Q159" s="6" t="inlineStr">
        <is>
          <t>2026-09-26</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none (placeholder)</t>
        </is>
      </c>
      <c r="L160" s="7" t="inlineStr">
        <is>
          <t>Conventional placeholder for foods with too little carbohydrate to test (non-starchy vegetables, nuts, seeds, herbs); no published measurement exists</t>
        </is>
      </c>
      <c r="M160" s="7" t="inlineStr">
        <is>
          <t>not measurable</t>
        </is>
      </c>
      <c r="N160" s="6" t="inlineStr"/>
      <c r="O160" s="7" t="inlineStr">
        <is>
          <t>clinical convention</t>
        </is>
      </c>
      <c r="P160" s="7" t="inlineStr">
        <is>
          <t>USDA FoodData Central (SR Legacy / Foundation Foods), fdc.nal.usda.gov</t>
        </is>
      </c>
      <c r="Q160" s="6" t="inlineStr">
        <is>
          <t>2026-09-26</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none (placeholder)</t>
        </is>
      </c>
      <c r="L161" s="7" t="inlineStr">
        <is>
          <t>Conventional placeholder for foods with too little carbohydrate to test (non-starchy vegetables, nuts, seeds, herbs); no published measurement exists</t>
        </is>
      </c>
      <c r="M161" s="7" t="inlineStr">
        <is>
          <t>not measurable</t>
        </is>
      </c>
      <c r="N161" s="6" t="inlineStr"/>
      <c r="O161" s="7" t="inlineStr">
        <is>
          <t>clinical convention</t>
        </is>
      </c>
      <c r="P161" s="7" t="inlineStr">
        <is>
          <t>USDA FoodData Central (SR Legacy / Foundation Foods), fdc.nal.usda.gov</t>
        </is>
      </c>
      <c r="Q161" s="6" t="inlineStr">
        <is>
          <t>2026-09-26</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none (placeholder)</t>
        </is>
      </c>
      <c r="L162" s="7" t="inlineStr">
        <is>
          <t>Conventional placeholder for foods with too little carbohydrate to test (non-starchy vegetables, nuts, seeds, herbs); no published measurement exists</t>
        </is>
      </c>
      <c r="M162" s="7" t="inlineStr">
        <is>
          <t>not measurable</t>
        </is>
      </c>
      <c r="N162" s="6" t="inlineStr"/>
      <c r="O162" s="7" t="inlineStr">
        <is>
          <t>clinical convention</t>
        </is>
      </c>
      <c r="P162" s="7" t="inlineStr">
        <is>
          <t>USDA FoodData Central (SR Legacy / Foundation Foods), fdc.nal.usda.gov</t>
        </is>
      </c>
      <c r="Q162" s="6" t="inlineStr">
        <is>
          <t>2026-09-26</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low</t>
        </is>
      </c>
      <c r="L163" s="7" t="inlineStr">
        <is>
          <t>Estimated from the closest tested food; no direct measurement found in the pooled sources</t>
        </is>
      </c>
      <c r="M163" s="7" t="inlineStr">
        <is>
          <t>no direct match</t>
        </is>
      </c>
      <c r="N163" s="6" t="n">
        <v>20</v>
      </c>
      <c r="O1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63" s="7" t="inlineStr">
        <is>
          <t>USDA FoodData Central (SR Legacy / Foundation Foods), fdc.nal.usda.gov</t>
        </is>
      </c>
      <c r="Q163" s="6" t="inlineStr">
        <is>
          <t>2026-09-26</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high</t>
        </is>
      </c>
      <c r="L164" s="7" t="inlineStr">
        <is>
          <t>2021 International Tables, Suppl. Table 1 (ISO 26642:2010-compliant studies)</t>
        </is>
      </c>
      <c r="M164" s="7" t="inlineStr">
        <is>
          <t>median of 4 tested foods, range 51-55</t>
        </is>
      </c>
      <c r="N164" s="6" t="n">
        <v>53</v>
      </c>
      <c r="O164" s="7" t="inlineStr">
        <is>
          <t>Atkinson FS, Brand-Miller JC, Foster-Powell K, Buyken AE, Goletzke J. International tables of glycemic index and glycemic load values 2021. Am J Clin Nutr 2021;114(5):1625-32. doi:10.1093/ajcn/nqab233</t>
        </is>
      </c>
      <c r="P164" s="7" t="inlineStr">
        <is>
          <t>USDA FoodData Central (SR Legacy / Foundation Foods), fdc.nal.usda.gov</t>
        </is>
      </c>
      <c r="Q164" s="6" t="inlineStr">
        <is>
          <t>2026-09-26</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high</t>
        </is>
      </c>
      <c r="L165" s="7" t="inlineStr">
        <is>
          <t>2021 International Tables, Suppl. Table 1 (ISO 26642:2010-compliant studies)</t>
        </is>
      </c>
      <c r="M165" s="7" t="inlineStr">
        <is>
          <t>median of 13 tested foods, range 41-75</t>
        </is>
      </c>
      <c r="N165" s="6" t="n">
        <v>47</v>
      </c>
      <c r="O165" s="7" t="inlineStr">
        <is>
          <t>Atkinson FS, Brand-Miller JC, Foster-Powell K, Buyken AE, Goletzke J. International tables of glycemic index and glycemic load values 2021. Am J Clin Nutr 2021;114(5):1625-32. doi:10.1093/ajcn/nqab233</t>
        </is>
      </c>
      <c r="P165" s="7" t="inlineStr">
        <is>
          <t>USDA FoodData Central (SR Legacy / Foundation Foods), fdc.nal.usda.gov</t>
        </is>
      </c>
      <c r="Q165" s="6" t="inlineStr">
        <is>
          <t>2026-09-26</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high</t>
        </is>
      </c>
      <c r="L166" s="7" t="inlineStr">
        <is>
          <t>2021 International Tables, Suppl. Table 1 (ISO 26642:2010-compliant studies)</t>
        </is>
      </c>
      <c r="M166" s="7" t="inlineStr">
        <is>
          <t>median of 22 tested foods, range 79-94</t>
        </is>
      </c>
      <c r="N166" s="6" t="n">
        <v>86</v>
      </c>
      <c r="O166" s="7" t="inlineStr">
        <is>
          <t>Atkinson FS, Brand-Miller JC, Foster-Powell K, Buyken AE, Goletzke J. International tables of glycemic index and glycemic load values 2021. Am J Clin Nutr 2021;114(5):1625-32. doi:10.1093/ajcn/nqab233</t>
        </is>
      </c>
      <c r="P166" s="7" t="inlineStr">
        <is>
          <t>USDA FoodData Central (SR Legacy / Foundation Foods), fdc.nal.usda.gov</t>
        </is>
      </c>
      <c r="Q166" s="6" t="inlineStr">
        <is>
          <t>2026-09-26</t>
        </is>
      </c>
    </row>
    <row r="167">
      <c r="A167" s="6" t="inlineStr">
        <is>
          <t>new_potato</t>
        </is>
      </c>
      <c r="B167" s="6" t="inlineStr">
        <is>
          <t>New potatoes, boiled</t>
        </is>
      </c>
      <c r="C167" s="6" t="inlineStr">
        <is>
          <t>veg</t>
        </is>
      </c>
      <c r="D167" s="6" t="n">
        <v>87</v>
      </c>
      <c r="E167" s="6" t="n">
        <v>1.9</v>
      </c>
      <c r="F167" s="6" t="n">
        <v>0.1</v>
      </c>
      <c r="G167" s="6" t="n">
        <v>20</v>
      </c>
      <c r="H167" s="6" t="n">
        <v>1.8</v>
      </c>
      <c r="I167" s="6" t="n">
        <v>18.2</v>
      </c>
      <c r="J167" s="6" t="n">
        <v>71</v>
      </c>
      <c r="K167" s="6" t="inlineStr">
        <is>
          <t>high</t>
        </is>
      </c>
      <c r="L167" s="7" t="inlineStr">
        <is>
          <t>2021 International Tables, Suppl. Table 1 (ISO 26642:2010-compliant studies)</t>
        </is>
      </c>
      <c r="M167" s="7" t="inlineStr">
        <is>
          <t>median of 6 tested foods, range 56-79</t>
        </is>
      </c>
      <c r="N167" s="6" t="n">
        <v>71</v>
      </c>
      <c r="O167" s="7" t="inlineStr">
        <is>
          <t>Atkinson FS, Brand-Miller JC, Foster-Powell K, Buyken AE, Goletzke J. International tables of glycemic index and glycemic load values 2021. Am J Clin Nutr 2021;114(5):1625-32. doi:10.1093/ajcn/nqab233</t>
        </is>
      </c>
      <c r="P167" s="7" t="inlineStr">
        <is>
          <t>USDA FoodData Central (SR Legacy / Foundation Foods), fdc.nal.usda.gov</t>
        </is>
      </c>
      <c r="Q167" s="6" t="inlineStr">
        <is>
          <t>2026-09-26</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none (placeholder)</t>
        </is>
      </c>
      <c r="L168" s="7" t="inlineStr">
        <is>
          <t>Conventional placeholder for foods with too little carbohydrate to test (non-starchy vegetables, nuts, seeds, herbs); no published measurement exists</t>
        </is>
      </c>
      <c r="M168" s="7" t="inlineStr">
        <is>
          <t>not measurable</t>
        </is>
      </c>
      <c r="N168" s="6" t="inlineStr"/>
      <c r="O168" s="7" t="inlineStr">
        <is>
          <t>clinical convention</t>
        </is>
      </c>
      <c r="P168" s="7" t="inlineStr">
        <is>
          <t>USDA FoodData Central (SR Legacy / Foundation Foods), fdc.nal.usda.gov</t>
        </is>
      </c>
      <c r="Q168" s="6" t="inlineStr">
        <is>
          <t>2026-09-26</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none (placeholder)</t>
        </is>
      </c>
      <c r="L169" s="7" t="inlineStr">
        <is>
          <t>Conventional placeholder for foods with too little carbohydrate to test (non-starchy vegetables, nuts, seeds, herbs); no published measurement exists</t>
        </is>
      </c>
      <c r="M169" s="7" t="inlineStr">
        <is>
          <t>not measurable</t>
        </is>
      </c>
      <c r="N169" s="6" t="inlineStr"/>
      <c r="O169" s="7" t="inlineStr">
        <is>
          <t>clinical convention</t>
        </is>
      </c>
      <c r="P169" s="7" t="inlineStr">
        <is>
          <t>USDA FoodData Central (SR Legacy / Foundation Foods), fdc.nal.usda.gov</t>
        </is>
      </c>
      <c r="Q169" s="6" t="inlineStr">
        <is>
          <t>2026-09-26</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none (placeholder)</t>
        </is>
      </c>
      <c r="L170" s="7" t="inlineStr">
        <is>
          <t>Conventional placeholder for foods with too little carbohydrate to test (non-starchy vegetables, nuts, seeds, herbs); no published measurement exists</t>
        </is>
      </c>
      <c r="M170" s="7" t="inlineStr">
        <is>
          <t>not measurable</t>
        </is>
      </c>
      <c r="N170" s="6" t="inlineStr"/>
      <c r="O170" s="7" t="inlineStr">
        <is>
          <t>clinical convention</t>
        </is>
      </c>
      <c r="P170" s="7" t="inlineStr">
        <is>
          <t>USDA FoodData Central (SR Legacy / Foundation Foods), fdc.nal.usda.gov</t>
        </is>
      </c>
      <c r="Q170" s="6" t="inlineStr">
        <is>
          <t>2026-09-26</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none (placeholder)</t>
        </is>
      </c>
      <c r="L171" s="7" t="inlineStr">
        <is>
          <t>Conventional placeholder for foods with too little carbohydrate to test (non-starchy vegetables, nuts, seeds, herbs); no published measurement exists</t>
        </is>
      </c>
      <c r="M171" s="7" t="inlineStr">
        <is>
          <t>not measurable</t>
        </is>
      </c>
      <c r="N171" s="6" t="inlineStr"/>
      <c r="O171" s="7" t="inlineStr">
        <is>
          <t>clinical convention</t>
        </is>
      </c>
      <c r="P171" s="7" t="inlineStr">
        <is>
          <t>USDA FoodData Central (SR Legacy / Foundation Foods), fdc.nal.usda.gov</t>
        </is>
      </c>
      <c r="Q171" s="6" t="inlineStr">
        <is>
          <t>2026-09-26</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none (placeholder)</t>
        </is>
      </c>
      <c r="L172" s="7" t="inlineStr">
        <is>
          <t>Conventional placeholder for foods with too little carbohydrate to test (non-starchy vegetables, nuts, seeds, herbs); no published measurement exists</t>
        </is>
      </c>
      <c r="M172" s="7" t="inlineStr">
        <is>
          <t>not measurable</t>
        </is>
      </c>
      <c r="N172" s="6" t="inlineStr"/>
      <c r="O172" s="7" t="inlineStr">
        <is>
          <t>clinical convention</t>
        </is>
      </c>
      <c r="P172" s="7" t="inlineStr">
        <is>
          <t>USDA FoodData Central (SR Legacy / Foundation Foods), fdc.nal.usda.gov</t>
        </is>
      </c>
      <c r="Q172" s="6" t="inlineStr">
        <is>
          <t>2026-09-26</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none (placeholder)</t>
        </is>
      </c>
      <c r="L173" s="7" t="inlineStr">
        <is>
          <t>Conventional placeholder for foods with too little carbohydrate to test (non-starchy vegetables, nuts, seeds, herbs); no published measurement exists</t>
        </is>
      </c>
      <c r="M173" s="7" t="inlineStr">
        <is>
          <t>not measurable</t>
        </is>
      </c>
      <c r="N173" s="6" t="inlineStr"/>
      <c r="O173" s="7" t="inlineStr">
        <is>
          <t>clinical convention</t>
        </is>
      </c>
      <c r="P173" s="7" t="inlineStr">
        <is>
          <t>USDA FoodData Central (SR Legacy / Foundation Foods), fdc.nal.usda.gov</t>
        </is>
      </c>
      <c r="Q173" s="6" t="inlineStr">
        <is>
          <t>2026-09-26</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none (placeholder)</t>
        </is>
      </c>
      <c r="L174" s="7" t="inlineStr">
        <is>
          <t>Conventional placeholder for foods with too little carbohydrate to test (non-starchy vegetables, nuts, seeds, herbs); no published measurement exists</t>
        </is>
      </c>
      <c r="M174" s="7" t="inlineStr">
        <is>
          <t>not measurable</t>
        </is>
      </c>
      <c r="N174" s="6" t="inlineStr"/>
      <c r="O174" s="7" t="inlineStr">
        <is>
          <t>clinical convention</t>
        </is>
      </c>
      <c r="P174" s="7" t="inlineStr">
        <is>
          <t>USDA FoodData Central (SR Legacy / Foundation Foods), fdc.nal.usda.gov</t>
        </is>
      </c>
      <c r="Q174" s="6" t="inlineStr">
        <is>
          <t>2026-09-26</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definitional</t>
        </is>
      </c>
      <c r="L175" s="7" t="inlineStr">
        <is>
          <t>No available carbohydrate — GI is 0 by definition (protein / fat / water)</t>
        </is>
      </c>
      <c r="M175" s="7" t="inlineStr">
        <is>
          <t>n/a</t>
        </is>
      </c>
      <c r="N175" s="6" t="inlineStr"/>
      <c r="O175" s="7" t="inlineStr">
        <is>
          <t>ISO 26642:2010</t>
        </is>
      </c>
      <c r="P175" s="7" t="inlineStr">
        <is>
          <t>USDA FoodData Central (SR Legacy / Foundation Foods), fdc.nal.usda.gov</t>
        </is>
      </c>
      <c r="Q175" s="6" t="inlineStr">
        <is>
          <t>2026-09-26</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low</t>
        </is>
      </c>
      <c r="L176" s="7" t="inlineStr">
        <is>
          <t>Estimated from the closest tested food; no direct measurement found in the pooled sources</t>
        </is>
      </c>
      <c r="M176" s="7" t="inlineStr">
        <is>
          <t>no direct match</t>
        </is>
      </c>
      <c r="N176" s="6" t="n">
        <v>45</v>
      </c>
      <c r="O17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6" s="7" t="inlineStr">
        <is>
          <t>USDA FoodData Central (SR Legacy / Foundation Foods), fdc.nal.usda.gov</t>
        </is>
      </c>
      <c r="Q176" s="6" t="inlineStr">
        <is>
          <t>2026-09-26</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none (placeholder)</t>
        </is>
      </c>
      <c r="L177" s="7" t="inlineStr">
        <is>
          <t>Conventional placeholder for foods with too little carbohydrate to test (non-starchy vegetables, nuts, seeds, herbs); no published measurement exists</t>
        </is>
      </c>
      <c r="M177" s="7" t="inlineStr">
        <is>
          <t>not measurable</t>
        </is>
      </c>
      <c r="N177" s="6" t="inlineStr"/>
      <c r="O177" s="7" t="inlineStr">
        <is>
          <t>clinical convention</t>
        </is>
      </c>
      <c r="P177" s="7" t="inlineStr">
        <is>
          <t>USDA FoodData Central (SR Legacy / Foundation Foods), fdc.nal.usda.gov</t>
        </is>
      </c>
      <c r="Q177" s="6" t="inlineStr">
        <is>
          <t>2026-09-26</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low</t>
        </is>
      </c>
      <c r="L178" s="7" t="inlineStr">
        <is>
          <t>Estimated from the closest tested food; no direct measurement found in the pooled sources</t>
        </is>
      </c>
      <c r="M178" s="7" t="inlineStr">
        <is>
          <t>no direct match</t>
        </is>
      </c>
      <c r="N178" s="6" t="inlineStr"/>
      <c r="O17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8" s="7" t="inlineStr">
        <is>
          <t>USDA FoodData Central (SR Legacy / Foundation Foods), fdc.nal.usda.gov</t>
        </is>
      </c>
      <c r="Q178" s="6" t="inlineStr">
        <is>
          <t>2026-09-26</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low</t>
        </is>
      </c>
      <c r="L179" s="7" t="inlineStr">
        <is>
          <t>Estimated from the closest tested food; no direct measurement found in the pooled sources</t>
        </is>
      </c>
      <c r="M179" s="7" t="inlineStr">
        <is>
          <t>no direct match</t>
        </is>
      </c>
      <c r="N179" s="6" t="inlineStr"/>
      <c r="O1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9" s="7" t="inlineStr">
        <is>
          <t>USDA FoodData Central (SR Legacy / Foundation Foods), fdc.nal.usda.gov</t>
        </is>
      </c>
      <c r="Q179" s="6" t="inlineStr">
        <is>
          <t>2026-09-26</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low</t>
        </is>
      </c>
      <c r="L180" s="7" t="inlineStr">
        <is>
          <t>Estimated from the closest tested food; no direct measurement found in the pooled sources</t>
        </is>
      </c>
      <c r="M180" s="7" t="inlineStr">
        <is>
          <t>no direct match</t>
        </is>
      </c>
      <c r="N180" s="6" t="inlineStr"/>
      <c r="O1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0" s="7" t="inlineStr">
        <is>
          <t>USDA FoodData Central (SR Legacy / Foundation Foods), fdc.nal.usda.gov</t>
        </is>
      </c>
      <c r="Q180" s="6" t="inlineStr">
        <is>
          <t>2026-09-26</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low</t>
        </is>
      </c>
      <c r="L181" s="7" t="inlineStr">
        <is>
          <t>Estimated from the closest tested food; no direct measurement found in the pooled sources</t>
        </is>
      </c>
      <c r="M181" s="7" t="inlineStr">
        <is>
          <t>no direct match</t>
        </is>
      </c>
      <c r="N181" s="6" t="inlineStr"/>
      <c r="O1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1" s="7" t="inlineStr">
        <is>
          <t>USDA FoodData Central (SR Legacy / Foundation Foods), fdc.nal.usda.gov</t>
        </is>
      </c>
      <c r="Q181" s="6" t="inlineStr">
        <is>
          <t>2026-09-26</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medium</t>
        </is>
      </c>
      <c r="L182" s="7" t="inlineStr">
        <is>
          <t>2021 International Tables, Suppl. Tables 1+2 (incl. studies with method deviations)</t>
        </is>
      </c>
      <c r="M182" s="7" t="inlineStr">
        <is>
          <t>median of 2 tested foods, range 28-53</t>
        </is>
      </c>
      <c r="N182" s="6" t="n">
        <v>40</v>
      </c>
      <c r="O182" s="7" t="inlineStr">
        <is>
          <t>Atkinson FS, Brand-Miller JC, Foster-Powell K, Buyken AE, Goletzke J. International tables of glycemic index and glycemic load values 2021. Am J Clin Nutr 2021;114(5):1625-32. doi:10.1093/ajcn/nqab233</t>
        </is>
      </c>
      <c r="P182" s="7" t="inlineStr">
        <is>
          <t>USDA FoodData Central (SR Legacy / Foundation Foods), fdc.nal.usda.gov</t>
        </is>
      </c>
      <c r="Q182" s="6" t="inlineStr">
        <is>
          <t>2026-09-26</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high</t>
        </is>
      </c>
      <c r="L183" s="7" t="inlineStr">
        <is>
          <t>2021 International Tables, Suppl. Table 1 (ISO 26642:2010-compliant studies)</t>
        </is>
      </c>
      <c r="M183" s="7" t="inlineStr">
        <is>
          <t>median of 3 tested foods, range 32-55</t>
        </is>
      </c>
      <c r="N183" s="6" t="n">
        <v>40</v>
      </c>
      <c r="O183" s="7" t="inlineStr">
        <is>
          <t>Atkinson FS, Brand-Miller JC, Foster-Powell K, Buyken AE, Goletzke J. International tables of glycemic index and glycemic load values 2021. Am J Clin Nutr 2021;114(5):1625-32. doi:10.1093/ajcn/nqab233</t>
        </is>
      </c>
      <c r="P183" s="7" t="inlineStr">
        <is>
          <t>USDA FoodData Central (SR Legacy / Foundation Foods), fdc.nal.usda.gov</t>
        </is>
      </c>
      <c r="Q183" s="6" t="inlineStr">
        <is>
          <t>2026-09-26</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low</t>
        </is>
      </c>
      <c r="L184" s="7" t="inlineStr">
        <is>
          <t>Estimated from the closest tested food; no direct measurement found in the pooled sources</t>
        </is>
      </c>
      <c r="M184" s="7" t="inlineStr">
        <is>
          <t>no direct match</t>
        </is>
      </c>
      <c r="N184" s="6" t="n">
        <v>32</v>
      </c>
      <c r="O1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4" s="7" t="inlineStr">
        <is>
          <t>USDA FoodData Central (SR Legacy / Foundation Foods), fdc.nal.usda.gov</t>
        </is>
      </c>
      <c r="Q184" s="6" t="inlineStr">
        <is>
          <t>2026-09-26</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low</t>
        </is>
      </c>
      <c r="L185" s="7" t="inlineStr">
        <is>
          <t>Estimated from the closest tested food; no direct measurement found in the pooled sources</t>
        </is>
      </c>
      <c r="M185" s="7" t="inlineStr">
        <is>
          <t>no direct match</t>
        </is>
      </c>
      <c r="N185" s="6" t="n">
        <v>25</v>
      </c>
      <c r="O1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5" s="7" t="inlineStr">
        <is>
          <t>USDA FoodData Central (SR Legacy / Foundation Foods), fdc.nal.usda.gov</t>
        </is>
      </c>
      <c r="Q185" s="6" t="inlineStr">
        <is>
          <t>2026-09-26</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low</t>
        </is>
      </c>
      <c r="L186" s="7" t="inlineStr">
        <is>
          <t>Estimated from the closest tested food; no direct measurement found in the pooled sources</t>
        </is>
      </c>
      <c r="M186" s="7" t="inlineStr">
        <is>
          <t>no direct match</t>
        </is>
      </c>
      <c r="N186" s="6" t="n">
        <v>40</v>
      </c>
      <c r="O1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6" s="7" t="inlineStr">
        <is>
          <t>USDA FoodData Central (SR Legacy / Foundation Foods), fdc.nal.usda.gov</t>
        </is>
      </c>
      <c r="Q186" s="6" t="inlineStr">
        <is>
          <t>2026-09-26</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medium</t>
        </is>
      </c>
      <c r="L187" s="7" t="inlineStr">
        <is>
          <t>2021 International Tables, Suppl. Tables 1+2 (incl. studies with method deviations)</t>
        </is>
      </c>
      <c r="M187" s="7" t="inlineStr">
        <is>
          <t>median of 8 tested foods, range 32-45</t>
        </is>
      </c>
      <c r="N187" s="6" t="n">
        <v>40</v>
      </c>
      <c r="O187" s="7" t="inlineStr">
        <is>
          <t>Atkinson FS, Brand-Miller JC, Foster-Powell K, Buyken AE, Goletzke J. International tables of glycemic index and glycemic load values 2021. Am J Clin Nutr 2021;114(5):1625-32. doi:10.1093/ajcn/nqab233</t>
        </is>
      </c>
      <c r="P187" s="7" t="inlineStr">
        <is>
          <t>USDA FoodData Central (SR Legacy / Foundation Foods), fdc.nal.usda.gov</t>
        </is>
      </c>
      <c r="Q187" s="6" t="inlineStr">
        <is>
          <t>2026-09-26</t>
        </is>
      </c>
    </row>
    <row r="188">
      <c r="A188" s="6" t="inlineStr">
        <is>
          <t>pear</t>
        </is>
      </c>
      <c r="B188" s="6" t="inlineStr">
        <is>
          <t>Pear</t>
        </is>
      </c>
      <c r="C188" s="6" t="inlineStr">
        <is>
          <t>fruit</t>
        </is>
      </c>
      <c r="D188" s="6" t="n">
        <v>57</v>
      </c>
      <c r="E188" s="6" t="n">
        <v>0.4</v>
      </c>
      <c r="F188" s="6" t="n">
        <v>0.1</v>
      </c>
      <c r="G188" s="6" t="n">
        <v>15</v>
      </c>
      <c r="H188" s="6" t="n">
        <v>3.1</v>
      </c>
      <c r="I188" s="6" t="n">
        <v>11.9</v>
      </c>
      <c r="J188" s="6" t="n">
        <v>28</v>
      </c>
      <c r="K188" s="6" t="inlineStr">
        <is>
          <t>high</t>
        </is>
      </c>
      <c r="L188" s="7" t="inlineStr">
        <is>
          <t>2021 International Tables, Suppl. Table 1 (ISO 26642:2010-compliant studies)</t>
        </is>
      </c>
      <c r="M188" s="7" t="inlineStr">
        <is>
          <t>median of 2 tested foods, range 24-33</t>
        </is>
      </c>
      <c r="N188" s="6" t="n">
        <v>28</v>
      </c>
      <c r="O188" s="7" t="inlineStr">
        <is>
          <t>Atkinson FS, Brand-Miller JC, Foster-Powell K, Buyken AE, Goletzke J. International tables of glycemic index and glycemic load values 2021. Am J Clin Nutr 2021;114(5):1625-32. doi:10.1093/ajcn/nqab233</t>
        </is>
      </c>
      <c r="P188" s="7" t="inlineStr">
        <is>
          <t>USDA FoodData Central (SR Legacy / Foundation Foods), fdc.nal.usda.gov</t>
        </is>
      </c>
      <c r="Q188" s="6" t="inlineStr">
        <is>
          <t>2026-09-26</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medium</t>
        </is>
      </c>
      <c r="L189" s="7" t="inlineStr">
        <is>
          <t>2021 International Tables, Suppl. Tables 1+2 (incl. studies with method deviations)</t>
        </is>
      </c>
      <c r="M189" s="7" t="inlineStr">
        <is>
          <t>median of 9 tested foods, range 31-52</t>
        </is>
      </c>
      <c r="N189" s="6" t="n">
        <v>44</v>
      </c>
      <c r="O189" s="7" t="inlineStr">
        <is>
          <t>Atkinson FS, Brand-Miller JC, Foster-Powell K, Buyken AE, Goletzke J. International tables of glycemic index and glycemic load values 2021. Am J Clin Nutr 2021;114(5):1625-32. doi:10.1093/ajcn/nqab233</t>
        </is>
      </c>
      <c r="P189" s="7" t="inlineStr">
        <is>
          <t>USDA FoodData Central (SR Legacy / Foundation Foods), fdc.nal.usda.gov</t>
        </is>
      </c>
      <c r="Q189" s="6" t="inlineStr">
        <is>
          <t>2026-09-26</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medium</t>
        </is>
      </c>
      <c r="L190" s="7" t="inlineStr">
        <is>
          <t>2021 International Tables, Suppl. Tables 1+2 (incl. studies with method deviations)</t>
        </is>
      </c>
      <c r="M190" s="7" t="inlineStr">
        <is>
          <t>median of 1 tested foods, range 26-26</t>
        </is>
      </c>
      <c r="N190" s="6" t="n">
        <v>26</v>
      </c>
      <c r="O190" s="7" t="inlineStr">
        <is>
          <t>Atkinson FS, Brand-Miller JC, Foster-Powell K, Buyken AE, Goletzke J. International tables of glycemic index and glycemic load values 2021. Am J Clin Nutr 2021;114(5):1625-32. doi:10.1093/ajcn/nqab233</t>
        </is>
      </c>
      <c r="P190" s="7" t="inlineStr">
        <is>
          <t>USDA FoodData Central (SR Legacy / Foundation Foods), fdc.nal.usda.gov</t>
        </is>
      </c>
      <c r="Q190" s="6" t="inlineStr">
        <is>
          <t>2026-09-26</t>
        </is>
      </c>
    </row>
    <row r="191">
      <c r="A191" s="6" t="inlineStr">
        <is>
          <t>peach</t>
        </is>
      </c>
      <c r="B191" s="6" t="inlineStr">
        <is>
          <t>Peach</t>
        </is>
      </c>
      <c r="C191" s="6" t="inlineStr">
        <is>
          <t>fruit</t>
        </is>
      </c>
      <c r="D191" s="6" t="n">
        <v>39</v>
      </c>
      <c r="E191" s="6" t="n">
        <v>0.9</v>
      </c>
      <c r="F191" s="6" t="n">
        <v>0.3</v>
      </c>
      <c r="G191" s="6" t="n">
        <v>9.5</v>
      </c>
      <c r="H191" s="6" t="n">
        <v>1.5</v>
      </c>
      <c r="I191" s="6" t="n">
        <v>8</v>
      </c>
      <c r="J191" s="6" t="n">
        <v>57</v>
      </c>
      <c r="K191" s="6" t="inlineStr">
        <is>
          <t>medium</t>
        </is>
      </c>
      <c r="L191" s="7" t="inlineStr">
        <is>
          <t>2021 International Tables, Suppl. Tables 1+2 (incl. studies with method deviations)</t>
        </is>
      </c>
      <c r="M191" s="7" t="inlineStr">
        <is>
          <t>median of 1 tested foods, range 57-57</t>
        </is>
      </c>
      <c r="N191" s="6" t="n">
        <v>57</v>
      </c>
      <c r="O191" s="7" t="inlineStr">
        <is>
          <t>Atkinson FS, Brand-Miller JC, Foster-Powell K, Buyken AE, Goletzke J. International tables of glycemic index and glycemic load values 2021. Am J Clin Nutr 2021;114(5):1625-32. doi:10.1093/ajcn/nqab233</t>
        </is>
      </c>
      <c r="P191" s="7" t="inlineStr">
        <is>
          <t>USDA FoodData Central (SR Legacy / Foundation Foods), fdc.nal.usda.gov</t>
        </is>
      </c>
      <c r="Q191" s="6" t="inlineStr">
        <is>
          <t>2026-09-26</t>
        </is>
      </c>
    </row>
    <row r="192">
      <c r="A192" s="6" t="inlineStr">
        <is>
          <t>plum</t>
        </is>
      </c>
      <c r="B192" s="6" t="inlineStr">
        <is>
          <t>Plum</t>
        </is>
      </c>
      <c r="C192" s="6" t="inlineStr">
        <is>
          <t>fruit</t>
        </is>
      </c>
      <c r="D192" s="6" t="n">
        <v>46</v>
      </c>
      <c r="E192" s="6" t="n">
        <v>0.7</v>
      </c>
      <c r="F192" s="6" t="n">
        <v>0.3</v>
      </c>
      <c r="G192" s="6" t="n">
        <v>11.4</v>
      </c>
      <c r="H192" s="6" t="n">
        <v>1.4</v>
      </c>
      <c r="I192" s="6" t="n">
        <v>10</v>
      </c>
      <c r="J192" s="6" t="n">
        <v>32</v>
      </c>
      <c r="K192" s="6" t="inlineStr">
        <is>
          <t>medium</t>
        </is>
      </c>
      <c r="L192" s="7" t="inlineStr">
        <is>
          <t>2021 International Tables, Suppl. Tables 1+2 (incl. studies with method deviations)</t>
        </is>
      </c>
      <c r="M192" s="7" t="inlineStr">
        <is>
          <t>median of 3 tested foods, range 24-53</t>
        </is>
      </c>
      <c r="N192" s="6" t="n">
        <v>32</v>
      </c>
      <c r="O192" s="7" t="inlineStr">
        <is>
          <t>Atkinson FS, Brand-Miller JC, Foster-Powell K, Buyken AE, Goletzke J. International tables of glycemic index and glycemic load values 2021. Am J Clin Nutr 2021;114(5):1625-32. doi:10.1093/ajcn/nqab233</t>
        </is>
      </c>
      <c r="P192" s="7" t="inlineStr">
        <is>
          <t>USDA FoodData Central (SR Legacy / Foundation Foods), fdc.nal.usda.gov</t>
        </is>
      </c>
      <c r="Q192" s="6" t="inlineStr">
        <is>
          <t>2026-09-26</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29</v>
      </c>
      <c r="K193" s="6" t="inlineStr">
        <is>
          <t>medium</t>
        </is>
      </c>
      <c r="L193" s="7" t="inlineStr">
        <is>
          <t>2021 International Tables, Suppl. Tables 1+2 (incl. studies with method deviations)</t>
        </is>
      </c>
      <c r="M193" s="7" t="inlineStr">
        <is>
          <t>median of 3 tested foods, range 22-63</t>
        </is>
      </c>
      <c r="N193" s="6" t="n">
        <v>29</v>
      </c>
      <c r="O193" s="7" t="inlineStr">
        <is>
          <t>Atkinson FS, Brand-Miller JC, Foster-Powell K, Buyken AE, Goletzke J. International tables of glycemic index and glycemic load values 2021. Am J Clin Nutr 2021;114(5):1625-32. doi:10.1093/ajcn/nqab233</t>
        </is>
      </c>
      <c r="P193" s="7" t="inlineStr">
        <is>
          <t>USDA FoodData Central (SR Legacy / Foundation Foods), fdc.nal.usda.gov</t>
        </is>
      </c>
      <c r="Q193" s="6" t="inlineStr">
        <is>
          <t>2026-09-26</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medium</t>
        </is>
      </c>
      <c r="L194" s="7" t="inlineStr">
        <is>
          <t>2021 International Tables, Suppl. Tables 1+2 (incl. studies with method deviations)</t>
        </is>
      </c>
      <c r="M194" s="7" t="inlineStr">
        <is>
          <t>median of 4 tested foods, range 47-58</t>
        </is>
      </c>
      <c r="N194" s="6" t="n">
        <v>47</v>
      </c>
      <c r="O194" s="7" t="inlineStr">
        <is>
          <t>Atkinson FS, Brand-Miller JC, Foster-Powell K, Buyken AE, Goletzke J. International tables of glycemic index and glycemic load values 2021. Am J Clin Nutr 2021;114(5):1625-32. doi:10.1093/ajcn/nqab233</t>
        </is>
      </c>
      <c r="P194" s="7" t="inlineStr">
        <is>
          <t>USDA FoodData Central (SR Legacy / Foundation Foods), fdc.nal.usda.gov</t>
        </is>
      </c>
      <c r="Q194" s="6" t="inlineStr">
        <is>
          <t>2026-09-26</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high</t>
        </is>
      </c>
      <c r="L195" s="7" t="inlineStr">
        <is>
          <t>2021 International Tables, Suppl. Table 1 (ISO 26642:2010-compliant studies)</t>
        </is>
      </c>
      <c r="M195" s="7" t="inlineStr">
        <is>
          <t>median of 6 tested foods, range 47-61</t>
        </is>
      </c>
      <c r="N195" s="6" t="n">
        <v>55</v>
      </c>
      <c r="O195" s="7" t="inlineStr">
        <is>
          <t>Atkinson FS, Brand-Miller JC, Foster-Powell K, Buyken AE, Goletzke J. International tables of glycemic index and glycemic load values 2021. Am J Clin Nutr 2021;114(5):1625-32. doi:10.1093/ajcn/nqab233</t>
        </is>
      </c>
      <c r="P195" s="7" t="inlineStr">
        <is>
          <t>USDA FoodData Central (SR Legacy / Foundation Foods), fdc.nal.usda.gov</t>
        </is>
      </c>
      <c r="Q195" s="6" t="inlineStr">
        <is>
          <t>2026-09-26</t>
        </is>
      </c>
    </row>
    <row r="196">
      <c r="A196" s="6" t="inlineStr">
        <is>
          <t>mango</t>
        </is>
      </c>
      <c r="B196" s="6" t="inlineStr">
        <is>
          <t>Mango</t>
        </is>
      </c>
      <c r="C196" s="6" t="inlineStr">
        <is>
          <t>fruit</t>
        </is>
      </c>
      <c r="D196" s="6" t="n">
        <v>60</v>
      </c>
      <c r="E196" s="6" t="n">
        <v>0.8</v>
      </c>
      <c r="F196" s="6" t="n">
        <v>0.4</v>
      </c>
      <c r="G196" s="6" t="n">
        <v>15</v>
      </c>
      <c r="H196" s="6" t="n">
        <v>1.6</v>
      </c>
      <c r="I196" s="6" t="n">
        <v>13.4</v>
      </c>
      <c r="J196" s="6" t="n">
        <v>42</v>
      </c>
      <c r="K196" s="6" t="inlineStr">
        <is>
          <t>high</t>
        </is>
      </c>
      <c r="L196" s="7" t="inlineStr">
        <is>
          <t>2021 International Tables, Suppl. Table 1 (ISO 26642:2010-compliant studies)</t>
        </is>
      </c>
      <c r="M196" s="7" t="inlineStr">
        <is>
          <t>median of 3 tested foods, range 33-48</t>
        </is>
      </c>
      <c r="N196" s="6" t="n">
        <v>42</v>
      </c>
      <c r="O196" s="7" t="inlineStr">
        <is>
          <t>Atkinson FS, Brand-Miller JC, Foster-Powell K, Buyken AE, Goletzke J. International tables of glycemic index and glycemic load values 2021. Am J Clin Nutr 2021;114(5):1625-32. doi:10.1093/ajcn/nqab233</t>
        </is>
      </c>
      <c r="P196" s="7" t="inlineStr">
        <is>
          <t>USDA FoodData Central (SR Legacy / Foundation Foods), fdc.nal.usda.gov</t>
        </is>
      </c>
      <c r="Q196" s="6" t="inlineStr">
        <is>
          <t>2026-09-26</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70</v>
      </c>
      <c r="K197" s="6" t="inlineStr">
        <is>
          <t>medium</t>
        </is>
      </c>
      <c r="L197" s="7" t="inlineStr">
        <is>
          <t>2021 International Tables, Suppl. Tables 1+2 (incl. studies with method deviations)</t>
        </is>
      </c>
      <c r="M197" s="7" t="inlineStr">
        <is>
          <t>median of 5 tested foods, range 39-82</t>
        </is>
      </c>
      <c r="N197" s="6" t="n">
        <v>70</v>
      </c>
      <c r="O197" s="7" t="inlineStr">
        <is>
          <t>Atkinson FS, Brand-Miller JC, Foster-Powell K, Buyken AE, Goletzke J. International tables of glycemic index and glycemic load values 2021. Am J Clin Nutr 2021;114(5):1625-32. doi:10.1093/ajcn/nqab233</t>
        </is>
      </c>
      <c r="P197" s="7" t="inlineStr">
        <is>
          <t>USDA FoodData Central (SR Legacy / Foundation Foods), fdc.nal.usda.gov</t>
        </is>
      </c>
      <c r="Q197" s="6" t="inlineStr">
        <is>
          <t>2026-09-26</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low</t>
        </is>
      </c>
      <c r="L198" s="7" t="inlineStr">
        <is>
          <t>Estimated from the closest tested food; no direct measurement found in the pooled sources</t>
        </is>
      </c>
      <c r="M198" s="7" t="inlineStr">
        <is>
          <t>no direct match</t>
        </is>
      </c>
      <c r="N198" s="6" t="n">
        <v>53</v>
      </c>
      <c r="O1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8" s="7" t="inlineStr">
        <is>
          <t>USDA FoodData Central (SR Legacy / Foundation Foods), fdc.nal.usda.gov</t>
        </is>
      </c>
      <c r="Q198" s="6" t="inlineStr">
        <is>
          <t>2026-09-26</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low</t>
        </is>
      </c>
      <c r="L199" s="7" t="inlineStr">
        <is>
          <t>Estimated from the closest tested food; no direct measurement found in the pooled sources</t>
        </is>
      </c>
      <c r="M199" s="7" t="inlineStr">
        <is>
          <t>no direct match</t>
        </is>
      </c>
      <c r="N199" s="6" t="n">
        <v>45</v>
      </c>
      <c r="O1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9" s="7" t="inlineStr">
        <is>
          <t>USDA FoodData Central (SR Legacy / Foundation Foods), fdc.nal.usda.gov</t>
        </is>
      </c>
      <c r="Q199" s="6" t="inlineStr">
        <is>
          <t>2026-09-26</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low</t>
        </is>
      </c>
      <c r="L200" s="7" t="inlineStr">
        <is>
          <t>Estimated from the closest tested food; no direct measurement found in the pooled sources</t>
        </is>
      </c>
      <c r="M200" s="7" t="inlineStr">
        <is>
          <t>no direct match</t>
        </is>
      </c>
      <c r="N200" s="6" t="n">
        <v>40</v>
      </c>
      <c r="O20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0" s="7" t="inlineStr">
        <is>
          <t>USDA FoodData Central (SR Legacy / Foundation Foods), fdc.nal.usda.gov</t>
        </is>
      </c>
      <c r="Q200" s="6" t="inlineStr">
        <is>
          <t>2026-09-26</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54</v>
      </c>
      <c r="K201" s="6" t="inlineStr">
        <is>
          <t>high</t>
        </is>
      </c>
      <c r="L201" s="7" t="inlineStr">
        <is>
          <t>2021 International Tables, Suppl. Table 1 (ISO 26642:2010-compliant studies)</t>
        </is>
      </c>
      <c r="M201" s="7" t="inlineStr">
        <is>
          <t>median of 30 tested foods, range 37-75</t>
        </is>
      </c>
      <c r="N201" s="6" t="n">
        <v>54</v>
      </c>
      <c r="O201" s="7" t="inlineStr">
        <is>
          <t>Atkinson FS, Brand-Miller JC, Foster-Powell K, Buyken AE, Goletzke J. International tables of glycemic index and glycemic load values 2021. Am J Clin Nutr 2021;114(5):1625-32. doi:10.1093/ajcn/nqab233</t>
        </is>
      </c>
      <c r="P201" s="7" t="inlineStr">
        <is>
          <t>USDA FoodData Central (SR Legacy / Foundation Foods), fdc.nal.usda.gov</t>
        </is>
      </c>
      <c r="Q201" s="6" t="inlineStr">
        <is>
          <t>2026-09-26</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low</t>
        </is>
      </c>
      <c r="L202" s="7" t="inlineStr">
        <is>
          <t>Estimated from the closest tested food; no direct measurement found in the pooled sources</t>
        </is>
      </c>
      <c r="M202" s="7" t="inlineStr">
        <is>
          <t>no direct match</t>
        </is>
      </c>
      <c r="N202" s="6" t="n">
        <v>45</v>
      </c>
      <c r="O20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2" s="7" t="inlineStr">
        <is>
          <t>USDA FoodData Central (SR Legacy / Foundation Foods), fdc.nal.usda.gov</t>
        </is>
      </c>
      <c r="Q202" s="6" t="inlineStr">
        <is>
          <t>2026-09-26</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high</t>
        </is>
      </c>
      <c r="L203" s="7" t="inlineStr">
        <is>
          <t>2021 International Tables, Suppl. Table 1 (ISO 26642:2010-compliant studies)</t>
        </is>
      </c>
      <c r="M203" s="7" t="inlineStr">
        <is>
          <t>median of 4 tested foods, range 50-54</t>
        </is>
      </c>
      <c r="N203" s="6" t="n">
        <v>53</v>
      </c>
      <c r="O203" s="7" t="inlineStr">
        <is>
          <t>Atkinson FS, Brand-Miller JC, Foster-Powell K, Buyken AE, Goletzke J. International tables of glycemic index and glycemic load values 2021. Am J Clin Nutr 2021;114(5):1625-32. doi:10.1093/ajcn/nqab233</t>
        </is>
      </c>
      <c r="P203" s="7" t="inlineStr">
        <is>
          <t>USDA FoodData Central (SR Legacy / Foundation Foods), fdc.nal.usda.gov</t>
        </is>
      </c>
      <c r="Q203" s="6" t="inlineStr">
        <is>
          <t>2026-09-26</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68</v>
      </c>
      <c r="K204" s="6" t="inlineStr">
        <is>
          <t>high</t>
        </is>
      </c>
      <c r="L204" s="7" t="inlineStr">
        <is>
          <t>2021 International Tables, Suppl. Table 1 (ISO 26642:2010-compliant studies)</t>
        </is>
      </c>
      <c r="M204" s="7" t="inlineStr">
        <is>
          <t>median of 6 tested foods, range 51-87</t>
        </is>
      </c>
      <c r="N204" s="6" t="n">
        <v>68</v>
      </c>
      <c r="O204" s="7" t="inlineStr">
        <is>
          <t>Atkinson FS, Brand-Miller JC, Foster-Powell K, Buyken AE, Goletzke J. International tables of glycemic index and glycemic load values 2021. Am J Clin Nutr 2021;114(5):1625-32. doi:10.1093/ajcn/nqab233</t>
        </is>
      </c>
      <c r="P204" s="7" t="inlineStr">
        <is>
          <t>USDA FoodData Central (SR Legacy / Foundation Foods), fdc.nal.usda.gov</t>
        </is>
      </c>
      <c r="Q204" s="6" t="inlineStr">
        <is>
          <t>2026-09-26</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low</t>
        </is>
      </c>
      <c r="L205" s="7" t="inlineStr">
        <is>
          <t>Estimated from the closest tested food; no direct measurement found in the pooled sources</t>
        </is>
      </c>
      <c r="M205" s="7" t="inlineStr">
        <is>
          <t>no direct match</t>
        </is>
      </c>
      <c r="N205" s="6" t="n">
        <v>57</v>
      </c>
      <c r="O20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5" s="7" t="inlineStr">
        <is>
          <t>USDA FoodData Central (SR Legacy / Foundation Foods), fdc.nal.usda.gov</t>
        </is>
      </c>
      <c r="Q205" s="6" t="inlineStr">
        <is>
          <t>2026-09-26</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44</v>
      </c>
      <c r="K206" s="6" t="inlineStr">
        <is>
          <t>medium</t>
        </is>
      </c>
      <c r="L206" s="7" t="inlineStr">
        <is>
          <t>2021 International Tables, Suppl. Tables 1+2 (incl. studies with method deviations)</t>
        </is>
      </c>
      <c r="M206" s="7" t="inlineStr">
        <is>
          <t>median of 5 tested foods, range 23-58</t>
        </is>
      </c>
      <c r="N206" s="6" t="n">
        <v>44</v>
      </c>
      <c r="O206" s="7" t="inlineStr">
        <is>
          <t>Atkinson FS, Brand-Miller JC, Foster-Powell K, Buyken AE, Goletzke J. International tables of glycemic index and glycemic load values 2021. Am J Clin Nutr 2021;114(5):1625-32. doi:10.1093/ajcn/nqab233</t>
        </is>
      </c>
      <c r="P206" s="7" t="inlineStr">
        <is>
          <t>USDA FoodData Central (SR Legacy / Foundation Foods), fdc.nal.usda.gov</t>
        </is>
      </c>
      <c r="Q206" s="6" t="inlineStr">
        <is>
          <t>2026-09-26</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medium</t>
        </is>
      </c>
      <c r="L207" s="7" t="inlineStr">
        <is>
          <t>2021 International Tables, Suppl. Tables 1+2 (incl. studies with method deviations)</t>
        </is>
      </c>
      <c r="M207" s="7" t="inlineStr">
        <is>
          <t>median of 1 tested foods, range 63-63</t>
        </is>
      </c>
      <c r="N207" s="6" t="n">
        <v>63</v>
      </c>
      <c r="O207" s="7" t="inlineStr">
        <is>
          <t>Atkinson FS, Brand-Miller JC, Foster-Powell K, Buyken AE, Goletzke J. International tables of glycemic index and glycemic load values 2021. Am J Clin Nutr 2021;114(5):1625-32. doi:10.1093/ajcn/nqab233</t>
        </is>
      </c>
      <c r="P207" s="7" t="inlineStr">
        <is>
          <t>USDA FoodData Central (SR Legacy / Foundation Foods), fdc.nal.usda.gov</t>
        </is>
      </c>
      <c r="Q207" s="6" t="inlineStr">
        <is>
          <t>2026-09-26</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medium</t>
        </is>
      </c>
      <c r="L208" s="7" t="inlineStr">
        <is>
          <t>2021 International Tables, Suppl. Tables 1+2 (incl. studies with method deviations)</t>
        </is>
      </c>
      <c r="M208" s="7" t="inlineStr">
        <is>
          <t>median of 4 tested foods, range 46-53</t>
        </is>
      </c>
      <c r="N208" s="6" t="n">
        <v>46</v>
      </c>
      <c r="O208" s="7" t="inlineStr">
        <is>
          <t>Atkinson FS, Brand-Miller JC, Foster-Powell K, Buyken AE, Goletzke J. International tables of glycemic index and glycemic load values 2021. Am J Clin Nutr 2021;114(5):1625-32. doi:10.1093/ajcn/nqab233</t>
        </is>
      </c>
      <c r="P208" s="7" t="inlineStr">
        <is>
          <t>USDA FoodData Central (SR Legacy / Foundation Foods), fdc.nal.usda.gov</t>
        </is>
      </c>
      <c r="Q208" s="6" t="inlineStr">
        <is>
          <t>2026-09-26</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medium</t>
        </is>
      </c>
      <c r="L209" s="7" t="inlineStr">
        <is>
          <t>2021 International Tables, Suppl. Tables 1+2 (incl. studies with method deviations)</t>
        </is>
      </c>
      <c r="M209" s="7" t="inlineStr">
        <is>
          <t>median of 4 tested foods, range 46-64</t>
        </is>
      </c>
      <c r="N209" s="6" t="n">
        <v>50</v>
      </c>
      <c r="O209" s="7" t="inlineStr">
        <is>
          <t>Atkinson FS, Brand-Miller JC, Foster-Powell K, Buyken AE, Goletzke J. International tables of glycemic index and glycemic load values 2021. Am J Clin Nutr 2021;114(5):1625-32. doi:10.1093/ajcn/nqab233</t>
        </is>
      </c>
      <c r="P209" s="7" t="inlineStr">
        <is>
          <t>USDA FoodData Central (SR Legacy / Foundation Foods), fdc.nal.usda.gov</t>
        </is>
      </c>
      <c r="Q209" s="6" t="inlineStr">
        <is>
          <t>2026-09-26</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high</t>
        </is>
      </c>
      <c r="L210" s="7" t="inlineStr">
        <is>
          <t>2021 International Tables, Suppl. Table 1 (ISO 26642:2010-compliant studies)</t>
        </is>
      </c>
      <c r="M210" s="7" t="inlineStr">
        <is>
          <t>median of 3 tested foods, range 50-59</t>
        </is>
      </c>
      <c r="N210" s="6" t="n">
        <v>57</v>
      </c>
      <c r="O210" s="7" t="inlineStr">
        <is>
          <t>Atkinson FS, Brand-Miller JC, Foster-Powell K, Buyken AE, Goletzke J. International tables of glycemic index and glycemic load values 2021. Am J Clin Nutr 2021;114(5):1625-32. doi:10.1093/ajcn/nqab233</t>
        </is>
      </c>
      <c r="P210" s="7" t="inlineStr">
        <is>
          <t>USDA FoodData Central (SR Legacy / Foundation Foods), fdc.nal.usda.gov</t>
        </is>
      </c>
      <c r="Q210" s="6" t="inlineStr">
        <is>
          <t>2026-09-26</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high</t>
        </is>
      </c>
      <c r="L211" s="7" t="inlineStr">
        <is>
          <t>2021 International Tables, Suppl. Table 1 (ISO 26642:2010-compliant studies)</t>
        </is>
      </c>
      <c r="M211" s="7" t="inlineStr">
        <is>
          <t>median of 5 tested foods, range 48-57</t>
        </is>
      </c>
      <c r="N211" s="6" t="n">
        <v>52</v>
      </c>
      <c r="O211" s="7" t="inlineStr">
        <is>
          <t>Atkinson FS, Brand-Miller JC, Foster-Powell K, Buyken AE, Goletzke J. International tables of glycemic index and glycemic load values 2021. Am J Clin Nutr 2021;114(5):1625-32. doi:10.1093/ajcn/nqab233</t>
        </is>
      </c>
      <c r="P211" s="7" t="inlineStr">
        <is>
          <t>USDA FoodData Central (SR Legacy / Foundation Foods), fdc.nal.usda.gov</t>
        </is>
      </c>
      <c r="Q211" s="6" t="inlineStr">
        <is>
          <t>2026-09-26</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low</t>
        </is>
      </c>
      <c r="L212" s="7" t="inlineStr">
        <is>
          <t>Estimated from the closest tested food; no direct measurement found in the pooled sources</t>
        </is>
      </c>
      <c r="M212" s="7" t="inlineStr">
        <is>
          <t>no direct match</t>
        </is>
      </c>
      <c r="N212" s="6" t="n">
        <v>55</v>
      </c>
      <c r="O21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2" s="7" t="inlineStr">
        <is>
          <t>USDA FoodData Central (SR Legacy / Foundation Foods), fdc.nal.usda.gov</t>
        </is>
      </c>
      <c r="Q212" s="6" t="inlineStr">
        <is>
          <t>2026-09-26</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medium</t>
        </is>
      </c>
      <c r="L213" s="7" t="inlineStr">
        <is>
          <t>2021 International Tables, Suppl. Tables 1+2 (incl. studies with method deviations)</t>
        </is>
      </c>
      <c r="M213" s="7" t="inlineStr">
        <is>
          <t>median of 2 tested foods, range 51-60</t>
        </is>
      </c>
      <c r="N213" s="6" t="n">
        <v>56</v>
      </c>
      <c r="O213" s="7" t="inlineStr">
        <is>
          <t>Atkinson FS, Brand-Miller JC, Foster-Powell K, Buyken AE, Goletzke J. International tables of glycemic index and glycemic load values 2021. Am J Clin Nutr 2021;114(5):1625-32. doi:10.1093/ajcn/nqab233</t>
        </is>
      </c>
      <c r="P213" s="7" t="inlineStr">
        <is>
          <t>USDA FoodData Central (SR Legacy / Foundation Foods), fdc.nal.usda.gov</t>
        </is>
      </c>
      <c r="Q213" s="6" t="inlineStr">
        <is>
          <t>2026-09-26</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54</v>
      </c>
      <c r="K214" s="6" t="inlineStr">
        <is>
          <t>high</t>
        </is>
      </c>
      <c r="L214" s="7" t="inlineStr">
        <is>
          <t>2021 International Tables, Suppl. Table 1 (ISO 26642:2010-compliant studies)</t>
        </is>
      </c>
      <c r="M214" s="7" t="inlineStr">
        <is>
          <t>median of 2 tested foods, range 45-62</t>
        </is>
      </c>
      <c r="N214" s="6" t="n">
        <v>54</v>
      </c>
      <c r="O214" s="7" t="inlineStr">
        <is>
          <t>Atkinson FS, Brand-Miller JC, Foster-Powell K, Buyken AE, Goletzke J. International tables of glycemic index and glycemic load values 2021. Am J Clin Nutr 2021;114(5):1625-32. doi:10.1093/ajcn/nqab233</t>
        </is>
      </c>
      <c r="P214" s="7" t="inlineStr">
        <is>
          <t>USDA FoodData Central (SR Legacy / Foundation Foods), fdc.nal.usda.gov</t>
        </is>
      </c>
      <c r="Q214" s="6" t="inlineStr">
        <is>
          <t>2026-09-26</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low</t>
        </is>
      </c>
      <c r="L215" s="7" t="inlineStr">
        <is>
          <t>Estimated from the closest tested food; no direct measurement found in the pooled sources</t>
        </is>
      </c>
      <c r="M215" s="7" t="inlineStr">
        <is>
          <t>no direct match</t>
        </is>
      </c>
      <c r="N215" s="6" t="n">
        <v>30</v>
      </c>
      <c r="O21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5" s="7" t="inlineStr">
        <is>
          <t>USDA FoodData Central (SR Legacy / Foundation Foods), fdc.nal.usda.gov</t>
        </is>
      </c>
      <c r="Q215" s="6" t="inlineStr">
        <is>
          <t>2026-09-26</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medium</t>
        </is>
      </c>
      <c r="L216" s="7" t="inlineStr">
        <is>
          <t>University of Sydney online GI database</t>
        </is>
      </c>
      <c r="M216" s="7" t="inlineStr">
        <is>
          <t>median of 1 tested foods, range 22-22</t>
        </is>
      </c>
      <c r="N216" s="6" t="n">
        <v>22</v>
      </c>
      <c r="O216" s="7" t="inlineStr">
        <is>
          <t>University of Sydney GI database, glycemicindex.com/gi-search (accessed 2026-09-16)</t>
        </is>
      </c>
      <c r="P216" s="7" t="inlineStr">
        <is>
          <t>USDA FoodData Central (SR Legacy / Foundation Foods), fdc.nal.usda.gov</t>
        </is>
      </c>
      <c r="Q216" s="6" t="inlineStr">
        <is>
          <t>2026-09-26</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medium</t>
        </is>
      </c>
      <c r="L217" s="7" t="inlineStr">
        <is>
          <t>University of Sydney online GI database</t>
        </is>
      </c>
      <c r="M217" s="7" t="inlineStr">
        <is>
          <t>median of 1 tested foods, range 59-59</t>
        </is>
      </c>
      <c r="N217" s="6" t="n">
        <v>59</v>
      </c>
      <c r="O217" s="7" t="inlineStr">
        <is>
          <t>University of Sydney GI database, glycemicindex.com/gi-search (accessed 2026-09-16)</t>
        </is>
      </c>
      <c r="P217" s="7" t="inlineStr">
        <is>
          <t>USDA FoodData Central (SR Legacy / Foundation Foods), fdc.nal.usda.gov</t>
        </is>
      </c>
      <c r="Q217" s="6" t="inlineStr">
        <is>
          <t>2026-09-26</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high</t>
        </is>
      </c>
      <c r="L218" s="7" t="inlineStr">
        <is>
          <t>2021 International Tables, Suppl. Table 1 (ISO 26642:2010-compliant studies)</t>
        </is>
      </c>
      <c r="M218" s="7" t="inlineStr">
        <is>
          <t>median of 6 tested foods, range 59-88</t>
        </is>
      </c>
      <c r="N218" s="6" t="n">
        <v>67</v>
      </c>
      <c r="O218" s="7" t="inlineStr">
        <is>
          <t>Atkinson FS, Brand-Miller JC, Foster-Powell K, Buyken AE, Goletzke J. International tables of glycemic index and glycemic load values 2021. Am J Clin Nutr 2021;114(5):1625-32. doi:10.1093/ajcn/nqab233</t>
        </is>
      </c>
      <c r="P218" s="7" t="inlineStr">
        <is>
          <t>USDA FoodData Central (SR Legacy / Foundation Foods), fdc.nal.usda.gov</t>
        </is>
      </c>
      <c r="Q218" s="6" t="inlineStr">
        <is>
          <t>2026-09-26</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62</v>
      </c>
      <c r="K219" s="6" t="inlineStr">
        <is>
          <t>high</t>
        </is>
      </c>
      <c r="L219" s="7" t="inlineStr">
        <is>
          <t>2021 International Tables, Suppl. Table 1 (ISO 26642:2010-compliant studies)</t>
        </is>
      </c>
      <c r="M219" s="7" t="inlineStr">
        <is>
          <t>median of 4 tested foods, range 55-67</t>
        </is>
      </c>
      <c r="N219" s="6" t="n">
        <v>62</v>
      </c>
      <c r="O219" s="7" t="inlineStr">
        <is>
          <t>Atkinson FS, Brand-Miller JC, Foster-Powell K, Buyken AE, Goletzke J. International tables of glycemic index and glycemic load values 2021. Am J Clin Nutr 2021;114(5):1625-32. doi:10.1093/ajcn/nqab233</t>
        </is>
      </c>
      <c r="P219" s="7" t="inlineStr">
        <is>
          <t>USDA FoodData Central (SR Legacy / Foundation Foods), fdc.nal.usda.gov</t>
        </is>
      </c>
      <c r="Q219" s="6" t="inlineStr">
        <is>
          <t>2026-09-26</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medium</t>
        </is>
      </c>
      <c r="L220" s="7" t="inlineStr">
        <is>
          <t>2021 International Tables, Suppl. Tables 1+2 (incl. studies with method deviations)</t>
        </is>
      </c>
      <c r="M220" s="7" t="inlineStr">
        <is>
          <t>median of 9 tested foods, range 41-65</t>
        </is>
      </c>
      <c r="N220" s="6" t="n">
        <v>52</v>
      </c>
      <c r="O220" s="7" t="inlineStr">
        <is>
          <t>Atkinson FS, Brand-Miller JC, Foster-Powell K, Buyken AE, Goletzke J. International tables of glycemic index and glycemic load values 2021. Am J Clin Nutr 2021;114(5):1625-32. doi:10.1093/ajcn/nqab233</t>
        </is>
      </c>
      <c r="P220" s="7" t="inlineStr">
        <is>
          <t>USDA FoodData Central (SR Legacy / Foundation Foods), fdc.nal.usda.gov</t>
        </is>
      </c>
      <c r="Q220" s="6" t="inlineStr">
        <is>
          <t>2026-09-26</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low</t>
        </is>
      </c>
      <c r="L221" s="7" t="inlineStr">
        <is>
          <t>Estimated from the closest tested food; no direct measurement found in the pooled sources</t>
        </is>
      </c>
      <c r="M221" s="7" t="inlineStr">
        <is>
          <t>no direct match</t>
        </is>
      </c>
      <c r="N221" s="6" t="n">
        <v>30</v>
      </c>
      <c r="O22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1" s="7" t="inlineStr">
        <is>
          <t>USDA FoodData Central (SR Legacy / Foundation Foods), fdc.nal.usda.gov</t>
        </is>
      </c>
      <c r="Q221" s="6" t="inlineStr">
        <is>
          <t>2026-09-26</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medium</t>
        </is>
      </c>
      <c r="L222" s="7" t="inlineStr">
        <is>
          <t>2021 International Tables, Suppl. Tables 1+2 (incl. studies with method deviations)</t>
        </is>
      </c>
      <c r="M222" s="7" t="inlineStr">
        <is>
          <t>median of 3 tested foods, range 52-60</t>
        </is>
      </c>
      <c r="N222" s="6" t="n">
        <v>54</v>
      </c>
      <c r="O222" s="7" t="inlineStr">
        <is>
          <t>Atkinson FS, Brand-Miller JC, Foster-Powell K, Buyken AE, Goletzke J. International tables of glycemic index and glycemic load values 2021. Am J Clin Nutr 2021;114(5):1625-32. doi:10.1093/ajcn/nqab233</t>
        </is>
      </c>
      <c r="P222" s="7" t="inlineStr">
        <is>
          <t>USDA FoodData Central (SR Legacy / Foundation Foods), fdc.nal.usda.gov</t>
        </is>
      </c>
      <c r="Q222" s="6" t="inlineStr">
        <is>
          <t>2026-09-26</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medium</t>
        </is>
      </c>
      <c r="L223" s="7" t="inlineStr">
        <is>
          <t>2021 International Tables, Suppl. Tables 1+2 (incl. studies with method deviations)</t>
        </is>
      </c>
      <c r="M223" s="7" t="inlineStr">
        <is>
          <t>median of 1 tested foods, range 56-56</t>
        </is>
      </c>
      <c r="N223" s="6" t="n">
        <v>56</v>
      </c>
      <c r="O223" s="7" t="inlineStr">
        <is>
          <t>Atkinson FS, Brand-Miller JC, Foster-Powell K, Buyken AE, Goletzke J. International tables of glycemic index and glycemic load values 2021. Am J Clin Nutr 2021;114(5):1625-32. doi:10.1093/ajcn/nqab233</t>
        </is>
      </c>
      <c r="P223" s="7" t="inlineStr">
        <is>
          <t>USDA FoodData Central (SR Legacy / Foundation Foods), fdc.nal.usda.gov</t>
        </is>
      </c>
      <c r="Q223" s="6" t="inlineStr">
        <is>
          <t>2026-09-26</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45</v>
      </c>
      <c r="K224" s="6" t="inlineStr">
        <is>
          <t>medium</t>
        </is>
      </c>
      <c r="L224" s="7" t="inlineStr">
        <is>
          <t>2021 International Tables, Suppl. Tables 1+2 (incl. studies with method deviations)</t>
        </is>
      </c>
      <c r="M224" s="7" t="inlineStr">
        <is>
          <t>median of 1 tested foods, range 45-45</t>
        </is>
      </c>
      <c r="N224" s="6" t="n">
        <v>45</v>
      </c>
      <c r="O224" s="7" t="inlineStr">
        <is>
          <t>Atkinson FS, Brand-Miller JC, Foster-Powell K, Buyken AE, Goletzke J. International tables of glycemic index and glycemic load values 2021. Am J Clin Nutr 2021;114(5):1625-32. doi:10.1093/ajcn/nqab233</t>
        </is>
      </c>
      <c r="P224" s="7" t="inlineStr">
        <is>
          <t>USDA FoodData Central (SR Legacy / Foundation Foods), fdc.nal.usda.gov</t>
        </is>
      </c>
      <c r="Q224" s="6" t="inlineStr">
        <is>
          <t>2026-09-26</t>
        </is>
      </c>
    </row>
    <row r="225">
      <c r="A225" s="6" t="inlineStr">
        <is>
          <t>whole_grain_crackers</t>
        </is>
      </c>
      <c r="B225" s="6" t="inlineStr">
        <is>
          <t>Whole grain seed crackers</t>
        </is>
      </c>
      <c r="C225" s="6" t="inlineStr">
        <is>
          <t>grain</t>
        </is>
      </c>
      <c r="D225" s="6" t="n">
        <v>420</v>
      </c>
      <c r="E225" s="6" t="n">
        <v>10</v>
      </c>
      <c r="F225" s="6" t="n">
        <v>14</v>
      </c>
      <c r="G225" s="6" t="n">
        <v>66</v>
      </c>
      <c r="H225" s="6" t="n">
        <v>10</v>
      </c>
      <c r="I225" s="6" t="n">
        <v>56</v>
      </c>
      <c r="J225" s="6" t="n">
        <v>55</v>
      </c>
      <c r="K225" s="6" t="inlineStr">
        <is>
          <t>high</t>
        </is>
      </c>
      <c r="L225" s="7" t="inlineStr">
        <is>
          <t>2021 International Tables, Suppl. Table 1 (ISO 26642:2010-compliant studies)</t>
        </is>
      </c>
      <c r="M225" s="7" t="inlineStr">
        <is>
          <t>median of 2 tested foods, range 53-53</t>
        </is>
      </c>
      <c r="N225" s="6" t="n">
        <v>53</v>
      </c>
      <c r="O225" s="7" t="inlineStr">
        <is>
          <t>Atkinson FS, Brand-Miller JC, Foster-Powell K, Buyken AE, Goletzke J. International tables of glycemic index and glycemic load values 2021. Am J Clin Nutr 2021;114(5):1625-32. doi:10.1093/ajcn/nqab233</t>
        </is>
      </c>
      <c r="P225" s="7" t="inlineStr">
        <is>
          <t>USDA FoodData Central (SR Legacy / Foundation Foods), fdc.nal.usda.gov</t>
        </is>
      </c>
      <c r="Q225" s="6" t="inlineStr">
        <is>
          <t>2026-09-26</t>
        </is>
      </c>
    </row>
    <row r="226">
      <c r="A226" s="6" t="inlineStr">
        <is>
          <t>popcorn</t>
        </is>
      </c>
      <c r="B226" s="6" t="inlineStr">
        <is>
          <t>Popcorn, air-popped</t>
        </is>
      </c>
      <c r="C226" s="6" t="inlineStr">
        <is>
          <t>grain</t>
        </is>
      </c>
      <c r="D226" s="6" t="n">
        <v>387</v>
      </c>
      <c r="E226" s="6" t="n">
        <v>13</v>
      </c>
      <c r="F226" s="6" t="n">
        <v>4.5</v>
      </c>
      <c r="G226" s="6" t="n">
        <v>78</v>
      </c>
      <c r="H226" s="6" t="n">
        <v>14.5</v>
      </c>
      <c r="I226" s="6" t="n">
        <v>63.5</v>
      </c>
      <c r="J226" s="6" t="n">
        <v>70</v>
      </c>
      <c r="K226" s="6" t="inlineStr">
        <is>
          <t>medium</t>
        </is>
      </c>
      <c r="L226" s="7" t="inlineStr">
        <is>
          <t>2021 International Tables, Suppl. Tables 1+2 (incl. studies with method deviations)</t>
        </is>
      </c>
      <c r="M226" s="7" t="inlineStr">
        <is>
          <t>median of 3 tested foods, range 55-89</t>
        </is>
      </c>
      <c r="N226" s="6" t="n">
        <v>70</v>
      </c>
      <c r="O226" s="7" t="inlineStr">
        <is>
          <t>Atkinson FS, Brand-Miller JC, Foster-Powell K, Buyken AE, Goletzke J. International tables of glycemic index and glycemic load values 2021. Am J Clin Nutr 2021;114(5):1625-32. doi:10.1093/ajcn/nqab233</t>
        </is>
      </c>
      <c r="P226" s="7" t="inlineStr">
        <is>
          <t>USDA FoodData Central (SR Legacy / Foundation Foods), fdc.nal.usda.gov</t>
        </is>
      </c>
      <c r="Q226" s="6" t="inlineStr">
        <is>
          <t>2026-09-26</t>
        </is>
      </c>
    </row>
    <row r="227">
      <c r="A227" s="6" t="inlineStr">
        <is>
          <t>almond_flour</t>
        </is>
      </c>
      <c r="B227" s="6" t="inlineStr">
        <is>
          <t>Almond flour</t>
        </is>
      </c>
      <c r="C227" s="6" t="inlineStr">
        <is>
          <t>nut</t>
        </is>
      </c>
      <c r="D227" s="6" t="n">
        <v>590</v>
      </c>
      <c r="E227" s="6" t="n">
        <v>21</v>
      </c>
      <c r="F227" s="6" t="n">
        <v>50</v>
      </c>
      <c r="G227" s="6" t="n">
        <v>21</v>
      </c>
      <c r="H227" s="6" t="n">
        <v>12</v>
      </c>
      <c r="I227" s="6" t="n">
        <v>9</v>
      </c>
      <c r="J227" s="6" t="n">
        <v>15</v>
      </c>
      <c r="K227" s="6" t="inlineStr">
        <is>
          <t>none (placeholder)</t>
        </is>
      </c>
      <c r="L227" s="7" t="inlineStr">
        <is>
          <t>Conventional placeholder for foods with too little carbohydrate to test (non-starchy vegetables, nuts, seeds, herbs); no published measurement exists</t>
        </is>
      </c>
      <c r="M227" s="7" t="inlineStr">
        <is>
          <t>not measurable</t>
        </is>
      </c>
      <c r="N227" s="6" t="n">
        <v>15</v>
      </c>
      <c r="O227" s="7" t="inlineStr">
        <is>
          <t>clinical convention</t>
        </is>
      </c>
      <c r="P227" s="7" t="inlineStr">
        <is>
          <t>USDA FoodData Central (SR Legacy / Foundation Foods), fdc.nal.usda.gov</t>
        </is>
      </c>
      <c r="Q227" s="6" t="inlineStr">
        <is>
          <t>2026-09-26</t>
        </is>
      </c>
    </row>
    <row r="228">
      <c r="A228" s="6" t="inlineStr">
        <is>
          <t>coconut_flour</t>
        </is>
      </c>
      <c r="B228" s="6" t="inlineStr">
        <is>
          <t>Coconut flour</t>
        </is>
      </c>
      <c r="C228" s="6" t="inlineStr">
        <is>
          <t>nut</t>
        </is>
      </c>
      <c r="D228" s="6" t="n">
        <v>400</v>
      </c>
      <c r="E228" s="6" t="n">
        <v>18</v>
      </c>
      <c r="F228" s="6" t="n">
        <v>13</v>
      </c>
      <c r="G228" s="6" t="n">
        <v>60</v>
      </c>
      <c r="H228" s="6" t="n">
        <v>38</v>
      </c>
      <c r="I228" s="6" t="n">
        <v>22</v>
      </c>
      <c r="J228" s="6" t="n">
        <v>45</v>
      </c>
      <c r="K228" s="6" t="inlineStr">
        <is>
          <t>low</t>
        </is>
      </c>
      <c r="L228" s="7" t="inlineStr">
        <is>
          <t>Estimated from the closest tested food; no direct measurement found in the pooled sources</t>
        </is>
      </c>
      <c r="M228" s="7" t="inlineStr">
        <is>
          <t>no direct match</t>
        </is>
      </c>
      <c r="N228" s="6" t="n">
        <v>45</v>
      </c>
      <c r="O22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8" s="7" t="inlineStr">
        <is>
          <t>USDA FoodData Central (SR Legacy / Foundation Foods), fdc.nal.usda.gov</t>
        </is>
      </c>
      <c r="Q228" s="6" t="inlineStr">
        <is>
          <t>2026-09-26</t>
        </is>
      </c>
    </row>
    <row r="229">
      <c r="A229" s="6" t="inlineStr">
        <is>
          <t>arrowroot</t>
        </is>
      </c>
      <c r="B229" s="6" t="inlineStr">
        <is>
          <t>Arrowroot starch</t>
        </is>
      </c>
      <c r="C229" s="6" t="inlineStr">
        <is>
          <t>grain</t>
        </is>
      </c>
      <c r="D229" s="6" t="n">
        <v>357</v>
      </c>
      <c r="E229" s="6" t="n">
        <v>0.3</v>
      </c>
      <c r="F229" s="6" t="n">
        <v>0.1</v>
      </c>
      <c r="G229" s="6" t="n">
        <v>88</v>
      </c>
      <c r="H229" s="6" t="n">
        <v>3.4</v>
      </c>
      <c r="I229" s="6" t="n">
        <v>84.59999999999999</v>
      </c>
      <c r="J229" s="6" t="n">
        <v>65</v>
      </c>
      <c r="K229" s="6" t="inlineStr">
        <is>
          <t>medium</t>
        </is>
      </c>
      <c r="L229" s="7" t="inlineStr">
        <is>
          <t>2021 International Tables, Suppl. Tables 1+2 (incl. studies with method deviations)</t>
        </is>
      </c>
      <c r="M229" s="7" t="inlineStr">
        <is>
          <t>median of 2 tested foods, range 62-64</t>
        </is>
      </c>
      <c r="N229" s="6" t="n">
        <v>63</v>
      </c>
      <c r="O229" s="7" t="inlineStr">
        <is>
          <t>Atkinson FS, Brand-Miller JC, Foster-Powell K, Buyken AE, Goletzke J. International tables of glycemic index and glycemic load values 2021. Am J Clin Nutr 2021;114(5):1625-32. doi:10.1093/ajcn/nqab233</t>
        </is>
      </c>
      <c r="P229" s="7" t="inlineStr">
        <is>
          <t>USDA FoodData Central (SR Legacy / Foundation Foods), fdc.nal.usda.gov</t>
        </is>
      </c>
      <c r="Q229" s="6" t="inlineStr">
        <is>
          <t>2026-09-26</t>
        </is>
      </c>
    </row>
    <row r="230">
      <c r="A230" s="6" t="inlineStr">
        <is>
          <t>psyllium</t>
        </is>
      </c>
      <c r="B230" s="6" t="inlineStr">
        <is>
          <t>Psyllium husk</t>
        </is>
      </c>
      <c r="C230" s="6" t="inlineStr">
        <is>
          <t>grain</t>
        </is>
      </c>
      <c r="D230" s="6" t="n">
        <v>42</v>
      </c>
      <c r="E230" s="6" t="n">
        <v>1.5</v>
      </c>
      <c r="F230" s="6" t="n">
        <v>0</v>
      </c>
      <c r="G230" s="6" t="n">
        <v>90</v>
      </c>
      <c r="H230" s="6" t="n">
        <v>88</v>
      </c>
      <c r="I230" s="6" t="n">
        <v>2</v>
      </c>
      <c r="J230" s="6" t="n">
        <v>0</v>
      </c>
      <c r="K230" s="6" t="inlineStr">
        <is>
          <t>low</t>
        </is>
      </c>
      <c r="L230" s="7" t="inlineStr">
        <is>
          <t>Estimated from the closest tested food; no direct measurement found in the pooled sources</t>
        </is>
      </c>
      <c r="M230" s="7" t="inlineStr">
        <is>
          <t>no direct match</t>
        </is>
      </c>
      <c r="N230" s="6" t="inlineStr"/>
      <c r="O23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30" s="7" t="inlineStr">
        <is>
          <t>USDA FoodData Central (SR Legacy / Foundation Foods), fdc.nal.usda.gov</t>
        </is>
      </c>
      <c r="Q230" s="6" t="inlineStr">
        <is>
          <t>2026-09-26</t>
        </is>
      </c>
    </row>
    <row r="231">
      <c r="A231" s="6" t="inlineStr">
        <is>
          <t>almonds</t>
        </is>
      </c>
      <c r="B231" s="6" t="inlineStr">
        <is>
          <t>Almonds</t>
        </is>
      </c>
      <c r="C231" s="6" t="inlineStr">
        <is>
          <t>nut</t>
        </is>
      </c>
      <c r="D231" s="6" t="n">
        <v>579</v>
      </c>
      <c r="E231" s="6" t="n">
        <v>21</v>
      </c>
      <c r="F231" s="6" t="n">
        <v>50</v>
      </c>
      <c r="G231" s="6" t="n">
        <v>22</v>
      </c>
      <c r="H231" s="6" t="n">
        <v>12.5</v>
      </c>
      <c r="I231" s="6" t="n">
        <v>9.5</v>
      </c>
      <c r="J231" s="6" t="n">
        <v>15</v>
      </c>
      <c r="K231" s="6" t="inlineStr">
        <is>
          <t>none (placeholder)</t>
        </is>
      </c>
      <c r="L231" s="7" t="inlineStr">
        <is>
          <t>Conventional placeholder for foods with too little carbohydrate to test (non-starchy vegetables, nuts, seeds, herbs); no published measurement exists</t>
        </is>
      </c>
      <c r="M231" s="7" t="inlineStr">
        <is>
          <t>not measurable</t>
        </is>
      </c>
      <c r="N231" s="6" t="n">
        <v>15</v>
      </c>
      <c r="O231" s="7" t="inlineStr">
        <is>
          <t>clinical convention</t>
        </is>
      </c>
      <c r="P231" s="7" t="inlineStr">
        <is>
          <t>USDA FoodData Central (SR Legacy / Foundation Foods), fdc.nal.usda.gov</t>
        </is>
      </c>
      <c r="Q231" s="6" t="inlineStr">
        <is>
          <t>2026-09-26</t>
        </is>
      </c>
    </row>
    <row r="232">
      <c r="A232" s="6" t="inlineStr">
        <is>
          <t>walnuts</t>
        </is>
      </c>
      <c r="B232" s="6" t="inlineStr">
        <is>
          <t>Walnuts</t>
        </is>
      </c>
      <c r="C232" s="6" t="inlineStr">
        <is>
          <t>nut</t>
        </is>
      </c>
      <c r="D232" s="6" t="n">
        <v>654</v>
      </c>
      <c r="E232" s="6" t="n">
        <v>15</v>
      </c>
      <c r="F232" s="6" t="n">
        <v>65</v>
      </c>
      <c r="G232" s="6" t="n">
        <v>14</v>
      </c>
      <c r="H232" s="6" t="n">
        <v>6.7</v>
      </c>
      <c r="I232" s="6" t="n">
        <v>7.3</v>
      </c>
      <c r="J232" s="6" t="n">
        <v>15</v>
      </c>
      <c r="K232" s="6" t="inlineStr">
        <is>
          <t>none (placeholder)</t>
        </is>
      </c>
      <c r="L232" s="7" t="inlineStr">
        <is>
          <t>Conventional placeholder for foods with too little carbohydrate to test (non-starchy vegetables, nuts, seeds, herbs); no published measurement exists</t>
        </is>
      </c>
      <c r="M232" s="7" t="inlineStr">
        <is>
          <t>not measurable</t>
        </is>
      </c>
      <c r="N232" s="6" t="n">
        <v>15</v>
      </c>
      <c r="O232" s="7" t="inlineStr">
        <is>
          <t>clinical convention</t>
        </is>
      </c>
      <c r="P232" s="7" t="inlineStr">
        <is>
          <t>USDA FoodData Central (SR Legacy / Foundation Foods), fdc.nal.usda.gov</t>
        </is>
      </c>
      <c r="Q232" s="6" t="inlineStr">
        <is>
          <t>2026-09-26</t>
        </is>
      </c>
    </row>
    <row r="233">
      <c r="A233" s="6" t="inlineStr">
        <is>
          <t>pecans</t>
        </is>
      </c>
      <c r="B233" s="6" t="inlineStr">
        <is>
          <t>Pecans</t>
        </is>
      </c>
      <c r="C233" s="6" t="inlineStr">
        <is>
          <t>nut</t>
        </is>
      </c>
      <c r="D233" s="6" t="n">
        <v>691</v>
      </c>
      <c r="E233" s="6" t="n">
        <v>9</v>
      </c>
      <c r="F233" s="6" t="n">
        <v>72</v>
      </c>
      <c r="G233" s="6" t="n">
        <v>14</v>
      </c>
      <c r="H233" s="6" t="n">
        <v>9.6</v>
      </c>
      <c r="I233" s="6" t="n">
        <v>4.4</v>
      </c>
      <c r="J233" s="6" t="n">
        <v>15</v>
      </c>
      <c r="K233" s="6" t="inlineStr">
        <is>
          <t>none (placeholder)</t>
        </is>
      </c>
      <c r="L233" s="7" t="inlineStr">
        <is>
          <t>Conventional placeholder for foods with too little carbohydrate to test (non-starchy vegetables, nuts, seeds, herbs); no published measurement exists</t>
        </is>
      </c>
      <c r="M233" s="7" t="inlineStr">
        <is>
          <t>not measurable</t>
        </is>
      </c>
      <c r="N233" s="6" t="inlineStr"/>
      <c r="O233" s="7" t="inlineStr">
        <is>
          <t>clinical convention</t>
        </is>
      </c>
      <c r="P233" s="7" t="inlineStr">
        <is>
          <t>USDA FoodData Central (SR Legacy / Foundation Foods), fdc.nal.usda.gov</t>
        </is>
      </c>
      <c r="Q233" s="6" t="inlineStr">
        <is>
          <t>2026-09-26</t>
        </is>
      </c>
    </row>
    <row r="234">
      <c r="A234" s="6" t="inlineStr">
        <is>
          <t>pistachios</t>
        </is>
      </c>
      <c r="B234" s="6" t="inlineStr">
        <is>
          <t>Pistachios, shelled</t>
        </is>
      </c>
      <c r="C234" s="6" t="inlineStr">
        <is>
          <t>nut</t>
        </is>
      </c>
      <c r="D234" s="6" t="n">
        <v>560</v>
      </c>
      <c r="E234" s="6" t="n">
        <v>20</v>
      </c>
      <c r="F234" s="6" t="n">
        <v>45</v>
      </c>
      <c r="G234" s="6" t="n">
        <v>28</v>
      </c>
      <c r="H234" s="6" t="n">
        <v>10.6</v>
      </c>
      <c r="I234" s="6" t="n">
        <v>17.4</v>
      </c>
      <c r="J234" s="6" t="n">
        <v>28</v>
      </c>
      <c r="K234" s="6" t="inlineStr">
        <is>
          <t>medium</t>
        </is>
      </c>
      <c r="L234" s="7" t="inlineStr">
        <is>
          <t>2021 International Tables, Suppl. Tables 1+2 (incl. studies with method deviations)</t>
        </is>
      </c>
      <c r="M234" s="7" t="inlineStr">
        <is>
          <t>median of 1 tested foods, range 28-28</t>
        </is>
      </c>
      <c r="N234" s="6" t="n">
        <v>28</v>
      </c>
      <c r="O234" s="7" t="inlineStr">
        <is>
          <t>Atkinson FS, Brand-Miller JC, Foster-Powell K, Buyken AE, Goletzke J. International tables of glycemic index and glycemic load values 2021. Am J Clin Nutr 2021;114(5):1625-32. doi:10.1093/ajcn/nqab233</t>
        </is>
      </c>
      <c r="P234" s="7" t="inlineStr">
        <is>
          <t>USDA FoodData Central (SR Legacy / Foundation Foods), fdc.nal.usda.gov</t>
        </is>
      </c>
      <c r="Q234" s="6" t="inlineStr">
        <is>
          <t>2026-09-26</t>
        </is>
      </c>
    </row>
    <row r="235">
      <c r="A235" s="6" t="inlineStr">
        <is>
          <t>cashews</t>
        </is>
      </c>
      <c r="B235" s="6" t="inlineStr">
        <is>
          <t>Cashews</t>
        </is>
      </c>
      <c r="C235" s="6" t="inlineStr">
        <is>
          <t>nut</t>
        </is>
      </c>
      <c r="D235" s="6" t="n">
        <v>553</v>
      </c>
      <c r="E235" s="6" t="n">
        <v>18</v>
      </c>
      <c r="F235" s="6" t="n">
        <v>44</v>
      </c>
      <c r="G235" s="6" t="n">
        <v>30</v>
      </c>
      <c r="H235" s="6" t="n">
        <v>3.3</v>
      </c>
      <c r="I235" s="6" t="n">
        <v>26.7</v>
      </c>
      <c r="J235" s="6" t="n">
        <v>27</v>
      </c>
      <c r="K235" s="6" t="inlineStr">
        <is>
          <t>medium</t>
        </is>
      </c>
      <c r="L235" s="7" t="inlineStr">
        <is>
          <t>2021 International Tables, Suppl. Tables 1+2 (incl. studies with method deviations)</t>
        </is>
      </c>
      <c r="M235" s="7" t="inlineStr">
        <is>
          <t>median of 1 tested foods, range 27-27</t>
        </is>
      </c>
      <c r="N235" s="6" t="n">
        <v>27</v>
      </c>
      <c r="O235" s="7" t="inlineStr">
        <is>
          <t>Atkinson FS, Brand-Miller JC, Foster-Powell K, Buyken AE, Goletzke J. International tables of glycemic index and glycemic load values 2021. Am J Clin Nutr 2021;114(5):1625-32. doi:10.1093/ajcn/nqab233</t>
        </is>
      </c>
      <c r="P235" s="7" t="inlineStr">
        <is>
          <t>USDA FoodData Central (SR Legacy / Foundation Foods), fdc.nal.usda.gov</t>
        </is>
      </c>
      <c r="Q235" s="6" t="inlineStr">
        <is>
          <t>2026-09-26</t>
        </is>
      </c>
    </row>
    <row r="236">
      <c r="A236" s="6" t="inlineStr">
        <is>
          <t>peanuts</t>
        </is>
      </c>
      <c r="B236" s="6" t="inlineStr">
        <is>
          <t>Peanuts, dry roasted</t>
        </is>
      </c>
      <c r="C236" s="6" t="inlineStr">
        <is>
          <t>nut</t>
        </is>
      </c>
      <c r="D236" s="6" t="n">
        <v>567</v>
      </c>
      <c r="E236" s="6" t="n">
        <v>26</v>
      </c>
      <c r="F236" s="6" t="n">
        <v>49</v>
      </c>
      <c r="G236" s="6" t="n">
        <v>16</v>
      </c>
      <c r="H236" s="6" t="n">
        <v>8.5</v>
      </c>
      <c r="I236" s="6" t="n">
        <v>7.5</v>
      </c>
      <c r="J236" s="6" t="n">
        <v>14</v>
      </c>
      <c r="K236" s="6" t="inlineStr">
        <is>
          <t>medium</t>
        </is>
      </c>
      <c r="L236" s="7" t="inlineStr">
        <is>
          <t>2021 International Tables, Suppl. Tables 1+2 (incl. studies with method deviations)</t>
        </is>
      </c>
      <c r="M236" s="7" t="inlineStr">
        <is>
          <t>median of 6 tested foods, range 5-30</t>
        </is>
      </c>
      <c r="N236" s="6" t="n">
        <v>18</v>
      </c>
      <c r="O236" s="7" t="inlineStr">
        <is>
          <t>Atkinson FS, Brand-Miller JC, Foster-Powell K, Buyken AE, Goletzke J. International tables of glycemic index and glycemic load values 2021. Am J Clin Nutr 2021;114(5):1625-32. doi:10.1093/ajcn/nqab233</t>
        </is>
      </c>
      <c r="P236" s="7" t="inlineStr">
        <is>
          <t>USDA FoodData Central (SR Legacy / Foundation Foods), fdc.nal.usda.gov</t>
        </is>
      </c>
      <c r="Q236" s="6" t="inlineStr">
        <is>
          <t>2026-09-26</t>
        </is>
      </c>
    </row>
    <row r="237">
      <c r="A237" s="6" t="inlineStr">
        <is>
          <t>macadamia</t>
        </is>
      </c>
      <c r="B237" s="6" t="inlineStr">
        <is>
          <t>Macadamia nuts</t>
        </is>
      </c>
      <c r="C237" s="6" t="inlineStr">
        <is>
          <t>nut</t>
        </is>
      </c>
      <c r="D237" s="6" t="n">
        <v>718</v>
      </c>
      <c r="E237" s="6" t="n">
        <v>8</v>
      </c>
      <c r="F237" s="6" t="n">
        <v>76</v>
      </c>
      <c r="G237" s="6" t="n">
        <v>14</v>
      </c>
      <c r="H237" s="6" t="n">
        <v>8.6</v>
      </c>
      <c r="I237" s="6" t="n">
        <v>5.4</v>
      </c>
      <c r="J237" s="6" t="n">
        <v>15</v>
      </c>
      <c r="K237" s="6" t="inlineStr">
        <is>
          <t>none (placeholder)</t>
        </is>
      </c>
      <c r="L237" s="7" t="inlineStr">
        <is>
          <t>Conventional placeholder for foods with too little carbohydrate to test (non-starchy vegetables, nuts, seeds, herbs); no published measurement exists</t>
        </is>
      </c>
      <c r="M237" s="7" t="inlineStr">
        <is>
          <t>not measurable</t>
        </is>
      </c>
      <c r="N237" s="6" t="inlineStr"/>
      <c r="O237" s="7" t="inlineStr">
        <is>
          <t>clinical convention</t>
        </is>
      </c>
      <c r="P237" s="7" t="inlineStr">
        <is>
          <t>USDA FoodData Central (SR Legacy / Foundation Foods), fdc.nal.usda.gov</t>
        </is>
      </c>
      <c r="Q237" s="6" t="inlineStr">
        <is>
          <t>2026-09-26</t>
        </is>
      </c>
    </row>
    <row r="238">
      <c r="A238" s="6" t="inlineStr">
        <is>
          <t>hazelnuts</t>
        </is>
      </c>
      <c r="B238" s="6" t="inlineStr">
        <is>
          <t>Hazelnuts</t>
        </is>
      </c>
      <c r="C238" s="6" t="inlineStr">
        <is>
          <t>nut</t>
        </is>
      </c>
      <c r="D238" s="6" t="n">
        <v>628</v>
      </c>
      <c r="E238" s="6" t="n">
        <v>15</v>
      </c>
      <c r="F238" s="6" t="n">
        <v>61</v>
      </c>
      <c r="G238" s="6" t="n">
        <v>17</v>
      </c>
      <c r="H238" s="6" t="n">
        <v>9.699999999999999</v>
      </c>
      <c r="I238" s="6" t="n">
        <v>7.3</v>
      </c>
      <c r="J238" s="6" t="n">
        <v>15</v>
      </c>
      <c r="K238" s="6" t="inlineStr">
        <is>
          <t>none (placeholder)</t>
        </is>
      </c>
      <c r="L238" s="7" t="inlineStr">
        <is>
          <t>Conventional placeholder for foods with too little carbohydrate to test (non-starchy vegetables, nuts, seeds, herbs); no published measurement exists</t>
        </is>
      </c>
      <c r="M238" s="7" t="inlineStr">
        <is>
          <t>not measurable</t>
        </is>
      </c>
      <c r="N238" s="6" t="inlineStr"/>
      <c r="O238" s="7" t="inlineStr">
        <is>
          <t>clinical convention</t>
        </is>
      </c>
      <c r="P238" s="7" t="inlineStr">
        <is>
          <t>USDA FoodData Central (SR Legacy / Foundation Foods), fdc.nal.usda.gov</t>
        </is>
      </c>
      <c r="Q238" s="6" t="inlineStr">
        <is>
          <t>2026-09-26</t>
        </is>
      </c>
    </row>
    <row r="239">
      <c r="A239" s="6" t="inlineStr">
        <is>
          <t>pine_nuts</t>
        </is>
      </c>
      <c r="B239" s="6" t="inlineStr">
        <is>
          <t>Pine nuts</t>
        </is>
      </c>
      <c r="C239" s="6" t="inlineStr">
        <is>
          <t>nut</t>
        </is>
      </c>
      <c r="D239" s="6" t="n">
        <v>673</v>
      </c>
      <c r="E239" s="6" t="n">
        <v>14</v>
      </c>
      <c r="F239" s="6" t="n">
        <v>68</v>
      </c>
      <c r="G239" s="6" t="n">
        <v>13</v>
      </c>
      <c r="H239" s="6" t="n">
        <v>3.7</v>
      </c>
      <c r="I239" s="6" t="n">
        <v>9.300000000000001</v>
      </c>
      <c r="J239" s="6" t="n">
        <v>15</v>
      </c>
      <c r="K239" s="6" t="inlineStr">
        <is>
          <t>none (placeholder)</t>
        </is>
      </c>
      <c r="L239" s="7" t="inlineStr">
        <is>
          <t>Conventional placeholder for foods with too little carbohydrate to test (non-starchy vegetables, nuts, seeds, herbs); no published measurement exists</t>
        </is>
      </c>
      <c r="M239" s="7" t="inlineStr">
        <is>
          <t>not measurable</t>
        </is>
      </c>
      <c r="N239" s="6" t="inlineStr"/>
      <c r="O239" s="7" t="inlineStr">
        <is>
          <t>clinical convention</t>
        </is>
      </c>
      <c r="P239" s="7" t="inlineStr">
        <is>
          <t>USDA FoodData Central (SR Legacy / Foundation Foods), fdc.nal.usda.gov</t>
        </is>
      </c>
      <c r="Q239" s="6" t="inlineStr">
        <is>
          <t>2026-09-26</t>
        </is>
      </c>
    </row>
    <row r="240">
      <c r="A240" s="6" t="inlineStr">
        <is>
          <t>peanut_butter</t>
        </is>
      </c>
      <c r="B240" s="6" t="inlineStr">
        <is>
          <t>Peanut butter, natural</t>
        </is>
      </c>
      <c r="C240" s="6" t="inlineStr">
        <is>
          <t>nut</t>
        </is>
      </c>
      <c r="D240" s="6" t="n">
        <v>588</v>
      </c>
      <c r="E240" s="6" t="n">
        <v>25</v>
      </c>
      <c r="F240" s="6" t="n">
        <v>50</v>
      </c>
      <c r="G240" s="6" t="n">
        <v>20</v>
      </c>
      <c r="H240" s="6" t="n">
        <v>6</v>
      </c>
      <c r="I240" s="6" t="n">
        <v>14</v>
      </c>
      <c r="J240" s="6" t="n">
        <v>14</v>
      </c>
      <c r="K240" s="6" t="inlineStr">
        <is>
          <t>low</t>
        </is>
      </c>
      <c r="L240" s="7" t="inlineStr">
        <is>
          <t>Estimated from the closest tested food; no direct measurement found in the pooled sources</t>
        </is>
      </c>
      <c r="M240" s="7" t="inlineStr">
        <is>
          <t>no direct match</t>
        </is>
      </c>
      <c r="N240" s="6" t="n">
        <v>14</v>
      </c>
      <c r="O24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0" s="7" t="inlineStr">
        <is>
          <t>USDA FoodData Central (SR Legacy / Foundation Foods), fdc.nal.usda.gov</t>
        </is>
      </c>
      <c r="Q240" s="6" t="inlineStr">
        <is>
          <t>2026-09-26</t>
        </is>
      </c>
    </row>
    <row r="241">
      <c r="A241" s="6" t="inlineStr">
        <is>
          <t>almond_butter</t>
        </is>
      </c>
      <c r="B241" s="6" t="inlineStr">
        <is>
          <t>Almond butter</t>
        </is>
      </c>
      <c r="C241" s="6" t="inlineStr">
        <is>
          <t>nut</t>
        </is>
      </c>
      <c r="D241" s="6" t="n">
        <v>614</v>
      </c>
      <c r="E241" s="6" t="n">
        <v>21</v>
      </c>
      <c r="F241" s="6" t="n">
        <v>56</v>
      </c>
      <c r="G241" s="6" t="n">
        <v>19</v>
      </c>
      <c r="H241" s="6" t="n">
        <v>10</v>
      </c>
      <c r="I241" s="6" t="n">
        <v>9</v>
      </c>
      <c r="J241" s="6" t="n">
        <v>15</v>
      </c>
      <c r="K241" s="6" t="inlineStr">
        <is>
          <t>none (placeholder)</t>
        </is>
      </c>
      <c r="L241" s="7" t="inlineStr">
        <is>
          <t>Conventional placeholder for foods with too little carbohydrate to test (non-starchy vegetables, nuts, seeds, herbs); no published measurement exists</t>
        </is>
      </c>
      <c r="M241" s="7" t="inlineStr">
        <is>
          <t>not measurable</t>
        </is>
      </c>
      <c r="N241" s="6" t="inlineStr"/>
      <c r="O241" s="7" t="inlineStr">
        <is>
          <t>clinical convention</t>
        </is>
      </c>
      <c r="P241" s="7" t="inlineStr">
        <is>
          <t>USDA FoodData Central (SR Legacy / Foundation Foods), fdc.nal.usda.gov</t>
        </is>
      </c>
      <c r="Q241" s="6" t="inlineStr">
        <is>
          <t>2026-09-26</t>
        </is>
      </c>
    </row>
    <row r="242">
      <c r="A242" s="6" t="inlineStr">
        <is>
          <t>tahini</t>
        </is>
      </c>
      <c r="B242" s="6" t="inlineStr">
        <is>
          <t>Tahini</t>
        </is>
      </c>
      <c r="C242" s="6" t="inlineStr">
        <is>
          <t>nut</t>
        </is>
      </c>
      <c r="D242" s="6" t="n">
        <v>595</v>
      </c>
      <c r="E242" s="6" t="n">
        <v>17</v>
      </c>
      <c r="F242" s="6" t="n">
        <v>54</v>
      </c>
      <c r="G242" s="6" t="n">
        <v>21</v>
      </c>
      <c r="H242" s="6" t="n">
        <v>9</v>
      </c>
      <c r="I242" s="6" t="n">
        <v>12</v>
      </c>
      <c r="J242" s="6" t="n">
        <v>40</v>
      </c>
      <c r="K242" s="6" t="inlineStr">
        <is>
          <t>low</t>
        </is>
      </c>
      <c r="L242" s="7" t="inlineStr">
        <is>
          <t>Estimated from the closest tested food; no direct measurement found in the pooled sources</t>
        </is>
      </c>
      <c r="M242" s="7" t="inlineStr">
        <is>
          <t>no direct match</t>
        </is>
      </c>
      <c r="N242" s="6" t="n">
        <v>40</v>
      </c>
      <c r="O24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2" s="7" t="inlineStr">
        <is>
          <t>USDA FoodData Central (SR Legacy / Foundation Foods), fdc.nal.usda.gov</t>
        </is>
      </c>
      <c r="Q242" s="6" t="inlineStr">
        <is>
          <t>2026-09-26</t>
        </is>
      </c>
    </row>
    <row r="243">
      <c r="A243" s="6" t="inlineStr">
        <is>
          <t>chia_seeds</t>
        </is>
      </c>
      <c r="B243" s="6" t="inlineStr">
        <is>
          <t>Chia seeds</t>
        </is>
      </c>
      <c r="C243" s="6" t="inlineStr">
        <is>
          <t>seed</t>
        </is>
      </c>
      <c r="D243" s="6" t="n">
        <v>486</v>
      </c>
      <c r="E243" s="6" t="n">
        <v>17</v>
      </c>
      <c r="F243" s="6" t="n">
        <v>31</v>
      </c>
      <c r="G243" s="6" t="n">
        <v>42</v>
      </c>
      <c r="H243" s="6" t="n">
        <v>34</v>
      </c>
      <c r="I243" s="6" t="n">
        <v>8</v>
      </c>
      <c r="J243" s="6" t="n">
        <v>15</v>
      </c>
      <c r="K243" s="6" t="inlineStr">
        <is>
          <t>none (placeholder)</t>
        </is>
      </c>
      <c r="L243" s="7" t="inlineStr">
        <is>
          <t>Conventional placeholder for foods with too little carbohydrate to test (non-starchy vegetables, nuts, seeds, herbs); no published measurement exists</t>
        </is>
      </c>
      <c r="M243" s="7" t="inlineStr">
        <is>
          <t>not measurable</t>
        </is>
      </c>
      <c r="N243" s="6" t="n">
        <v>15</v>
      </c>
      <c r="O243" s="7" t="inlineStr">
        <is>
          <t>clinical convention</t>
        </is>
      </c>
      <c r="P243" s="7" t="inlineStr">
        <is>
          <t>USDA FoodData Central (SR Legacy / Foundation Foods), fdc.nal.usda.gov</t>
        </is>
      </c>
      <c r="Q243" s="6" t="inlineStr">
        <is>
          <t>2026-09-26</t>
        </is>
      </c>
    </row>
    <row r="244">
      <c r="A244" s="6" t="inlineStr">
        <is>
          <t>flaxseed</t>
        </is>
      </c>
      <c r="B244" s="6" t="inlineStr">
        <is>
          <t>Ground flaxseed</t>
        </is>
      </c>
      <c r="C244" s="6" t="inlineStr">
        <is>
          <t>seed</t>
        </is>
      </c>
      <c r="D244" s="6" t="n">
        <v>534</v>
      </c>
      <c r="E244" s="6" t="n">
        <v>18</v>
      </c>
      <c r="F244" s="6" t="n">
        <v>42</v>
      </c>
      <c r="G244" s="6" t="n">
        <v>29</v>
      </c>
      <c r="H244" s="6" t="n">
        <v>27</v>
      </c>
      <c r="I244" s="6" t="n">
        <v>2</v>
      </c>
      <c r="J244" s="6" t="n">
        <v>15</v>
      </c>
      <c r="K244" s="6" t="inlineStr">
        <is>
          <t>none (placeholder)</t>
        </is>
      </c>
      <c r="L244" s="7" t="inlineStr">
        <is>
          <t>Conventional placeholder for foods with too little carbohydrate to test (non-starchy vegetables, nuts, seeds, herbs); no published measurement exists</t>
        </is>
      </c>
      <c r="M244" s="7" t="inlineStr">
        <is>
          <t>not measurable</t>
        </is>
      </c>
      <c r="N244" s="6" t="n">
        <v>15</v>
      </c>
      <c r="O244" s="7" t="inlineStr">
        <is>
          <t>clinical convention</t>
        </is>
      </c>
      <c r="P244" s="7" t="inlineStr">
        <is>
          <t>USDA FoodData Central (SR Legacy / Foundation Foods), fdc.nal.usda.gov</t>
        </is>
      </c>
      <c r="Q244" s="6" t="inlineStr">
        <is>
          <t>2026-09-26</t>
        </is>
      </c>
    </row>
    <row r="245">
      <c r="A245" s="6" t="inlineStr">
        <is>
          <t>hemp_seeds</t>
        </is>
      </c>
      <c r="B245" s="6" t="inlineStr">
        <is>
          <t>Hemp seeds</t>
        </is>
      </c>
      <c r="C245" s="6" t="inlineStr">
        <is>
          <t>seed</t>
        </is>
      </c>
      <c r="D245" s="6" t="n">
        <v>553</v>
      </c>
      <c r="E245" s="6" t="n">
        <v>32</v>
      </c>
      <c r="F245" s="6" t="n">
        <v>49</v>
      </c>
      <c r="G245" s="6" t="n">
        <v>8.699999999999999</v>
      </c>
      <c r="H245" s="6" t="n">
        <v>4</v>
      </c>
      <c r="I245" s="6" t="n">
        <v>4.7</v>
      </c>
      <c r="J245" s="6" t="n">
        <v>15</v>
      </c>
      <c r="K245" s="6" t="inlineStr">
        <is>
          <t>none (placeholder)</t>
        </is>
      </c>
      <c r="L245" s="7" t="inlineStr">
        <is>
          <t>Conventional placeholder for foods with too little carbohydrate to test (non-starchy vegetables, nuts, seeds, herbs); no published measurement exists</t>
        </is>
      </c>
      <c r="M245" s="7" t="inlineStr">
        <is>
          <t>not measurable</t>
        </is>
      </c>
      <c r="N245" s="6" t="inlineStr"/>
      <c r="O245" s="7" t="inlineStr">
        <is>
          <t>clinical convention</t>
        </is>
      </c>
      <c r="P245" s="7" t="inlineStr">
        <is>
          <t>USDA FoodData Central (SR Legacy / Foundation Foods), fdc.nal.usda.gov</t>
        </is>
      </c>
      <c r="Q245" s="6" t="inlineStr">
        <is>
          <t>2026-09-26</t>
        </is>
      </c>
    </row>
    <row r="246">
      <c r="A246" s="6" t="inlineStr">
        <is>
          <t>sunflower_seeds</t>
        </is>
      </c>
      <c r="B246" s="6" t="inlineStr">
        <is>
          <t>Sunflower seeds</t>
        </is>
      </c>
      <c r="C246" s="6" t="inlineStr">
        <is>
          <t>seed</t>
        </is>
      </c>
      <c r="D246" s="6" t="n">
        <v>584</v>
      </c>
      <c r="E246" s="6" t="n">
        <v>21</v>
      </c>
      <c r="F246" s="6" t="n">
        <v>51</v>
      </c>
      <c r="G246" s="6" t="n">
        <v>20</v>
      </c>
      <c r="H246" s="6" t="n">
        <v>8.6</v>
      </c>
      <c r="I246" s="6" t="n">
        <v>11.4</v>
      </c>
      <c r="J246" s="6" t="n">
        <v>15</v>
      </c>
      <c r="K246" s="6" t="inlineStr">
        <is>
          <t>none (placeholder)</t>
        </is>
      </c>
      <c r="L246" s="7" t="inlineStr">
        <is>
          <t>Conventional placeholder for foods with too little carbohydrate to test (non-starchy vegetables, nuts, seeds, herbs); no published measurement exists</t>
        </is>
      </c>
      <c r="M246" s="7" t="inlineStr">
        <is>
          <t>not measurable</t>
        </is>
      </c>
      <c r="N246" s="6" t="n">
        <v>15</v>
      </c>
      <c r="O246" s="7" t="inlineStr">
        <is>
          <t>clinical convention</t>
        </is>
      </c>
      <c r="P246" s="7" t="inlineStr">
        <is>
          <t>USDA FoodData Central (SR Legacy / Foundation Foods), fdc.nal.usda.gov</t>
        </is>
      </c>
      <c r="Q246" s="6" t="inlineStr">
        <is>
          <t>2026-09-26</t>
        </is>
      </c>
    </row>
    <row r="247">
      <c r="A247" s="6" t="inlineStr">
        <is>
          <t>pumpkin_seeds</t>
        </is>
      </c>
      <c r="B247" s="6" t="inlineStr">
        <is>
          <t>Pumpkin seeds (pepitas)</t>
        </is>
      </c>
      <c r="C247" s="6" t="inlineStr">
        <is>
          <t>seed</t>
        </is>
      </c>
      <c r="D247" s="6" t="n">
        <v>559</v>
      </c>
      <c r="E247" s="6" t="n">
        <v>30</v>
      </c>
      <c r="F247" s="6" t="n">
        <v>49</v>
      </c>
      <c r="G247" s="6" t="n">
        <v>11</v>
      </c>
      <c r="H247" s="6" t="n">
        <v>6</v>
      </c>
      <c r="I247" s="6" t="n">
        <v>5</v>
      </c>
      <c r="J247" s="6" t="n">
        <v>15</v>
      </c>
      <c r="K247" s="6" t="inlineStr">
        <is>
          <t>none (placeholder)</t>
        </is>
      </c>
      <c r="L247" s="7" t="inlineStr">
        <is>
          <t>Conventional placeholder for foods with too little carbohydrate to test (non-starchy vegetables, nuts, seeds, herbs); no published measurement exists</t>
        </is>
      </c>
      <c r="M247" s="7" t="inlineStr">
        <is>
          <t>not measurable</t>
        </is>
      </c>
      <c r="N247" s="6" t="n">
        <v>15</v>
      </c>
      <c r="O247" s="7" t="inlineStr">
        <is>
          <t>clinical convention</t>
        </is>
      </c>
      <c r="P247" s="7" t="inlineStr">
        <is>
          <t>USDA FoodData Central (SR Legacy / Foundation Foods), fdc.nal.usda.gov</t>
        </is>
      </c>
      <c r="Q247" s="6" t="inlineStr">
        <is>
          <t>2026-09-26</t>
        </is>
      </c>
    </row>
    <row r="248">
      <c r="A248" s="6" t="inlineStr">
        <is>
          <t>sesame_seeds</t>
        </is>
      </c>
      <c r="B248" s="6" t="inlineStr">
        <is>
          <t>Sesame seeds</t>
        </is>
      </c>
      <c r="C248" s="6" t="inlineStr">
        <is>
          <t>seed</t>
        </is>
      </c>
      <c r="D248" s="6" t="n">
        <v>573</v>
      </c>
      <c r="E248" s="6" t="n">
        <v>18</v>
      </c>
      <c r="F248" s="6" t="n">
        <v>50</v>
      </c>
      <c r="G248" s="6" t="n">
        <v>23</v>
      </c>
      <c r="H248" s="6" t="n">
        <v>12</v>
      </c>
      <c r="I248" s="6" t="n">
        <v>11</v>
      </c>
      <c r="J248" s="6" t="n">
        <v>35</v>
      </c>
      <c r="K248" s="6" t="inlineStr">
        <is>
          <t>low</t>
        </is>
      </c>
      <c r="L248" s="7" t="inlineStr">
        <is>
          <t>Estimated from the closest tested food; no direct measurement found in the pooled sources</t>
        </is>
      </c>
      <c r="M248" s="7" t="inlineStr">
        <is>
          <t>no direct match</t>
        </is>
      </c>
      <c r="N248" s="6" t="n">
        <v>35</v>
      </c>
      <c r="O24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8" s="7" t="inlineStr">
        <is>
          <t>USDA FoodData Central (SR Legacy / Foundation Foods), fdc.nal.usda.gov</t>
        </is>
      </c>
      <c r="Q248" s="6" t="inlineStr">
        <is>
          <t>2026-09-26</t>
        </is>
      </c>
    </row>
    <row r="249">
      <c r="A249" s="6" t="inlineStr">
        <is>
          <t>olive_oil</t>
        </is>
      </c>
      <c r="B249" s="6" t="inlineStr">
        <is>
          <t>Extra-virgin olive oil</t>
        </is>
      </c>
      <c r="C249" s="6" t="inlineStr">
        <is>
          <t>fat</t>
        </is>
      </c>
      <c r="D249" s="6" t="n">
        <v>884</v>
      </c>
      <c r="E249" s="6" t="n">
        <v>0</v>
      </c>
      <c r="F249" s="6" t="n">
        <v>100</v>
      </c>
      <c r="G249" s="6" t="n">
        <v>0</v>
      </c>
      <c r="H249" s="6" t="n">
        <v>0</v>
      </c>
      <c r="I249" s="6" t="n">
        <v>0</v>
      </c>
      <c r="J249" s="6" t="n">
        <v>0</v>
      </c>
      <c r="K249" s="6" t="inlineStr">
        <is>
          <t>definitional</t>
        </is>
      </c>
      <c r="L249" s="7" t="inlineStr">
        <is>
          <t>No available carbohydrate — GI is 0 by definition (protein / fat / water)</t>
        </is>
      </c>
      <c r="M249" s="7" t="inlineStr">
        <is>
          <t>n/a</t>
        </is>
      </c>
      <c r="N249" s="6" t="inlineStr"/>
      <c r="O249" s="7" t="inlineStr">
        <is>
          <t>ISO 26642:2010</t>
        </is>
      </c>
      <c r="P249" s="7" t="inlineStr">
        <is>
          <t>USDA FoodData Central (SR Legacy / Foundation Foods), fdc.nal.usda.gov</t>
        </is>
      </c>
      <c r="Q249" s="6" t="inlineStr">
        <is>
          <t>2026-09-26</t>
        </is>
      </c>
    </row>
    <row r="250">
      <c r="A250" s="6" t="inlineStr">
        <is>
          <t>avocado_oil</t>
        </is>
      </c>
      <c r="B250" s="6" t="inlineStr">
        <is>
          <t>Avocado oil</t>
        </is>
      </c>
      <c r="C250" s="6" t="inlineStr">
        <is>
          <t>fat</t>
        </is>
      </c>
      <c r="D250" s="6" t="n">
        <v>884</v>
      </c>
      <c r="E250" s="6" t="n">
        <v>0</v>
      </c>
      <c r="F250" s="6" t="n">
        <v>100</v>
      </c>
      <c r="G250" s="6" t="n">
        <v>0</v>
      </c>
      <c r="H250" s="6" t="n">
        <v>0</v>
      </c>
      <c r="I250" s="6" t="n">
        <v>0</v>
      </c>
      <c r="J250" s="6" t="n">
        <v>0</v>
      </c>
      <c r="K250" s="6" t="inlineStr">
        <is>
          <t>definitional</t>
        </is>
      </c>
      <c r="L250" s="7" t="inlineStr">
        <is>
          <t>No available carbohydrate — GI is 0 by definition (protein / fat / water)</t>
        </is>
      </c>
      <c r="M250" s="7" t="inlineStr">
        <is>
          <t>n/a</t>
        </is>
      </c>
      <c r="N250" s="6" t="inlineStr"/>
      <c r="O250" s="7" t="inlineStr">
        <is>
          <t>ISO 26642:2010</t>
        </is>
      </c>
      <c r="P250" s="7" t="inlineStr">
        <is>
          <t>USDA FoodData Central (SR Legacy / Foundation Foods), fdc.nal.usda.gov</t>
        </is>
      </c>
      <c r="Q250" s="6" t="inlineStr">
        <is>
          <t>2026-09-26</t>
        </is>
      </c>
    </row>
    <row r="251">
      <c r="A251" s="6" t="inlineStr">
        <is>
          <t>coconut_oil</t>
        </is>
      </c>
      <c r="B251" s="6" t="inlineStr">
        <is>
          <t>Coconut oil</t>
        </is>
      </c>
      <c r="C251" s="6" t="inlineStr">
        <is>
          <t>fat</t>
        </is>
      </c>
      <c r="D251" s="6" t="n">
        <v>862</v>
      </c>
      <c r="E251" s="6" t="n">
        <v>0</v>
      </c>
      <c r="F251" s="6" t="n">
        <v>100</v>
      </c>
      <c r="G251" s="6" t="n">
        <v>0</v>
      </c>
      <c r="H251" s="6" t="n">
        <v>0</v>
      </c>
      <c r="I251" s="6" t="n">
        <v>0</v>
      </c>
      <c r="J251" s="6" t="n">
        <v>0</v>
      </c>
      <c r="K251" s="6" t="inlineStr">
        <is>
          <t>definitional</t>
        </is>
      </c>
      <c r="L251" s="7" t="inlineStr">
        <is>
          <t>No available carbohydrate — GI is 0 by definition (protein / fat / water)</t>
        </is>
      </c>
      <c r="M251" s="7" t="inlineStr">
        <is>
          <t>n/a</t>
        </is>
      </c>
      <c r="N251" s="6" t="inlineStr"/>
      <c r="O251" s="7" t="inlineStr">
        <is>
          <t>ISO 26642:2010</t>
        </is>
      </c>
      <c r="P251" s="7" t="inlineStr">
        <is>
          <t>USDA FoodData Central (SR Legacy / Foundation Foods), fdc.nal.usda.gov</t>
        </is>
      </c>
      <c r="Q251" s="6" t="inlineStr">
        <is>
          <t>2026-09-26</t>
        </is>
      </c>
    </row>
    <row r="252">
      <c r="A252" s="6" t="inlineStr">
        <is>
          <t>sesame_oil</t>
        </is>
      </c>
      <c r="B252" s="6" t="inlineStr">
        <is>
          <t>Toasted sesame oil</t>
        </is>
      </c>
      <c r="C252" s="6" t="inlineStr">
        <is>
          <t>fat</t>
        </is>
      </c>
      <c r="D252" s="6" t="n">
        <v>884</v>
      </c>
      <c r="E252" s="6" t="n">
        <v>0</v>
      </c>
      <c r="F252" s="6" t="n">
        <v>100</v>
      </c>
      <c r="G252" s="6" t="n">
        <v>0</v>
      </c>
      <c r="H252" s="6" t="n">
        <v>0</v>
      </c>
      <c r="I252" s="6" t="n">
        <v>0</v>
      </c>
      <c r="J252" s="6" t="n">
        <v>0</v>
      </c>
      <c r="K252" s="6" t="inlineStr">
        <is>
          <t>definitional</t>
        </is>
      </c>
      <c r="L252" s="7" t="inlineStr">
        <is>
          <t>No available carbohydrate — GI is 0 by definition (protein / fat / water)</t>
        </is>
      </c>
      <c r="M252" s="7" t="inlineStr">
        <is>
          <t>n/a</t>
        </is>
      </c>
      <c r="N252" s="6" t="inlineStr"/>
      <c r="O252" s="7" t="inlineStr">
        <is>
          <t>ISO 26642:2010</t>
        </is>
      </c>
      <c r="P252" s="7" t="inlineStr">
        <is>
          <t>USDA FoodData Central (SR Legacy / Foundation Foods), fdc.nal.usda.gov</t>
        </is>
      </c>
      <c r="Q252" s="6" t="inlineStr">
        <is>
          <t>2026-09-26</t>
        </is>
      </c>
    </row>
    <row r="253">
      <c r="A253" s="6" t="inlineStr">
        <is>
          <t>mayo</t>
        </is>
      </c>
      <c r="B253" s="6" t="inlineStr">
        <is>
          <t>Mayonnaise (avocado oil)</t>
        </is>
      </c>
      <c r="C253" s="6" t="inlineStr">
        <is>
          <t>fat</t>
        </is>
      </c>
      <c r="D253" s="6" t="n">
        <v>700</v>
      </c>
      <c r="E253" s="6" t="n">
        <v>0</v>
      </c>
      <c r="F253" s="6" t="n">
        <v>78</v>
      </c>
      <c r="G253" s="6" t="n">
        <v>0</v>
      </c>
      <c r="H253" s="6" t="n">
        <v>0</v>
      </c>
      <c r="I253" s="6" t="n">
        <v>0</v>
      </c>
      <c r="J253" s="6" t="n">
        <v>0</v>
      </c>
      <c r="K253" s="6" t="inlineStr">
        <is>
          <t>definitional</t>
        </is>
      </c>
      <c r="L253" s="7" t="inlineStr">
        <is>
          <t>No available carbohydrate — GI is 0 by definition (protein / fat / water)</t>
        </is>
      </c>
      <c r="M253" s="7" t="inlineStr">
        <is>
          <t>n/a</t>
        </is>
      </c>
      <c r="N253" s="6" t="inlineStr"/>
      <c r="O253" s="7" t="inlineStr">
        <is>
          <t>ISO 26642:2010</t>
        </is>
      </c>
      <c r="P253" s="7" t="inlineStr">
        <is>
          <t>USDA FoodData Central (SR Legacy / Foundation Foods), fdc.nal.usda.gov</t>
        </is>
      </c>
      <c r="Q253" s="6" t="inlineStr">
        <is>
          <t>2026-09-26</t>
        </is>
      </c>
    </row>
    <row r="254">
      <c r="A254" s="6" t="inlineStr">
        <is>
          <t>dijon</t>
        </is>
      </c>
      <c r="B254" s="6" t="inlineStr">
        <is>
          <t>Dijon mustard</t>
        </is>
      </c>
      <c r="C254" s="6" t="inlineStr">
        <is>
          <t>condiment</t>
        </is>
      </c>
      <c r="D254" s="6" t="n">
        <v>66</v>
      </c>
      <c r="E254" s="6" t="n">
        <v>4</v>
      </c>
      <c r="F254" s="6" t="n">
        <v>3.3</v>
      </c>
      <c r="G254" s="6" t="n">
        <v>5</v>
      </c>
      <c r="H254" s="6" t="n">
        <v>3</v>
      </c>
      <c r="I254" s="6" t="n">
        <v>2</v>
      </c>
      <c r="J254" s="6" t="n">
        <v>15</v>
      </c>
      <c r="K254" s="6" t="inlineStr">
        <is>
          <t>none (placeholder)</t>
        </is>
      </c>
      <c r="L254" s="7" t="inlineStr">
        <is>
          <t>Conventional placeholder for foods with too little carbohydrate to test (non-starchy vegetables, nuts, seeds, herbs); no published measurement exists</t>
        </is>
      </c>
      <c r="M254" s="7" t="inlineStr">
        <is>
          <t>not measurable</t>
        </is>
      </c>
      <c r="N254" s="6" t="inlineStr"/>
      <c r="O254" s="7" t="inlineStr">
        <is>
          <t>clinical convention</t>
        </is>
      </c>
      <c r="P254" s="7" t="inlineStr">
        <is>
          <t>USDA FoodData Central (SR Legacy / Foundation Foods), fdc.nal.usda.gov</t>
        </is>
      </c>
      <c r="Q254" s="6" t="inlineStr">
        <is>
          <t>2026-09-26</t>
        </is>
      </c>
    </row>
    <row r="255">
      <c r="A255" s="6" t="inlineStr">
        <is>
          <t>yellow_mustard</t>
        </is>
      </c>
      <c r="B255" s="6" t="inlineStr">
        <is>
          <t>Yellow mustard</t>
        </is>
      </c>
      <c r="C255" s="6" t="inlineStr">
        <is>
          <t>condiment</t>
        </is>
      </c>
      <c r="D255" s="6" t="n">
        <v>60</v>
      </c>
      <c r="E255" s="6" t="n">
        <v>4</v>
      </c>
      <c r="F255" s="6" t="n">
        <v>3</v>
      </c>
      <c r="G255" s="6" t="n">
        <v>5</v>
      </c>
      <c r="H255" s="6" t="n">
        <v>3</v>
      </c>
      <c r="I255" s="6" t="n">
        <v>2</v>
      </c>
      <c r="J255" s="6" t="n">
        <v>15</v>
      </c>
      <c r="K255" s="6" t="inlineStr">
        <is>
          <t>none (placeholder)</t>
        </is>
      </c>
      <c r="L255" s="7" t="inlineStr">
        <is>
          <t>Conventional placeholder for foods with too little carbohydrate to test (non-starchy vegetables, nuts, seeds, herbs); no published measurement exists</t>
        </is>
      </c>
      <c r="M255" s="7" t="inlineStr">
        <is>
          <t>not measurable</t>
        </is>
      </c>
      <c r="N255" s="6" t="inlineStr"/>
      <c r="O255" s="7" t="inlineStr">
        <is>
          <t>clinical convention</t>
        </is>
      </c>
      <c r="P255" s="7" t="inlineStr">
        <is>
          <t>USDA FoodData Central (SR Legacy / Foundation Foods), fdc.nal.usda.gov</t>
        </is>
      </c>
      <c r="Q255" s="6" t="inlineStr">
        <is>
          <t>2026-09-26</t>
        </is>
      </c>
    </row>
    <row r="256">
      <c r="A256" s="6" t="inlineStr">
        <is>
          <t>soy_sauce</t>
        </is>
      </c>
      <c r="B256" s="6" t="inlineStr">
        <is>
          <t>Soy sauce, low sodium</t>
        </is>
      </c>
      <c r="C256" s="6" t="inlineStr">
        <is>
          <t>condiment</t>
        </is>
      </c>
      <c r="D256" s="6" t="n">
        <v>53</v>
      </c>
      <c r="E256" s="6" t="n">
        <v>8</v>
      </c>
      <c r="F256" s="6" t="n">
        <v>0</v>
      </c>
      <c r="G256" s="6" t="n">
        <v>5</v>
      </c>
      <c r="H256" s="6" t="n">
        <v>0.8</v>
      </c>
      <c r="I256" s="6" t="n">
        <v>4.2</v>
      </c>
      <c r="J256" s="6" t="n">
        <v>20</v>
      </c>
      <c r="K256" s="6" t="inlineStr">
        <is>
          <t>low</t>
        </is>
      </c>
      <c r="L256" s="7" t="inlineStr">
        <is>
          <t>Estimated from the closest tested food; no direct measurement found in the pooled sources</t>
        </is>
      </c>
      <c r="M256" s="7" t="inlineStr">
        <is>
          <t>no direct match</t>
        </is>
      </c>
      <c r="N256" s="6" t="n">
        <v>20</v>
      </c>
      <c r="O2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6" s="7" t="inlineStr">
        <is>
          <t>USDA FoodData Central (SR Legacy / Foundation Foods), fdc.nal.usda.gov</t>
        </is>
      </c>
      <c r="Q256" s="6" t="inlineStr">
        <is>
          <t>2026-09-26</t>
        </is>
      </c>
    </row>
    <row r="257">
      <c r="A257" s="6" t="inlineStr">
        <is>
          <t>tamari</t>
        </is>
      </c>
      <c r="B257" s="6" t="inlineStr">
        <is>
          <t>Tamari (gluten-free soy sauce)</t>
        </is>
      </c>
      <c r="C257" s="6" t="inlineStr">
        <is>
          <t>condiment</t>
        </is>
      </c>
      <c r="D257" s="6" t="n">
        <v>60</v>
      </c>
      <c r="E257" s="6" t="n">
        <v>10</v>
      </c>
      <c r="F257" s="6" t="n">
        <v>0</v>
      </c>
      <c r="G257" s="6" t="n">
        <v>5</v>
      </c>
      <c r="H257" s="6" t="n">
        <v>0.8</v>
      </c>
      <c r="I257" s="6" t="n">
        <v>4.2</v>
      </c>
      <c r="J257" s="6" t="n">
        <v>20</v>
      </c>
      <c r="K257" s="6" t="inlineStr">
        <is>
          <t>low</t>
        </is>
      </c>
      <c r="L257" s="7" t="inlineStr">
        <is>
          <t>Estimated from the closest tested food; no direct measurement found in the pooled sources</t>
        </is>
      </c>
      <c r="M257" s="7" t="inlineStr">
        <is>
          <t>no direct match</t>
        </is>
      </c>
      <c r="N257" s="6" t="inlineStr"/>
      <c r="O2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7" s="7" t="inlineStr">
        <is>
          <t>USDA FoodData Central (SR Legacy / Foundation Foods), fdc.nal.usda.gov</t>
        </is>
      </c>
      <c r="Q257" s="6" t="inlineStr">
        <is>
          <t>2026-09-26</t>
        </is>
      </c>
    </row>
    <row r="258">
      <c r="A258" s="6" t="inlineStr">
        <is>
          <t>coconut_aminos</t>
        </is>
      </c>
      <c r="B258" s="6" t="inlineStr">
        <is>
          <t>Coconut aminos</t>
        </is>
      </c>
      <c r="C258" s="6" t="inlineStr">
        <is>
          <t>condiment</t>
        </is>
      </c>
      <c r="D258" s="6" t="n">
        <v>90</v>
      </c>
      <c r="E258" s="6" t="n">
        <v>0</v>
      </c>
      <c r="F258" s="6" t="n">
        <v>0</v>
      </c>
      <c r="G258" s="6" t="n">
        <v>22</v>
      </c>
      <c r="H258" s="6" t="n">
        <v>0</v>
      </c>
      <c r="I258" s="6" t="n">
        <v>22</v>
      </c>
      <c r="J258" s="6" t="n">
        <v>35</v>
      </c>
      <c r="K258" s="6" t="inlineStr">
        <is>
          <t>low</t>
        </is>
      </c>
      <c r="L258" s="7" t="inlineStr">
        <is>
          <t>Estimated from the closest tested food; no direct measurement found in the pooled sources</t>
        </is>
      </c>
      <c r="M258" s="7" t="inlineStr">
        <is>
          <t>no direct match</t>
        </is>
      </c>
      <c r="N258" s="6" t="inlineStr"/>
      <c r="O25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8" s="7" t="inlineStr">
        <is>
          <t>USDA FoodData Central (SR Legacy / Foundation Foods), fdc.nal.usda.gov</t>
        </is>
      </c>
      <c r="Q258" s="6" t="inlineStr">
        <is>
          <t>2026-09-26</t>
        </is>
      </c>
    </row>
    <row r="259">
      <c r="A259" s="6" t="inlineStr">
        <is>
          <t>fish_sauce</t>
        </is>
      </c>
      <c r="B259" s="6" t="inlineStr">
        <is>
          <t>Fish sauce</t>
        </is>
      </c>
      <c r="C259" s="6" t="inlineStr">
        <is>
          <t>condiment</t>
        </is>
      </c>
      <c r="D259" s="6" t="n">
        <v>35</v>
      </c>
      <c r="E259" s="6" t="n">
        <v>5</v>
      </c>
      <c r="F259" s="6" t="n">
        <v>0</v>
      </c>
      <c r="G259" s="6" t="n">
        <v>4</v>
      </c>
      <c r="H259" s="6" t="n">
        <v>0</v>
      </c>
      <c r="I259" s="6" t="n">
        <v>4</v>
      </c>
      <c r="J259" s="6" t="n">
        <v>0</v>
      </c>
      <c r="K259" s="6" t="inlineStr">
        <is>
          <t>low</t>
        </is>
      </c>
      <c r="L259" s="7" t="inlineStr">
        <is>
          <t>Estimated from the closest tested food; no direct measurement found in the pooled sources</t>
        </is>
      </c>
      <c r="M259" s="7" t="inlineStr">
        <is>
          <t>no direct match</t>
        </is>
      </c>
      <c r="N259" s="6" t="inlineStr"/>
      <c r="O2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9" s="7" t="inlineStr">
        <is>
          <t>USDA FoodData Central (SR Legacy / Foundation Foods), fdc.nal.usda.gov</t>
        </is>
      </c>
      <c r="Q259" s="6" t="inlineStr">
        <is>
          <t>2026-09-26</t>
        </is>
      </c>
    </row>
    <row r="260">
      <c r="A260" s="6" t="inlineStr">
        <is>
          <t>rice_vinegar</t>
        </is>
      </c>
      <c r="B260" s="6" t="inlineStr">
        <is>
          <t>Rice vinegar, unseasoned</t>
        </is>
      </c>
      <c r="C260" s="6" t="inlineStr">
        <is>
          <t>condiment</t>
        </is>
      </c>
      <c r="D260" s="6" t="n">
        <v>18</v>
      </c>
      <c r="E260" s="6" t="n">
        <v>0</v>
      </c>
      <c r="F260" s="6" t="n">
        <v>0</v>
      </c>
      <c r="G260" s="6" t="n">
        <v>0.5</v>
      </c>
      <c r="H260" s="6" t="n">
        <v>0</v>
      </c>
      <c r="I260" s="6" t="n">
        <v>0.5</v>
      </c>
      <c r="J260" s="6" t="n">
        <v>0</v>
      </c>
      <c r="K260" s="6" t="inlineStr">
        <is>
          <t>definitional</t>
        </is>
      </c>
      <c r="L260" s="7" t="inlineStr">
        <is>
          <t>No available carbohydrate — GI is 0 by definition (protein / fat / water)</t>
        </is>
      </c>
      <c r="M260" s="7" t="inlineStr">
        <is>
          <t>n/a</t>
        </is>
      </c>
      <c r="N260" s="6" t="inlineStr"/>
      <c r="O260" s="7" t="inlineStr">
        <is>
          <t>ISO 26642:2010</t>
        </is>
      </c>
      <c r="P260" s="7" t="inlineStr">
        <is>
          <t>USDA FoodData Central (SR Legacy / Foundation Foods), fdc.nal.usda.gov</t>
        </is>
      </c>
      <c r="Q260" s="6" t="inlineStr">
        <is>
          <t>2026-09-26</t>
        </is>
      </c>
    </row>
    <row r="261">
      <c r="A261" s="6" t="inlineStr">
        <is>
          <t>apple_cider_vinegar</t>
        </is>
      </c>
      <c r="B261" s="6" t="inlineStr">
        <is>
          <t>Apple cider vinegar</t>
        </is>
      </c>
      <c r="C261" s="6" t="inlineStr">
        <is>
          <t>condiment</t>
        </is>
      </c>
      <c r="D261" s="6" t="n">
        <v>21</v>
      </c>
      <c r="E261" s="6" t="n">
        <v>0</v>
      </c>
      <c r="F261" s="6" t="n">
        <v>0</v>
      </c>
      <c r="G261" s="6" t="n">
        <v>0.9</v>
      </c>
      <c r="H261" s="6" t="n">
        <v>0</v>
      </c>
      <c r="I261" s="6" t="n">
        <v>0.9</v>
      </c>
      <c r="J261" s="6" t="n">
        <v>0</v>
      </c>
      <c r="K261" s="6" t="inlineStr">
        <is>
          <t>low</t>
        </is>
      </c>
      <c r="L261" s="7" t="inlineStr">
        <is>
          <t>Estimated from the closest tested food; no direct measurement found in the pooled sources</t>
        </is>
      </c>
      <c r="M261" s="7" t="inlineStr">
        <is>
          <t>no direct match</t>
        </is>
      </c>
      <c r="N261" s="6" t="inlineStr"/>
      <c r="O2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1" s="7" t="inlineStr">
        <is>
          <t>USDA FoodData Central (SR Legacy / Foundation Foods), fdc.nal.usda.gov</t>
        </is>
      </c>
      <c r="Q261" s="6" t="inlineStr">
        <is>
          <t>2026-09-26</t>
        </is>
      </c>
    </row>
    <row r="262">
      <c r="A262" s="6" t="inlineStr">
        <is>
          <t>red_wine_vinegar</t>
        </is>
      </c>
      <c r="B262" s="6" t="inlineStr">
        <is>
          <t>Red wine vinegar</t>
        </is>
      </c>
      <c r="C262" s="6" t="inlineStr">
        <is>
          <t>condiment</t>
        </is>
      </c>
      <c r="D262" s="6" t="n">
        <v>19</v>
      </c>
      <c r="E262" s="6" t="n">
        <v>0</v>
      </c>
      <c r="F262" s="6" t="n">
        <v>0</v>
      </c>
      <c r="G262" s="6" t="n">
        <v>0.3</v>
      </c>
      <c r="H262" s="6" t="n">
        <v>0</v>
      </c>
      <c r="I262" s="6" t="n">
        <v>0.3</v>
      </c>
      <c r="J262" s="6" t="n">
        <v>0</v>
      </c>
      <c r="K262" s="6" t="inlineStr">
        <is>
          <t>definitional</t>
        </is>
      </c>
      <c r="L262" s="7" t="inlineStr">
        <is>
          <t>No available carbohydrate — GI is 0 by definition (protein / fat / water)</t>
        </is>
      </c>
      <c r="M262" s="7" t="inlineStr">
        <is>
          <t>n/a</t>
        </is>
      </c>
      <c r="N262" s="6" t="inlineStr"/>
      <c r="O262" s="7" t="inlineStr">
        <is>
          <t>ISO 26642:2010</t>
        </is>
      </c>
      <c r="P262" s="7" t="inlineStr">
        <is>
          <t>USDA FoodData Central (SR Legacy / Foundation Foods), fdc.nal.usda.gov</t>
        </is>
      </c>
      <c r="Q262" s="6" t="inlineStr">
        <is>
          <t>2026-09-26</t>
        </is>
      </c>
    </row>
    <row r="263">
      <c r="A263" s="6" t="inlineStr">
        <is>
          <t>white_wine_vinegar</t>
        </is>
      </c>
      <c r="B263" s="6" t="inlineStr">
        <is>
          <t>White wine vinegar</t>
        </is>
      </c>
      <c r="C263" s="6" t="inlineStr">
        <is>
          <t>condiment</t>
        </is>
      </c>
      <c r="D263" s="6" t="n">
        <v>19</v>
      </c>
      <c r="E263" s="6" t="n">
        <v>0</v>
      </c>
      <c r="F263" s="6" t="n">
        <v>0</v>
      </c>
      <c r="G263" s="6" t="n">
        <v>0.3</v>
      </c>
      <c r="H263" s="6" t="n">
        <v>0</v>
      </c>
      <c r="I263" s="6" t="n">
        <v>0.3</v>
      </c>
      <c r="J263" s="6" t="n">
        <v>0</v>
      </c>
      <c r="K263" s="6" t="inlineStr">
        <is>
          <t>definitional</t>
        </is>
      </c>
      <c r="L263" s="7" t="inlineStr">
        <is>
          <t>No available carbohydrate — GI is 0 by definition (protein / fat / water)</t>
        </is>
      </c>
      <c r="M263" s="7" t="inlineStr">
        <is>
          <t>n/a</t>
        </is>
      </c>
      <c r="N263" s="6" t="inlineStr"/>
      <c r="O263" s="7" t="inlineStr">
        <is>
          <t>ISO 26642:2010</t>
        </is>
      </c>
      <c r="P263" s="7" t="inlineStr">
        <is>
          <t>USDA FoodData Central (SR Legacy / Foundation Foods), fdc.nal.usda.gov</t>
        </is>
      </c>
      <c r="Q263" s="6" t="inlineStr">
        <is>
          <t>2026-09-26</t>
        </is>
      </c>
    </row>
    <row r="264">
      <c r="A264" s="6" t="inlineStr">
        <is>
          <t>balsamic_vinegar</t>
        </is>
      </c>
      <c r="B264" s="6" t="inlineStr">
        <is>
          <t>Balsamic vinegar</t>
        </is>
      </c>
      <c r="C264" s="6" t="inlineStr">
        <is>
          <t>condiment</t>
        </is>
      </c>
      <c r="D264" s="6" t="n">
        <v>88</v>
      </c>
      <c r="E264" s="6" t="n">
        <v>0.5</v>
      </c>
      <c r="F264" s="6" t="n">
        <v>0</v>
      </c>
      <c r="G264" s="6" t="n">
        <v>17</v>
      </c>
      <c r="H264" s="6" t="n">
        <v>0</v>
      </c>
      <c r="I264" s="6" t="n">
        <v>17</v>
      </c>
      <c r="J264" s="6" t="n">
        <v>35</v>
      </c>
      <c r="K264" s="6" t="inlineStr">
        <is>
          <t>low</t>
        </is>
      </c>
      <c r="L264" s="7" t="inlineStr">
        <is>
          <t>Estimated from the closest tested food; no direct measurement found in the pooled sources</t>
        </is>
      </c>
      <c r="M264" s="7" t="inlineStr">
        <is>
          <t>no direct match</t>
        </is>
      </c>
      <c r="N264" s="6" t="n">
        <v>35</v>
      </c>
      <c r="O2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4" s="7" t="inlineStr">
        <is>
          <t>USDA FoodData Central (SR Legacy / Foundation Foods), fdc.nal.usda.gov</t>
        </is>
      </c>
      <c r="Q264" s="6" t="inlineStr">
        <is>
          <t>2026-09-26</t>
        </is>
      </c>
    </row>
    <row r="265">
      <c r="A265" s="6" t="inlineStr">
        <is>
          <t>hot_sauce</t>
        </is>
      </c>
      <c r="B265" s="6" t="inlineStr">
        <is>
          <t>Hot sauce (Tabasco/Frank's)</t>
        </is>
      </c>
      <c r="C265" s="6" t="inlineStr">
        <is>
          <t>condiment</t>
        </is>
      </c>
      <c r="D265" s="6" t="n">
        <v>12</v>
      </c>
      <c r="E265" s="6" t="n">
        <v>0.5</v>
      </c>
      <c r="F265" s="6" t="n">
        <v>0.4</v>
      </c>
      <c r="G265" s="6" t="n">
        <v>1.8</v>
      </c>
      <c r="H265" s="6" t="n">
        <v>0.3</v>
      </c>
      <c r="I265" s="6" t="n">
        <v>1.5</v>
      </c>
      <c r="J265" s="6" t="n">
        <v>15</v>
      </c>
      <c r="K265" s="6" t="inlineStr">
        <is>
          <t>none (placeholder)</t>
        </is>
      </c>
      <c r="L265" s="7" t="inlineStr">
        <is>
          <t>Conventional placeholder for foods with too little carbohydrate to test (non-starchy vegetables, nuts, seeds, herbs); no published measurement exists</t>
        </is>
      </c>
      <c r="M265" s="7" t="inlineStr">
        <is>
          <t>not measurable</t>
        </is>
      </c>
      <c r="N265" s="6" t="inlineStr"/>
      <c r="O265" s="7" t="inlineStr">
        <is>
          <t>clinical convention</t>
        </is>
      </c>
      <c r="P265" s="7" t="inlineStr">
        <is>
          <t>USDA FoodData Central (SR Legacy / Foundation Foods), fdc.nal.usda.gov</t>
        </is>
      </c>
      <c r="Q265" s="6" t="inlineStr">
        <is>
          <t>2026-09-26</t>
        </is>
      </c>
    </row>
    <row r="266">
      <c r="A266" s="6" t="inlineStr">
        <is>
          <t>sriracha</t>
        </is>
      </c>
      <c r="B266" s="6" t="inlineStr">
        <is>
          <t>Sriracha</t>
        </is>
      </c>
      <c r="C266" s="6" t="inlineStr">
        <is>
          <t>condiment</t>
        </is>
      </c>
      <c r="D266" s="6" t="n">
        <v>93</v>
      </c>
      <c r="E266" s="6" t="n">
        <v>2</v>
      </c>
      <c r="F266" s="6" t="n">
        <v>1</v>
      </c>
      <c r="G266" s="6" t="n">
        <v>19</v>
      </c>
      <c r="H266" s="6" t="n">
        <v>2</v>
      </c>
      <c r="I266" s="6" t="n">
        <v>17</v>
      </c>
      <c r="J266" s="6" t="n">
        <v>35</v>
      </c>
      <c r="K266" s="6" t="inlineStr">
        <is>
          <t>low</t>
        </is>
      </c>
      <c r="L266" s="7" t="inlineStr">
        <is>
          <t>Estimated from the closest tested food; no direct measurement found in the pooled sources</t>
        </is>
      </c>
      <c r="M266" s="7" t="inlineStr">
        <is>
          <t>no direct match</t>
        </is>
      </c>
      <c r="N266" s="6" t="inlineStr"/>
      <c r="O2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6" s="7" t="inlineStr">
        <is>
          <t>USDA FoodData Central (SR Legacy / Foundation Foods), fdc.nal.usda.gov</t>
        </is>
      </c>
      <c r="Q266" s="6" t="inlineStr">
        <is>
          <t>2026-09-26</t>
        </is>
      </c>
    </row>
    <row r="267">
      <c r="A267" s="6" t="inlineStr">
        <is>
          <t>salsa</t>
        </is>
      </c>
      <c r="B267" s="6" t="inlineStr">
        <is>
          <t>Salsa, no sugar added</t>
        </is>
      </c>
      <c r="C267" s="6" t="inlineStr">
        <is>
          <t>condiment</t>
        </is>
      </c>
      <c r="D267" s="6" t="n">
        <v>36</v>
      </c>
      <c r="E267" s="6" t="n">
        <v>1.5</v>
      </c>
      <c r="F267" s="6" t="n">
        <v>0.2</v>
      </c>
      <c r="G267" s="6" t="n">
        <v>7</v>
      </c>
      <c r="H267" s="6" t="n">
        <v>1.5</v>
      </c>
      <c r="I267" s="6" t="n">
        <v>5.5</v>
      </c>
      <c r="J267" s="6" t="n">
        <v>30</v>
      </c>
      <c r="K267" s="6" t="inlineStr">
        <is>
          <t>low</t>
        </is>
      </c>
      <c r="L267" s="7" t="inlineStr">
        <is>
          <t>Estimated from the closest tested food; no direct measurement found in the pooled sources</t>
        </is>
      </c>
      <c r="M267" s="7" t="inlineStr">
        <is>
          <t>no direct match</t>
        </is>
      </c>
      <c r="N267" s="6" t="n">
        <v>30</v>
      </c>
      <c r="O2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7" s="7" t="inlineStr">
        <is>
          <t>USDA FoodData Central (SR Legacy / Foundation Foods), fdc.nal.usda.gov</t>
        </is>
      </c>
      <c r="Q267" s="6" t="inlineStr">
        <is>
          <t>2026-09-26</t>
        </is>
      </c>
    </row>
    <row r="268">
      <c r="A268" s="6" t="inlineStr">
        <is>
          <t>salsa_verde</t>
        </is>
      </c>
      <c r="B268" s="6" t="inlineStr">
        <is>
          <t>Salsa verde</t>
        </is>
      </c>
      <c r="C268" s="6" t="inlineStr">
        <is>
          <t>condiment</t>
        </is>
      </c>
      <c r="D268" s="6" t="n">
        <v>30</v>
      </c>
      <c r="E268" s="6" t="n">
        <v>1</v>
      </c>
      <c r="F268" s="6" t="n">
        <v>0.5</v>
      </c>
      <c r="G268" s="6" t="n">
        <v>6</v>
      </c>
      <c r="H268" s="6" t="n">
        <v>1.5</v>
      </c>
      <c r="I268" s="6" t="n">
        <v>4.5</v>
      </c>
      <c r="J268" s="6" t="n">
        <v>30</v>
      </c>
      <c r="K268" s="6" t="inlineStr">
        <is>
          <t>low</t>
        </is>
      </c>
      <c r="L268" s="7" t="inlineStr">
        <is>
          <t>Estimated from the closest tested food; no direct measurement found in the pooled sources</t>
        </is>
      </c>
      <c r="M268" s="7" t="inlineStr">
        <is>
          <t>no direct match</t>
        </is>
      </c>
      <c r="N268" s="6" t="inlineStr"/>
      <c r="O2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8" s="7" t="inlineStr">
        <is>
          <t>USDA FoodData Central (SR Legacy / Foundation Foods), fdc.nal.usda.gov</t>
        </is>
      </c>
      <c r="Q268" s="6" t="inlineStr">
        <is>
          <t>2026-09-26</t>
        </is>
      </c>
    </row>
    <row r="269">
      <c r="A269" s="6" t="inlineStr">
        <is>
          <t>pico_de_gallo</t>
        </is>
      </c>
      <c r="B269" s="6" t="inlineStr">
        <is>
          <t>Pico de gallo</t>
        </is>
      </c>
      <c r="C269" s="6" t="inlineStr">
        <is>
          <t>condiment</t>
        </is>
      </c>
      <c r="D269" s="6" t="n">
        <v>20</v>
      </c>
      <c r="E269" s="6" t="n">
        <v>0.9</v>
      </c>
      <c r="F269" s="6" t="n">
        <v>0.2</v>
      </c>
      <c r="G269" s="6" t="n">
        <v>4.5</v>
      </c>
      <c r="H269" s="6" t="n">
        <v>1.2</v>
      </c>
      <c r="I269" s="6" t="n">
        <v>3.3</v>
      </c>
      <c r="J269" s="6" t="n">
        <v>15</v>
      </c>
      <c r="K269" s="6" t="inlineStr">
        <is>
          <t>none (placeholder)</t>
        </is>
      </c>
      <c r="L269" s="7" t="inlineStr">
        <is>
          <t>Conventional placeholder for foods with too little carbohydrate to test (non-starchy vegetables, nuts, seeds, herbs); no published measurement exists</t>
        </is>
      </c>
      <c r="M269" s="7" t="inlineStr">
        <is>
          <t>not measurable</t>
        </is>
      </c>
      <c r="N269" s="6" t="inlineStr"/>
      <c r="O269" s="7" t="inlineStr">
        <is>
          <t>clinical convention</t>
        </is>
      </c>
      <c r="P269" s="7" t="inlineStr">
        <is>
          <t>USDA FoodData Central (SR Legacy / Foundation Foods), fdc.nal.usda.gov</t>
        </is>
      </c>
      <c r="Q269" s="6" t="inlineStr">
        <is>
          <t>2026-09-26</t>
        </is>
      </c>
    </row>
    <row r="270">
      <c r="A270" s="6" t="inlineStr">
        <is>
          <t>pesto</t>
        </is>
      </c>
      <c r="B270" s="6" t="inlineStr">
        <is>
          <t>Basil pesto</t>
        </is>
      </c>
      <c r="C270" s="6" t="inlineStr">
        <is>
          <t>condiment</t>
        </is>
      </c>
      <c r="D270" s="6" t="n">
        <v>400</v>
      </c>
      <c r="E270" s="6" t="n">
        <v>5</v>
      </c>
      <c r="F270" s="6" t="n">
        <v>40</v>
      </c>
      <c r="G270" s="6" t="n">
        <v>6</v>
      </c>
      <c r="H270" s="6" t="n">
        <v>2</v>
      </c>
      <c r="I270" s="6" t="n">
        <v>4</v>
      </c>
      <c r="J270" s="6" t="n">
        <v>15</v>
      </c>
      <c r="K270" s="6" t="inlineStr">
        <is>
          <t>none (placeholder)</t>
        </is>
      </c>
      <c r="L270" s="7" t="inlineStr">
        <is>
          <t>Conventional placeholder for foods with too little carbohydrate to test (non-starchy vegetables, nuts, seeds, herbs); no published measurement exists</t>
        </is>
      </c>
      <c r="M270" s="7" t="inlineStr">
        <is>
          <t>not measurable</t>
        </is>
      </c>
      <c r="N270" s="6" t="inlineStr"/>
      <c r="O270" s="7" t="inlineStr">
        <is>
          <t>clinical convention</t>
        </is>
      </c>
      <c r="P270" s="7" t="inlineStr">
        <is>
          <t>USDA FoodData Central (SR Legacy / Foundation Foods), fdc.nal.usda.gov</t>
        </is>
      </c>
      <c r="Q270" s="6" t="inlineStr">
        <is>
          <t>2026-09-26</t>
        </is>
      </c>
    </row>
    <row r="271">
      <c r="A271" s="6" t="inlineStr">
        <is>
          <t>marinara</t>
        </is>
      </c>
      <c r="B271" s="6" t="inlineStr">
        <is>
          <t>Marinara sauce, no sugar added</t>
        </is>
      </c>
      <c r="C271" s="6" t="inlineStr">
        <is>
          <t>condiment</t>
        </is>
      </c>
      <c r="D271" s="6" t="n">
        <v>45</v>
      </c>
      <c r="E271" s="6" t="n">
        <v>1.5</v>
      </c>
      <c r="F271" s="6" t="n">
        <v>2.5</v>
      </c>
      <c r="G271" s="6" t="n">
        <v>5</v>
      </c>
      <c r="H271" s="6" t="n">
        <v>1.5</v>
      </c>
      <c r="I271" s="6" t="n">
        <v>3.5</v>
      </c>
      <c r="J271" s="6" t="n">
        <v>35</v>
      </c>
      <c r="K271" s="6" t="inlineStr">
        <is>
          <t>medium</t>
        </is>
      </c>
      <c r="L271" s="7" t="inlineStr">
        <is>
          <t>2021 International Tables, Suppl. Tables 1+2 (incl. studies with method deviations)</t>
        </is>
      </c>
      <c r="M271" s="7" t="inlineStr">
        <is>
          <t>median of 1 tested foods, range 35-35</t>
        </is>
      </c>
      <c r="N271" s="6" t="n">
        <v>35</v>
      </c>
      <c r="O271" s="7" t="inlineStr">
        <is>
          <t>Atkinson FS, Brand-Miller JC, Foster-Powell K, Buyken AE, Goletzke J. International tables of glycemic index and glycemic load values 2021. Am J Clin Nutr 2021;114(5):1625-32. doi:10.1093/ajcn/nqab233</t>
        </is>
      </c>
      <c r="P271" s="7" t="inlineStr">
        <is>
          <t>USDA FoodData Central (SR Legacy / Foundation Foods), fdc.nal.usda.gov</t>
        </is>
      </c>
      <c r="Q271" s="6" t="inlineStr">
        <is>
          <t>2026-09-26</t>
        </is>
      </c>
    </row>
    <row r="272">
      <c r="A272" s="6" t="inlineStr">
        <is>
          <t>crushed_tomatoes</t>
        </is>
      </c>
      <c r="B272" s="6" t="inlineStr">
        <is>
          <t>Crushed tomatoes, canned</t>
        </is>
      </c>
      <c r="C272" s="6" t="inlineStr">
        <is>
          <t>condiment</t>
        </is>
      </c>
      <c r="D272" s="6" t="n">
        <v>32</v>
      </c>
      <c r="E272" s="6" t="n">
        <v>1.6</v>
      </c>
      <c r="F272" s="6" t="n">
        <v>0.3</v>
      </c>
      <c r="G272" s="6" t="n">
        <v>7</v>
      </c>
      <c r="H272" s="6" t="n">
        <v>1.9</v>
      </c>
      <c r="I272" s="6" t="n">
        <v>5.1</v>
      </c>
      <c r="J272" s="6" t="n">
        <v>35</v>
      </c>
      <c r="K272" s="6" t="inlineStr">
        <is>
          <t>low</t>
        </is>
      </c>
      <c r="L272" s="7" t="inlineStr">
        <is>
          <t>Estimated from the closest tested food; no direct measurement found in the pooled sources</t>
        </is>
      </c>
      <c r="M272" s="7" t="inlineStr">
        <is>
          <t>no direct match</t>
        </is>
      </c>
      <c r="N272" s="6" t="inlineStr"/>
      <c r="O2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2" s="7" t="inlineStr">
        <is>
          <t>USDA FoodData Central (SR Legacy / Foundation Foods), fdc.nal.usda.gov</t>
        </is>
      </c>
      <c r="Q272" s="6" t="inlineStr">
        <is>
          <t>2026-09-26</t>
        </is>
      </c>
    </row>
    <row r="273">
      <c r="A273" s="6" t="inlineStr">
        <is>
          <t>diced_tomatoes</t>
        </is>
      </c>
      <c r="B273" s="6" t="inlineStr">
        <is>
          <t>Diced tomatoes, canned</t>
        </is>
      </c>
      <c r="C273" s="6" t="inlineStr">
        <is>
          <t>condiment</t>
        </is>
      </c>
      <c r="D273" s="6" t="n">
        <v>24</v>
      </c>
      <c r="E273" s="6" t="n">
        <v>1.2</v>
      </c>
      <c r="F273" s="6" t="n">
        <v>0.2</v>
      </c>
      <c r="G273" s="6" t="n">
        <v>5</v>
      </c>
      <c r="H273" s="6" t="n">
        <v>1.5</v>
      </c>
      <c r="I273" s="6" t="n">
        <v>3.5</v>
      </c>
      <c r="J273" s="6" t="n">
        <v>35</v>
      </c>
      <c r="K273" s="6" t="inlineStr">
        <is>
          <t>low</t>
        </is>
      </c>
      <c r="L273" s="7" t="inlineStr">
        <is>
          <t>Estimated from the closest tested food; no direct measurement found in the pooled sources</t>
        </is>
      </c>
      <c r="M273" s="7" t="inlineStr">
        <is>
          <t>no direct match</t>
        </is>
      </c>
      <c r="N273" s="6" t="inlineStr"/>
      <c r="O2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3" s="7" t="inlineStr">
        <is>
          <t>USDA FoodData Central (SR Legacy / Foundation Foods), fdc.nal.usda.gov</t>
        </is>
      </c>
      <c r="Q273" s="6" t="inlineStr">
        <is>
          <t>2026-09-26</t>
        </is>
      </c>
    </row>
    <row r="274">
      <c r="A274" s="6" t="inlineStr">
        <is>
          <t>tomato_paste</t>
        </is>
      </c>
      <c r="B274" s="6" t="inlineStr">
        <is>
          <t>Tomato paste</t>
        </is>
      </c>
      <c r="C274" s="6" t="inlineStr">
        <is>
          <t>condiment</t>
        </is>
      </c>
      <c r="D274" s="6" t="n">
        <v>82</v>
      </c>
      <c r="E274" s="6" t="n">
        <v>4.3</v>
      </c>
      <c r="F274" s="6" t="n">
        <v>0.5</v>
      </c>
      <c r="G274" s="6" t="n">
        <v>19</v>
      </c>
      <c r="H274" s="6" t="n">
        <v>4</v>
      </c>
      <c r="I274" s="6" t="n">
        <v>15</v>
      </c>
      <c r="J274" s="6" t="n">
        <v>35</v>
      </c>
      <c r="K274" s="6" t="inlineStr">
        <is>
          <t>low</t>
        </is>
      </c>
      <c r="L274" s="7" t="inlineStr">
        <is>
          <t>Estimated from the closest tested food; no direct measurement found in the pooled sources</t>
        </is>
      </c>
      <c r="M274" s="7" t="inlineStr">
        <is>
          <t>no direct match</t>
        </is>
      </c>
      <c r="N274" s="6" t="inlineStr"/>
      <c r="O27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4" s="7" t="inlineStr">
        <is>
          <t>USDA FoodData Central (SR Legacy / Foundation Foods), fdc.nal.usda.gov</t>
        </is>
      </c>
      <c r="Q274" s="6" t="inlineStr">
        <is>
          <t>2026-09-26</t>
        </is>
      </c>
    </row>
    <row r="275">
      <c r="A275" s="6" t="inlineStr">
        <is>
          <t>tomato_sauce</t>
        </is>
      </c>
      <c r="B275" s="6" t="inlineStr">
        <is>
          <t>Tomato sauce, canned, no sugar added</t>
        </is>
      </c>
      <c r="C275" s="6" t="inlineStr">
        <is>
          <t>condiment</t>
        </is>
      </c>
      <c r="D275" s="6" t="n">
        <v>24</v>
      </c>
      <c r="E275" s="6" t="n">
        <v>1.3</v>
      </c>
      <c r="F275" s="6" t="n">
        <v>0.2</v>
      </c>
      <c r="G275" s="6" t="n">
        <v>5.3</v>
      </c>
      <c r="H275" s="6" t="n">
        <v>1.5</v>
      </c>
      <c r="I275" s="6" t="n">
        <v>3.8</v>
      </c>
      <c r="J275" s="6" t="n">
        <v>35</v>
      </c>
      <c r="K275" s="6" t="inlineStr">
        <is>
          <t>low</t>
        </is>
      </c>
      <c r="L275" s="7" t="inlineStr">
        <is>
          <t>Estimated from the closest tested food; no direct measurement found in the pooled sources</t>
        </is>
      </c>
      <c r="M275" s="7" t="inlineStr">
        <is>
          <t>no direct match</t>
        </is>
      </c>
      <c r="N275" s="6" t="n">
        <v>35</v>
      </c>
      <c r="O27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5" s="7" t="inlineStr">
        <is>
          <t>USDA FoodData Central (SR Legacy / Foundation Foods), fdc.nal.usda.gov</t>
        </is>
      </c>
      <c r="Q275" s="6" t="inlineStr">
        <is>
          <t>2026-09-26</t>
        </is>
      </c>
    </row>
    <row r="276">
      <c r="A276" s="6" t="inlineStr">
        <is>
          <t>chicken_broth</t>
        </is>
      </c>
      <c r="B276" s="6" t="inlineStr">
        <is>
          <t>Chicken broth, low sodium</t>
        </is>
      </c>
      <c r="C276" s="6" t="inlineStr">
        <is>
          <t>condiment</t>
        </is>
      </c>
      <c r="D276" s="6" t="n">
        <v>7</v>
      </c>
      <c r="E276" s="6" t="n">
        <v>1</v>
      </c>
      <c r="F276" s="6" t="n">
        <v>0.2</v>
      </c>
      <c r="G276" s="6" t="n">
        <v>0.5</v>
      </c>
      <c r="H276" s="6" t="n">
        <v>0</v>
      </c>
      <c r="I276" s="6" t="n">
        <v>0.5</v>
      </c>
      <c r="J276" s="6" t="n">
        <v>0</v>
      </c>
      <c r="K276" s="6" t="inlineStr">
        <is>
          <t>definitional</t>
        </is>
      </c>
      <c r="L276" s="7" t="inlineStr">
        <is>
          <t>No available carbohydrate — GI is 0 by definition (protein / fat / water)</t>
        </is>
      </c>
      <c r="M276" s="7" t="inlineStr">
        <is>
          <t>n/a</t>
        </is>
      </c>
      <c r="N276" s="6" t="inlineStr"/>
      <c r="O276" s="7" t="inlineStr">
        <is>
          <t>ISO 26642:2010</t>
        </is>
      </c>
      <c r="P276" s="7" t="inlineStr">
        <is>
          <t>USDA FoodData Central (SR Legacy / Foundation Foods), fdc.nal.usda.gov</t>
        </is>
      </c>
      <c r="Q276" s="6" t="inlineStr">
        <is>
          <t>2026-09-26</t>
        </is>
      </c>
    </row>
    <row r="277">
      <c r="A277" s="6" t="inlineStr">
        <is>
          <t>vegetable_broth</t>
        </is>
      </c>
      <c r="B277" s="6" t="inlineStr">
        <is>
          <t>Vegetable broth, low sodium</t>
        </is>
      </c>
      <c r="C277" s="6" t="inlineStr">
        <is>
          <t>condiment</t>
        </is>
      </c>
      <c r="D277" s="6" t="n">
        <v>8</v>
      </c>
      <c r="E277" s="6" t="n">
        <v>0.5</v>
      </c>
      <c r="F277" s="6" t="n">
        <v>0.2</v>
      </c>
      <c r="G277" s="6" t="n">
        <v>1.5</v>
      </c>
      <c r="H277" s="6" t="n">
        <v>0</v>
      </c>
      <c r="I277" s="6" t="n">
        <v>1.5</v>
      </c>
      <c r="J277" s="6" t="n">
        <v>0</v>
      </c>
      <c r="K277" s="6" t="inlineStr">
        <is>
          <t>low</t>
        </is>
      </c>
      <c r="L277" s="7" t="inlineStr">
        <is>
          <t>Estimated from the closest tested food; no direct measurement found in the pooled sources</t>
        </is>
      </c>
      <c r="M277" s="7" t="inlineStr">
        <is>
          <t>no direct match</t>
        </is>
      </c>
      <c r="N277" s="6" t="inlineStr"/>
      <c r="O2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7" s="7" t="inlineStr">
        <is>
          <t>USDA FoodData Central (SR Legacy / Foundation Foods), fdc.nal.usda.gov</t>
        </is>
      </c>
      <c r="Q277" s="6" t="inlineStr">
        <is>
          <t>2026-09-26</t>
        </is>
      </c>
    </row>
    <row r="278">
      <c r="A278" s="6" t="inlineStr">
        <is>
          <t>beef_broth</t>
        </is>
      </c>
      <c r="B278" s="6" t="inlineStr">
        <is>
          <t>Beef broth, low sodium</t>
        </is>
      </c>
      <c r="C278" s="6" t="inlineStr">
        <is>
          <t>condiment</t>
        </is>
      </c>
      <c r="D278" s="6" t="n">
        <v>7</v>
      </c>
      <c r="E278" s="6" t="n">
        <v>1.3</v>
      </c>
      <c r="F278" s="6" t="n">
        <v>0.2</v>
      </c>
      <c r="G278" s="6" t="n">
        <v>0.4</v>
      </c>
      <c r="H278" s="6" t="n">
        <v>0</v>
      </c>
      <c r="I278" s="6" t="n">
        <v>0.4</v>
      </c>
      <c r="J278" s="6" t="n">
        <v>0</v>
      </c>
      <c r="K278" s="6" t="inlineStr">
        <is>
          <t>definitional</t>
        </is>
      </c>
      <c r="L278" s="7" t="inlineStr">
        <is>
          <t>No available carbohydrate — GI is 0 by definition (protein / fat / water)</t>
        </is>
      </c>
      <c r="M278" s="7" t="inlineStr">
        <is>
          <t>n/a</t>
        </is>
      </c>
      <c r="N278" s="6" t="inlineStr"/>
      <c r="O278" s="7" t="inlineStr">
        <is>
          <t>ISO 26642:2010</t>
        </is>
      </c>
      <c r="P278" s="7" t="inlineStr">
        <is>
          <t>USDA FoodData Central (SR Legacy / Foundation Foods), fdc.nal.usda.gov</t>
        </is>
      </c>
      <c r="Q278" s="6" t="inlineStr">
        <is>
          <t>2026-09-26</t>
        </is>
      </c>
    </row>
    <row r="279">
      <c r="A279" s="6" t="inlineStr">
        <is>
          <t>bone_broth</t>
        </is>
      </c>
      <c r="B279" s="6" t="inlineStr">
        <is>
          <t>Bone broth</t>
        </is>
      </c>
      <c r="C279" s="6" t="inlineStr">
        <is>
          <t>condiment</t>
        </is>
      </c>
      <c r="D279" s="6" t="n">
        <v>35</v>
      </c>
      <c r="E279" s="6" t="n">
        <v>8</v>
      </c>
      <c r="F279" s="6" t="n">
        <v>0.3</v>
      </c>
      <c r="G279" s="6" t="n">
        <v>0.5</v>
      </c>
      <c r="H279" s="6" t="n">
        <v>0</v>
      </c>
      <c r="I279" s="6" t="n">
        <v>0.5</v>
      </c>
      <c r="J279" s="6" t="n">
        <v>0</v>
      </c>
      <c r="K279" s="6" t="inlineStr">
        <is>
          <t>definitional</t>
        </is>
      </c>
      <c r="L279" s="7" t="inlineStr">
        <is>
          <t>No available carbohydrate — GI is 0 by definition (protein / fat / water)</t>
        </is>
      </c>
      <c r="M279" s="7" t="inlineStr">
        <is>
          <t>n/a</t>
        </is>
      </c>
      <c r="N279" s="6" t="inlineStr"/>
      <c r="O279" s="7" t="inlineStr">
        <is>
          <t>ISO 26642:2010</t>
        </is>
      </c>
      <c r="P279" s="7" t="inlineStr">
        <is>
          <t>USDA FoodData Central (SR Legacy / Foundation Foods), fdc.nal.usda.gov</t>
        </is>
      </c>
      <c r="Q279" s="6" t="inlineStr">
        <is>
          <t>2026-09-26</t>
        </is>
      </c>
    </row>
    <row r="280">
      <c r="A280" s="6" t="inlineStr">
        <is>
          <t>curry_paste</t>
        </is>
      </c>
      <c r="B280" s="6" t="inlineStr">
        <is>
          <t>Thai curry paste (red/green)</t>
        </is>
      </c>
      <c r="C280" s="6" t="inlineStr">
        <is>
          <t>condiment</t>
        </is>
      </c>
      <c r="D280" s="6" t="n">
        <v>95</v>
      </c>
      <c r="E280" s="6" t="n">
        <v>2</v>
      </c>
      <c r="F280" s="6" t="n">
        <v>4</v>
      </c>
      <c r="G280" s="6" t="n">
        <v>12</v>
      </c>
      <c r="H280" s="6" t="n">
        <v>3</v>
      </c>
      <c r="I280" s="6" t="n">
        <v>9</v>
      </c>
      <c r="J280" s="6" t="n">
        <v>30</v>
      </c>
      <c r="K280" s="6" t="inlineStr">
        <is>
          <t>low</t>
        </is>
      </c>
      <c r="L280" s="7" t="inlineStr">
        <is>
          <t>Estimated from the closest tested food; no direct measurement found in the pooled sources</t>
        </is>
      </c>
      <c r="M280" s="7" t="inlineStr">
        <is>
          <t>no direct match</t>
        </is>
      </c>
      <c r="N280" s="6" t="inlineStr"/>
      <c r="O2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0" s="7" t="inlineStr">
        <is>
          <t>USDA FoodData Central (SR Legacy / Foundation Foods), fdc.nal.usda.gov</t>
        </is>
      </c>
      <c r="Q280" s="6" t="inlineStr">
        <is>
          <t>2026-09-26</t>
        </is>
      </c>
    </row>
    <row r="281">
      <c r="A281" s="6" t="inlineStr">
        <is>
          <t>miso</t>
        </is>
      </c>
      <c r="B281" s="6" t="inlineStr">
        <is>
          <t>White miso paste</t>
        </is>
      </c>
      <c r="C281" s="6" t="inlineStr">
        <is>
          <t>condiment</t>
        </is>
      </c>
      <c r="D281" s="6" t="n">
        <v>199</v>
      </c>
      <c r="E281" s="6" t="n">
        <v>12</v>
      </c>
      <c r="F281" s="6" t="n">
        <v>6</v>
      </c>
      <c r="G281" s="6" t="n">
        <v>26</v>
      </c>
      <c r="H281" s="6" t="n">
        <v>5</v>
      </c>
      <c r="I281" s="6" t="n">
        <v>21</v>
      </c>
      <c r="J281" s="6" t="n">
        <v>30</v>
      </c>
      <c r="K281" s="6" t="inlineStr">
        <is>
          <t>low</t>
        </is>
      </c>
      <c r="L281" s="7" t="inlineStr">
        <is>
          <t>Estimated from the closest tested food; no direct measurement found in the pooled sources</t>
        </is>
      </c>
      <c r="M281" s="7" t="inlineStr">
        <is>
          <t>no direct match</t>
        </is>
      </c>
      <c r="N281" s="6" t="n">
        <v>30</v>
      </c>
      <c r="O2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1" s="7" t="inlineStr">
        <is>
          <t>USDA FoodData Central (SR Legacy / Foundation Foods), fdc.nal.usda.gov</t>
        </is>
      </c>
      <c r="Q281" s="6" t="inlineStr">
        <is>
          <t>2026-09-26</t>
        </is>
      </c>
    </row>
    <row r="282">
      <c r="A282" s="6" t="inlineStr">
        <is>
          <t>gochujang</t>
        </is>
      </c>
      <c r="B282" s="6" t="inlineStr">
        <is>
          <t>Gochujang (small amount)</t>
        </is>
      </c>
      <c r="C282" s="6" t="inlineStr">
        <is>
          <t>condiment</t>
        </is>
      </c>
      <c r="D282" s="6" t="n">
        <v>200</v>
      </c>
      <c r="E282" s="6" t="n">
        <v>4</v>
      </c>
      <c r="F282" s="6" t="n">
        <v>1</v>
      </c>
      <c r="G282" s="6" t="n">
        <v>45</v>
      </c>
      <c r="H282" s="6" t="n">
        <v>3</v>
      </c>
      <c r="I282" s="6" t="n">
        <v>42</v>
      </c>
      <c r="J282" s="6" t="n">
        <v>45</v>
      </c>
      <c r="K282" s="6" t="inlineStr">
        <is>
          <t>low</t>
        </is>
      </c>
      <c r="L282" s="7" t="inlineStr">
        <is>
          <t>Estimated from the closest tested food; no direct measurement found in the pooled sources</t>
        </is>
      </c>
      <c r="M282" s="7" t="inlineStr">
        <is>
          <t>no direct match</t>
        </is>
      </c>
      <c r="N282" s="6" t="inlineStr"/>
      <c r="O2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2" s="7" t="inlineStr">
        <is>
          <t>USDA FoodData Central (SR Legacy / Foundation Foods), fdc.nal.usda.gov</t>
        </is>
      </c>
      <c r="Q282" s="6" t="inlineStr">
        <is>
          <t>2026-09-26</t>
        </is>
      </c>
    </row>
    <row r="283">
      <c r="A283" s="6" t="inlineStr">
        <is>
          <t>harissa</t>
        </is>
      </c>
      <c r="B283" s="6" t="inlineStr">
        <is>
          <t>Harissa paste</t>
        </is>
      </c>
      <c r="C283" s="6" t="inlineStr">
        <is>
          <t>condiment</t>
        </is>
      </c>
      <c r="D283" s="6" t="n">
        <v>70</v>
      </c>
      <c r="E283" s="6" t="n">
        <v>2</v>
      </c>
      <c r="F283" s="6" t="n">
        <v>3</v>
      </c>
      <c r="G283" s="6" t="n">
        <v>9</v>
      </c>
      <c r="H283" s="6" t="n">
        <v>3</v>
      </c>
      <c r="I283" s="6" t="n">
        <v>6</v>
      </c>
      <c r="J283" s="6" t="n">
        <v>15</v>
      </c>
      <c r="K283" s="6" t="inlineStr">
        <is>
          <t>none (placeholder)</t>
        </is>
      </c>
      <c r="L283" s="7" t="inlineStr">
        <is>
          <t>Conventional placeholder for foods with too little carbohydrate to test (non-starchy vegetables, nuts, seeds, herbs); no published measurement exists</t>
        </is>
      </c>
      <c r="M283" s="7" t="inlineStr">
        <is>
          <t>not measurable</t>
        </is>
      </c>
      <c r="N283" s="6" t="inlineStr"/>
      <c r="O283" s="7" t="inlineStr">
        <is>
          <t>clinical convention</t>
        </is>
      </c>
      <c r="P283" s="7" t="inlineStr">
        <is>
          <t>USDA FoodData Central (SR Legacy / Foundation Foods), fdc.nal.usda.gov</t>
        </is>
      </c>
      <c r="Q283" s="6" t="inlineStr">
        <is>
          <t>2026-09-26</t>
        </is>
      </c>
    </row>
    <row r="284">
      <c r="A284" s="6" t="inlineStr">
        <is>
          <t>chipotle_adobo</t>
        </is>
      </c>
      <c r="B284" s="6" t="inlineStr">
        <is>
          <t>Chipotle peppers in adobo</t>
        </is>
      </c>
      <c r="C284" s="6" t="inlineStr">
        <is>
          <t>condiment</t>
        </is>
      </c>
      <c r="D284" s="6" t="n">
        <v>70</v>
      </c>
      <c r="E284" s="6" t="n">
        <v>2</v>
      </c>
      <c r="F284" s="6" t="n">
        <v>1</v>
      </c>
      <c r="G284" s="6" t="n">
        <v>14</v>
      </c>
      <c r="H284" s="6" t="n">
        <v>4</v>
      </c>
      <c r="I284" s="6" t="n">
        <v>10</v>
      </c>
      <c r="J284" s="6" t="n">
        <v>30</v>
      </c>
      <c r="K284" s="6" t="inlineStr">
        <is>
          <t>low</t>
        </is>
      </c>
      <c r="L284" s="7" t="inlineStr">
        <is>
          <t>Estimated from the closest tested food; no direct measurement found in the pooled sources</t>
        </is>
      </c>
      <c r="M284" s="7" t="inlineStr">
        <is>
          <t>no direct match</t>
        </is>
      </c>
      <c r="N284" s="6" t="inlineStr"/>
      <c r="O2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4" s="7" t="inlineStr">
        <is>
          <t>USDA FoodData Central (SR Legacy / Foundation Foods), fdc.nal.usda.gov</t>
        </is>
      </c>
      <c r="Q284" s="6" t="inlineStr">
        <is>
          <t>2026-09-26</t>
        </is>
      </c>
    </row>
    <row r="285">
      <c r="A285" s="6" t="inlineStr">
        <is>
          <t>green_chiles</t>
        </is>
      </c>
      <c r="B285" s="6" t="inlineStr">
        <is>
          <t>Diced green chiles, canned</t>
        </is>
      </c>
      <c r="C285" s="6" t="inlineStr">
        <is>
          <t>condiment</t>
        </is>
      </c>
      <c r="D285" s="6" t="n">
        <v>20</v>
      </c>
      <c r="E285" s="6" t="n">
        <v>0.8</v>
      </c>
      <c r="F285" s="6" t="n">
        <v>0.1</v>
      </c>
      <c r="G285" s="6" t="n">
        <v>4.5</v>
      </c>
      <c r="H285" s="6" t="n">
        <v>1.5</v>
      </c>
      <c r="I285" s="6" t="n">
        <v>3</v>
      </c>
      <c r="J285" s="6" t="n">
        <v>15</v>
      </c>
      <c r="K285" s="6" t="inlineStr">
        <is>
          <t>none (placeholder)</t>
        </is>
      </c>
      <c r="L285" s="7" t="inlineStr">
        <is>
          <t>Conventional placeholder for foods with too little carbohydrate to test (non-starchy vegetables, nuts, seeds, herbs); no published measurement exists</t>
        </is>
      </c>
      <c r="M285" s="7" t="inlineStr">
        <is>
          <t>not measurable</t>
        </is>
      </c>
      <c r="N285" s="6" t="inlineStr"/>
      <c r="O285" s="7" t="inlineStr">
        <is>
          <t>clinical convention</t>
        </is>
      </c>
      <c r="P285" s="7" t="inlineStr">
        <is>
          <t>USDA FoodData Central (SR Legacy / Foundation Foods), fdc.nal.usda.gov</t>
        </is>
      </c>
      <c r="Q285" s="6" t="inlineStr">
        <is>
          <t>2026-09-26</t>
        </is>
      </c>
    </row>
    <row r="286">
      <c r="A286" s="6" t="inlineStr">
        <is>
          <t>enchilada_sauce</t>
        </is>
      </c>
      <c r="B286" s="6" t="inlineStr">
        <is>
          <t>Red enchilada sauce, no sugar added</t>
        </is>
      </c>
      <c r="C286" s="6" t="inlineStr">
        <is>
          <t>condiment</t>
        </is>
      </c>
      <c r="D286" s="6" t="n">
        <v>40</v>
      </c>
      <c r="E286" s="6" t="n">
        <v>1</v>
      </c>
      <c r="F286" s="6" t="n">
        <v>2</v>
      </c>
      <c r="G286" s="6" t="n">
        <v>5</v>
      </c>
      <c r="H286" s="6" t="n">
        <v>1</v>
      </c>
      <c r="I286" s="6" t="n">
        <v>4</v>
      </c>
      <c r="J286" s="6" t="n">
        <v>30</v>
      </c>
      <c r="K286" s="6" t="inlineStr">
        <is>
          <t>low</t>
        </is>
      </c>
      <c r="L286" s="7" t="inlineStr">
        <is>
          <t>Estimated from the closest tested food; no direct measurement found in the pooled sources</t>
        </is>
      </c>
      <c r="M286" s="7" t="inlineStr">
        <is>
          <t>no direct match</t>
        </is>
      </c>
      <c r="N286" s="6" t="inlineStr"/>
      <c r="O2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6" s="7" t="inlineStr">
        <is>
          <t>USDA FoodData Central (SR Legacy / Foundation Foods), fdc.nal.usda.gov</t>
        </is>
      </c>
      <c r="Q286" s="6" t="inlineStr">
        <is>
          <t>2026-09-26</t>
        </is>
      </c>
    </row>
    <row r="287">
      <c r="A287" s="6" t="inlineStr">
        <is>
          <t>nutritional_yeast</t>
        </is>
      </c>
      <c r="B287" s="6" t="inlineStr">
        <is>
          <t>Nutritional yeast</t>
        </is>
      </c>
      <c r="C287" s="6" t="inlineStr">
        <is>
          <t>condiment</t>
        </is>
      </c>
      <c r="D287" s="6" t="n">
        <v>325</v>
      </c>
      <c r="E287" s="6" t="n">
        <v>50</v>
      </c>
      <c r="F287" s="6" t="n">
        <v>5</v>
      </c>
      <c r="G287" s="6" t="n">
        <v>35</v>
      </c>
      <c r="H287" s="6" t="n">
        <v>25</v>
      </c>
      <c r="I287" s="6" t="n">
        <v>10</v>
      </c>
      <c r="J287" s="6" t="n">
        <v>15</v>
      </c>
      <c r="K287" s="6" t="inlineStr">
        <is>
          <t>none (placeholder)</t>
        </is>
      </c>
      <c r="L287" s="7" t="inlineStr">
        <is>
          <t>Conventional placeholder for foods with too little carbohydrate to test (non-starchy vegetables, nuts, seeds, herbs); no published measurement exists</t>
        </is>
      </c>
      <c r="M287" s="7" t="inlineStr">
        <is>
          <t>not measurable</t>
        </is>
      </c>
      <c r="N287" s="6" t="inlineStr"/>
      <c r="O287" s="7" t="inlineStr">
        <is>
          <t>clinical convention</t>
        </is>
      </c>
      <c r="P287" s="7" t="inlineStr">
        <is>
          <t>USDA FoodData Central (SR Legacy / Foundation Foods), fdc.nal.usda.gov</t>
        </is>
      </c>
      <c r="Q287" s="6" t="inlineStr">
        <is>
          <t>2026-09-26</t>
        </is>
      </c>
    </row>
    <row r="288">
      <c r="A288" s="6" t="inlineStr">
        <is>
          <t>cocoa_powder</t>
        </is>
      </c>
      <c r="B288" s="6" t="inlineStr">
        <is>
          <t>Cocoa powder, unsweetened</t>
        </is>
      </c>
      <c r="C288" s="6" t="inlineStr">
        <is>
          <t>pantry</t>
        </is>
      </c>
      <c r="D288" s="6" t="n">
        <v>228</v>
      </c>
      <c r="E288" s="6" t="n">
        <v>20</v>
      </c>
      <c r="F288" s="6" t="n">
        <v>14</v>
      </c>
      <c r="G288" s="6" t="n">
        <v>58</v>
      </c>
      <c r="H288" s="6" t="n">
        <v>33</v>
      </c>
      <c r="I288" s="6" t="n">
        <v>25</v>
      </c>
      <c r="J288" s="6" t="n">
        <v>20</v>
      </c>
      <c r="K288" s="6" t="inlineStr">
        <is>
          <t>low</t>
        </is>
      </c>
      <c r="L288" s="7" t="inlineStr">
        <is>
          <t>Estimated from the closest tested food; no direct measurement found in the pooled sources</t>
        </is>
      </c>
      <c r="M288" s="7" t="inlineStr">
        <is>
          <t>no direct match</t>
        </is>
      </c>
      <c r="N288" s="6" t="n">
        <v>20</v>
      </c>
      <c r="O28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8" s="7" t="inlineStr">
        <is>
          <t>USDA FoodData Central (SR Legacy / Foundation Foods), fdc.nal.usda.gov</t>
        </is>
      </c>
      <c r="Q288" s="6" t="inlineStr">
        <is>
          <t>2026-09-26</t>
        </is>
      </c>
    </row>
    <row r="289">
      <c r="A289" s="6" t="inlineStr">
        <is>
          <t>dark_chocolate</t>
        </is>
      </c>
      <c r="B289" s="6" t="inlineStr">
        <is>
          <t>Dark chocolate 85%</t>
        </is>
      </c>
      <c r="C289" s="6" t="inlineStr">
        <is>
          <t>pantry</t>
        </is>
      </c>
      <c r="D289" s="6" t="n">
        <v>600</v>
      </c>
      <c r="E289" s="6" t="n">
        <v>12</v>
      </c>
      <c r="F289" s="6" t="n">
        <v>46</v>
      </c>
      <c r="G289" s="6" t="n">
        <v>30</v>
      </c>
      <c r="H289" s="6" t="n">
        <v>12</v>
      </c>
      <c r="I289" s="6" t="n">
        <v>18</v>
      </c>
      <c r="J289" s="6" t="n">
        <v>23</v>
      </c>
      <c r="K289" s="6" t="inlineStr">
        <is>
          <t>high</t>
        </is>
      </c>
      <c r="L289" s="7" t="inlineStr">
        <is>
          <t>2021 International Tables, Suppl. Table 1 (ISO 26642:2010-compliant studies)</t>
        </is>
      </c>
      <c r="M289" s="7" t="inlineStr">
        <is>
          <t>median of 2 tested foods, range 23-44</t>
        </is>
      </c>
      <c r="N289" s="6" t="n">
        <v>34</v>
      </c>
      <c r="O289" s="7" t="inlineStr">
        <is>
          <t>Atkinson FS, Brand-Miller JC, Foster-Powell K, Buyken AE, Goletzke J. International tables of glycemic index and glycemic load values 2021. Am J Clin Nutr 2021;114(5):1625-32. doi:10.1093/ajcn/nqab233</t>
        </is>
      </c>
      <c r="P289" s="7" t="inlineStr">
        <is>
          <t>USDA FoodData Central (SR Legacy / Foundation Foods), fdc.nal.usda.gov</t>
        </is>
      </c>
      <c r="Q289" s="6" t="inlineStr">
        <is>
          <t>2026-09-26</t>
        </is>
      </c>
    </row>
    <row r="290">
      <c r="A290" s="6" t="inlineStr">
        <is>
          <t>sugar_free_chocolate_chips</t>
        </is>
      </c>
      <c r="B290" s="6" t="inlineStr">
        <is>
          <t>Stevia-sweetened dark chocolate chips</t>
        </is>
      </c>
      <c r="C290" s="6" t="inlineStr">
        <is>
          <t>pantry</t>
        </is>
      </c>
      <c r="D290" s="6" t="n">
        <v>470</v>
      </c>
      <c r="E290" s="6" t="n">
        <v>6</v>
      </c>
      <c r="F290" s="6" t="n">
        <v>42</v>
      </c>
      <c r="G290" s="6" t="n">
        <v>20</v>
      </c>
      <c r="H290" s="6" t="n">
        <v>12</v>
      </c>
      <c r="I290" s="6" t="n">
        <v>8</v>
      </c>
      <c r="J290" s="6" t="n">
        <v>20</v>
      </c>
      <c r="K290" s="6" t="inlineStr">
        <is>
          <t>medium</t>
        </is>
      </c>
      <c r="L290" s="7" t="inlineStr">
        <is>
          <t>University of Sydney online GI database</t>
        </is>
      </c>
      <c r="M290" s="7" t="inlineStr">
        <is>
          <t>median of 1 tested foods, range 23-23</t>
        </is>
      </c>
      <c r="N290" s="6" t="n">
        <v>23</v>
      </c>
      <c r="O290" s="7" t="inlineStr">
        <is>
          <t>University of Sydney GI database, glycemicindex.com/gi-search (accessed 2026-09-16)</t>
        </is>
      </c>
      <c r="P290" s="7" t="inlineStr">
        <is>
          <t>USDA FoodData Central (SR Legacy / Foundation Foods), fdc.nal.usda.gov</t>
        </is>
      </c>
      <c r="Q290" s="6" t="inlineStr">
        <is>
          <t>2026-09-26</t>
        </is>
      </c>
    </row>
    <row r="291">
      <c r="A291" s="6" t="inlineStr">
        <is>
          <t>monk_fruit_sweetener</t>
        </is>
      </c>
      <c r="B291" s="6" t="inlineStr">
        <is>
          <t>Monk fruit/erythritol sweetener</t>
        </is>
      </c>
      <c r="C291" s="6" t="inlineStr">
        <is>
          <t>pantry</t>
        </is>
      </c>
      <c r="D291" s="6" t="n">
        <v>0</v>
      </c>
      <c r="E291" s="6" t="n">
        <v>0</v>
      </c>
      <c r="F291" s="6" t="n">
        <v>0</v>
      </c>
      <c r="G291" s="6" t="n">
        <v>0</v>
      </c>
      <c r="H291" s="6" t="n">
        <v>0</v>
      </c>
      <c r="I291" s="6" t="n">
        <v>0</v>
      </c>
      <c r="J291" s="6" t="n">
        <v>0</v>
      </c>
      <c r="K291" s="6" t="inlineStr">
        <is>
          <t>definitional</t>
        </is>
      </c>
      <c r="L291" s="7" t="inlineStr">
        <is>
          <t>No available carbohydrate — GI is 0 by definition (protein / fat / water)</t>
        </is>
      </c>
      <c r="M291" s="7" t="inlineStr">
        <is>
          <t>n/a</t>
        </is>
      </c>
      <c r="N291" s="6" t="n">
        <v>15</v>
      </c>
      <c r="O291" s="7" t="inlineStr">
        <is>
          <t>ISO 26642:2010</t>
        </is>
      </c>
      <c r="P291" s="7" t="inlineStr">
        <is>
          <t>USDA FoodData Central (SR Legacy / Foundation Foods), fdc.nal.usda.gov</t>
        </is>
      </c>
      <c r="Q291" s="6" t="inlineStr">
        <is>
          <t>2026-09-26</t>
        </is>
      </c>
    </row>
    <row r="292">
      <c r="A292" s="6" t="inlineStr">
        <is>
          <t>stevia</t>
        </is>
      </c>
      <c r="B292" s="6" t="inlineStr">
        <is>
          <t>Stevia (liquid)</t>
        </is>
      </c>
      <c r="C292" s="6" t="inlineStr">
        <is>
          <t>pantry</t>
        </is>
      </c>
      <c r="D292" s="6" t="n">
        <v>0</v>
      </c>
      <c r="E292" s="6" t="n">
        <v>0</v>
      </c>
      <c r="F292" s="6" t="n">
        <v>0</v>
      </c>
      <c r="G292" s="6" t="n">
        <v>0</v>
      </c>
      <c r="H292" s="6" t="n">
        <v>0</v>
      </c>
      <c r="I292" s="6" t="n">
        <v>0</v>
      </c>
      <c r="J292" s="6" t="n">
        <v>0</v>
      </c>
      <c r="K292" s="6" t="inlineStr">
        <is>
          <t>definitional</t>
        </is>
      </c>
      <c r="L292" s="7" t="inlineStr">
        <is>
          <t>No available carbohydrate — GI is 0 by definition (protein / fat / water)</t>
        </is>
      </c>
      <c r="M292" s="7" t="inlineStr">
        <is>
          <t>n/a</t>
        </is>
      </c>
      <c r="N292" s="6" t="n">
        <v>0</v>
      </c>
      <c r="O292" s="7" t="inlineStr">
        <is>
          <t>ISO 26642:2010</t>
        </is>
      </c>
      <c r="P292" s="7" t="inlineStr">
        <is>
          <t>USDA FoodData Central (SR Legacy / Foundation Foods), fdc.nal.usda.gov</t>
        </is>
      </c>
      <c r="Q292" s="6" t="inlineStr">
        <is>
          <t>2026-09-26</t>
        </is>
      </c>
    </row>
    <row r="293">
      <c r="A293" s="6" t="inlineStr">
        <is>
          <t>honey</t>
        </is>
      </c>
      <c r="B293" s="6" t="inlineStr">
        <is>
          <t>Honey (small amount)</t>
        </is>
      </c>
      <c r="C293" s="6" t="inlineStr">
        <is>
          <t>pantry</t>
        </is>
      </c>
      <c r="D293" s="6" t="n">
        <v>304</v>
      </c>
      <c r="E293" s="6" t="n">
        <v>0.3</v>
      </c>
      <c r="F293" s="6" t="n">
        <v>0</v>
      </c>
      <c r="G293" s="6" t="n">
        <v>82</v>
      </c>
      <c r="H293" s="6" t="n">
        <v>0.2</v>
      </c>
      <c r="I293" s="6" t="n">
        <v>81.8</v>
      </c>
      <c r="J293" s="6" t="n">
        <v>54</v>
      </c>
      <c r="K293" s="6" t="inlineStr">
        <is>
          <t>high</t>
        </is>
      </c>
      <c r="L293" s="7" t="inlineStr">
        <is>
          <t>2021 International Tables, Suppl. Table 1 (ISO 26642:2010-compliant studies)</t>
        </is>
      </c>
      <c r="M293" s="7" t="inlineStr">
        <is>
          <t>median of 2 tested foods, range 35-74</t>
        </is>
      </c>
      <c r="N293" s="6" t="n">
        <v>54</v>
      </c>
      <c r="O293" s="7" t="inlineStr">
        <is>
          <t>Atkinson FS, Brand-Miller JC, Foster-Powell K, Buyken AE, Goletzke J. International tables of glycemic index and glycemic load values 2021. Am J Clin Nutr 2021;114(5):1625-32. doi:10.1093/ajcn/nqab233</t>
        </is>
      </c>
      <c r="P293" s="7" t="inlineStr">
        <is>
          <t>USDA FoodData Central (SR Legacy / Foundation Foods), fdc.nal.usda.gov</t>
        </is>
      </c>
      <c r="Q293" s="6" t="inlineStr">
        <is>
          <t>2026-09-26</t>
        </is>
      </c>
    </row>
    <row r="294">
      <c r="A294" s="6" t="inlineStr">
        <is>
          <t>maple_syrup</t>
        </is>
      </c>
      <c r="B294" s="6" t="inlineStr">
        <is>
          <t>Pure maple syrup (small amount)</t>
        </is>
      </c>
      <c r="C294" s="6" t="inlineStr">
        <is>
          <t>pantry</t>
        </is>
      </c>
      <c r="D294" s="6" t="n">
        <v>260</v>
      </c>
      <c r="E294" s="6" t="n">
        <v>0</v>
      </c>
      <c r="F294" s="6" t="n">
        <v>0</v>
      </c>
      <c r="G294" s="6" t="n">
        <v>67</v>
      </c>
      <c r="H294" s="6" t="n">
        <v>0</v>
      </c>
      <c r="I294" s="6" t="n">
        <v>67</v>
      </c>
      <c r="J294" s="6" t="n">
        <v>54</v>
      </c>
      <c r="K294" s="6" t="inlineStr">
        <is>
          <t>medium</t>
        </is>
      </c>
      <c r="L294" s="7" t="inlineStr">
        <is>
          <t>2021 International Tables, Suppl. Tables 1+2 (incl. studies with method deviations)</t>
        </is>
      </c>
      <c r="M294" s="7" t="inlineStr">
        <is>
          <t>median of 1 tested foods, range 54-54</t>
        </is>
      </c>
      <c r="N294" s="6" t="n">
        <v>54</v>
      </c>
      <c r="O294" s="7" t="inlineStr">
        <is>
          <t>Atkinson FS, Brand-Miller JC, Foster-Powell K, Buyken AE, Goletzke J. International tables of glycemic index and glycemic load values 2021. Am J Clin Nutr 2021;114(5):1625-32. doi:10.1093/ajcn/nqab233</t>
        </is>
      </c>
      <c r="P294" s="7" t="inlineStr">
        <is>
          <t>USDA FoodData Central (SR Legacy / Foundation Foods), fdc.nal.usda.gov</t>
        </is>
      </c>
      <c r="Q294" s="6" t="inlineStr">
        <is>
          <t>2026-09-26</t>
        </is>
      </c>
    </row>
    <row r="295">
      <c r="A295" s="6" t="inlineStr">
        <is>
          <t>vanilla_extract</t>
        </is>
      </c>
      <c r="B295" s="6" t="inlineStr">
        <is>
          <t>Vanilla extract</t>
        </is>
      </c>
      <c r="C295" s="6" t="inlineStr">
        <is>
          <t>pantry</t>
        </is>
      </c>
      <c r="D295" s="6" t="n">
        <v>288</v>
      </c>
      <c r="E295" s="6" t="n">
        <v>0</v>
      </c>
      <c r="F295" s="6" t="n">
        <v>0</v>
      </c>
      <c r="G295" s="6" t="n">
        <v>12.7</v>
      </c>
      <c r="H295" s="6" t="n">
        <v>0</v>
      </c>
      <c r="I295" s="6" t="n">
        <v>12.7</v>
      </c>
      <c r="J295" s="6" t="n">
        <v>0</v>
      </c>
      <c r="K295" s="6" t="inlineStr">
        <is>
          <t>low</t>
        </is>
      </c>
      <c r="L295" s="7" t="inlineStr">
        <is>
          <t>Estimated from the closest tested food; no direct measurement found in the pooled sources</t>
        </is>
      </c>
      <c r="M295" s="7" t="inlineStr">
        <is>
          <t>no direct match</t>
        </is>
      </c>
      <c r="N295" s="6" t="inlineStr"/>
      <c r="O29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5" s="7" t="inlineStr">
        <is>
          <t>USDA FoodData Central (SR Legacy / Foundation Foods), fdc.nal.usda.gov</t>
        </is>
      </c>
      <c r="Q295" s="6" t="inlineStr">
        <is>
          <t>2026-09-26</t>
        </is>
      </c>
    </row>
    <row r="296">
      <c r="A296" s="6" t="inlineStr">
        <is>
          <t>gelatin</t>
        </is>
      </c>
      <c r="B296" s="6" t="inlineStr">
        <is>
          <t>Unflavored gelatin</t>
        </is>
      </c>
      <c r="C296" s="6" t="inlineStr">
        <is>
          <t>pantry</t>
        </is>
      </c>
      <c r="D296" s="6" t="n">
        <v>335</v>
      </c>
      <c r="E296" s="6" t="n">
        <v>85</v>
      </c>
      <c r="F296" s="6" t="n">
        <v>0</v>
      </c>
      <c r="G296" s="6" t="n">
        <v>0</v>
      </c>
      <c r="H296" s="6" t="n">
        <v>0</v>
      </c>
      <c r="I296" s="6" t="n">
        <v>0</v>
      </c>
      <c r="J296" s="6" t="n">
        <v>0</v>
      </c>
      <c r="K296" s="6" t="inlineStr">
        <is>
          <t>definitional</t>
        </is>
      </c>
      <c r="L296" s="7" t="inlineStr">
        <is>
          <t>No available carbohydrate — GI is 0 by definition (protein / fat / water)</t>
        </is>
      </c>
      <c r="M296" s="7" t="inlineStr">
        <is>
          <t>n/a</t>
        </is>
      </c>
      <c r="N296" s="6" t="inlineStr"/>
      <c r="O296" s="7" t="inlineStr">
        <is>
          <t>ISO 26642:2010</t>
        </is>
      </c>
      <c r="P296" s="7" t="inlineStr">
        <is>
          <t>USDA FoodData Central (SR Legacy / Foundation Foods), fdc.nal.usda.gov</t>
        </is>
      </c>
      <c r="Q296" s="6" t="inlineStr">
        <is>
          <t>2026-09-26</t>
        </is>
      </c>
    </row>
    <row r="297">
      <c r="A297" s="6" t="inlineStr">
        <is>
          <t>baking_powder</t>
        </is>
      </c>
      <c r="B297" s="6" t="inlineStr">
        <is>
          <t>Baking powder</t>
        </is>
      </c>
      <c r="C297" s="6" t="inlineStr">
        <is>
          <t>pantry</t>
        </is>
      </c>
      <c r="D297" s="6" t="n">
        <v>53</v>
      </c>
      <c r="E297" s="6" t="n">
        <v>0</v>
      </c>
      <c r="F297" s="6" t="n">
        <v>0</v>
      </c>
      <c r="G297" s="6" t="n">
        <v>28</v>
      </c>
      <c r="H297" s="6" t="n">
        <v>0</v>
      </c>
      <c r="I297" s="6" t="n">
        <v>28</v>
      </c>
      <c r="J297" s="6" t="n">
        <v>0</v>
      </c>
      <c r="K297" s="6" t="inlineStr">
        <is>
          <t>low</t>
        </is>
      </c>
      <c r="L297" s="7" t="inlineStr">
        <is>
          <t>Estimated from the closest tested food; no direct measurement found in the pooled sources</t>
        </is>
      </c>
      <c r="M297" s="7" t="inlineStr">
        <is>
          <t>no direct match</t>
        </is>
      </c>
      <c r="N297" s="6" t="inlineStr"/>
      <c r="O29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7" s="7" t="inlineStr">
        <is>
          <t>USDA FoodData Central (SR Legacy / Foundation Foods), fdc.nal.usda.gov</t>
        </is>
      </c>
      <c r="Q297" s="6" t="inlineStr">
        <is>
          <t>2026-09-26</t>
        </is>
      </c>
    </row>
    <row r="298">
      <c r="A298" s="6" t="inlineStr">
        <is>
          <t>baking_soda</t>
        </is>
      </c>
      <c r="B298" s="6" t="inlineStr">
        <is>
          <t>Baking soda</t>
        </is>
      </c>
      <c r="C298" s="6" t="inlineStr">
        <is>
          <t>pantry</t>
        </is>
      </c>
      <c r="D298" s="6" t="n">
        <v>0</v>
      </c>
      <c r="E298" s="6" t="n">
        <v>0</v>
      </c>
      <c r="F298" s="6" t="n">
        <v>0</v>
      </c>
      <c r="G298" s="6" t="n">
        <v>0</v>
      </c>
      <c r="H298" s="6" t="n">
        <v>0</v>
      </c>
      <c r="I298" s="6" t="n">
        <v>0</v>
      </c>
      <c r="J298" s="6" t="n">
        <v>0</v>
      </c>
      <c r="K298" s="6" t="inlineStr">
        <is>
          <t>definitional</t>
        </is>
      </c>
      <c r="L298" s="7" t="inlineStr">
        <is>
          <t>No available carbohydrate — GI is 0 by definition (protein / fat / water)</t>
        </is>
      </c>
      <c r="M298" s="7" t="inlineStr">
        <is>
          <t>n/a</t>
        </is>
      </c>
      <c r="N298" s="6" t="inlineStr"/>
      <c r="O298" s="7" t="inlineStr">
        <is>
          <t>ISO 26642:2010</t>
        </is>
      </c>
      <c r="P298" s="7" t="inlineStr">
        <is>
          <t>USDA FoodData Central (SR Legacy / Foundation Foods), fdc.nal.usda.gov</t>
        </is>
      </c>
      <c r="Q298" s="6" t="inlineStr">
        <is>
          <t>2026-09-26</t>
        </is>
      </c>
    </row>
    <row r="299">
      <c r="A299" s="6" t="inlineStr">
        <is>
          <t>coffee</t>
        </is>
      </c>
      <c r="B299" s="6" t="inlineStr">
        <is>
          <t>Brewed coffee / espresso</t>
        </is>
      </c>
      <c r="C299" s="6" t="inlineStr">
        <is>
          <t>drink</t>
        </is>
      </c>
      <c r="D299" s="6" t="n">
        <v>1</v>
      </c>
      <c r="E299" s="6" t="n">
        <v>0.1</v>
      </c>
      <c r="F299" s="6" t="n">
        <v>0</v>
      </c>
      <c r="G299" s="6" t="n">
        <v>0</v>
      </c>
      <c r="H299" s="6" t="n">
        <v>0</v>
      </c>
      <c r="I299" s="6" t="n">
        <v>0</v>
      </c>
      <c r="J299" s="6" t="n">
        <v>0</v>
      </c>
      <c r="K299" s="6" t="inlineStr">
        <is>
          <t>definitional</t>
        </is>
      </c>
      <c r="L299" s="7" t="inlineStr">
        <is>
          <t>No available carbohydrate — GI is 0 by definition (protein / fat / water)</t>
        </is>
      </c>
      <c r="M299" s="7" t="inlineStr">
        <is>
          <t>n/a</t>
        </is>
      </c>
      <c r="N299" s="6" t="inlineStr"/>
      <c r="O299" s="7" t="inlineStr">
        <is>
          <t>ISO 26642:2010</t>
        </is>
      </c>
      <c r="P299" s="7" t="inlineStr">
        <is>
          <t>USDA FoodData Central (SR Legacy / Foundation Foods), fdc.nal.usda.gov</t>
        </is>
      </c>
      <c r="Q299" s="6" t="inlineStr">
        <is>
          <t>2026-09-26</t>
        </is>
      </c>
    </row>
    <row r="300">
      <c r="A300" s="6" t="inlineStr">
        <is>
          <t>green_tea</t>
        </is>
      </c>
      <c r="B300" s="6" t="inlineStr">
        <is>
          <t>Brewed green tea</t>
        </is>
      </c>
      <c r="C300" s="6" t="inlineStr">
        <is>
          <t>drink</t>
        </is>
      </c>
      <c r="D300" s="6" t="n">
        <v>0</v>
      </c>
      <c r="E300" s="6" t="n">
        <v>0</v>
      </c>
      <c r="F300" s="6" t="n">
        <v>0</v>
      </c>
      <c r="G300" s="6" t="n">
        <v>0</v>
      </c>
      <c r="H300" s="6" t="n">
        <v>0</v>
      </c>
      <c r="I300" s="6" t="n">
        <v>0</v>
      </c>
      <c r="J300" s="6" t="n">
        <v>0</v>
      </c>
      <c r="K300" s="6" t="inlineStr">
        <is>
          <t>definitional</t>
        </is>
      </c>
      <c r="L300" s="7" t="inlineStr">
        <is>
          <t>No available carbohydrate — GI is 0 by definition (protein / fat / water)</t>
        </is>
      </c>
      <c r="M300" s="7" t="inlineStr">
        <is>
          <t>n/a</t>
        </is>
      </c>
      <c r="N300" s="6" t="inlineStr"/>
      <c r="O300" s="7" t="inlineStr">
        <is>
          <t>ISO 26642:2010</t>
        </is>
      </c>
      <c r="P300" s="7" t="inlineStr">
        <is>
          <t>USDA FoodData Central (SR Legacy / Foundation Foods), fdc.nal.usda.gov</t>
        </is>
      </c>
      <c r="Q300" s="6" t="inlineStr">
        <is>
          <t>2026-09-26</t>
        </is>
      </c>
    </row>
    <row r="301">
      <c r="A301" s="6" t="inlineStr">
        <is>
          <t>water</t>
        </is>
      </c>
      <c r="B301" s="6" t="inlineStr">
        <is>
          <t>Water / ice</t>
        </is>
      </c>
      <c r="C301" s="6" t="inlineStr">
        <is>
          <t>drink</t>
        </is>
      </c>
      <c r="D301" s="6" t="n">
        <v>0</v>
      </c>
      <c r="E301" s="6" t="n">
        <v>0</v>
      </c>
      <c r="F301" s="6" t="n">
        <v>0</v>
      </c>
      <c r="G301" s="6" t="n">
        <v>0</v>
      </c>
      <c r="H301" s="6" t="n">
        <v>0</v>
      </c>
      <c r="I301" s="6" t="n">
        <v>0</v>
      </c>
      <c r="J301" s="6" t="n">
        <v>0</v>
      </c>
      <c r="K301" s="6" t="inlineStr">
        <is>
          <t>definitional</t>
        </is>
      </c>
      <c r="L301" s="7" t="inlineStr">
        <is>
          <t>No available carbohydrate — GI is 0 by definition (protein / fat / water)</t>
        </is>
      </c>
      <c r="M301" s="7" t="inlineStr">
        <is>
          <t>n/a</t>
        </is>
      </c>
      <c r="N301" s="6" t="inlineStr"/>
      <c r="O301" s="7" t="inlineStr">
        <is>
          <t>ISO 26642:2010</t>
        </is>
      </c>
      <c r="P301" s="7" t="inlineStr">
        <is>
          <t>USDA FoodData Central (SR Legacy / Foundation Foods), fdc.nal.usda.gov</t>
        </is>
      </c>
      <c r="Q301" s="6" t="inlineStr">
        <is>
          <t>2026-09-26</t>
        </is>
      </c>
    </row>
    <row r="302">
      <c r="A302" s="6" t="inlineStr">
        <is>
          <t>sparkling_water</t>
        </is>
      </c>
      <c r="B302" s="6" t="inlineStr">
        <is>
          <t>Sparkling water</t>
        </is>
      </c>
      <c r="C302" s="6" t="inlineStr">
        <is>
          <t>drink</t>
        </is>
      </c>
      <c r="D302" s="6" t="n">
        <v>0</v>
      </c>
      <c r="E302" s="6" t="n">
        <v>0</v>
      </c>
      <c r="F302" s="6" t="n">
        <v>0</v>
      </c>
      <c r="G302" s="6" t="n">
        <v>0</v>
      </c>
      <c r="H302" s="6" t="n">
        <v>0</v>
      </c>
      <c r="I302" s="6" t="n">
        <v>0</v>
      </c>
      <c r="J302" s="6" t="n">
        <v>0</v>
      </c>
      <c r="K302" s="6" t="inlineStr">
        <is>
          <t>definitional</t>
        </is>
      </c>
      <c r="L302" s="7" t="inlineStr">
        <is>
          <t>No available carbohydrate — GI is 0 by definition (protein / fat / water)</t>
        </is>
      </c>
      <c r="M302" s="7" t="inlineStr">
        <is>
          <t>n/a</t>
        </is>
      </c>
      <c r="N302" s="6" t="inlineStr"/>
      <c r="O302" s="7" t="inlineStr">
        <is>
          <t>ISO 26642:2010</t>
        </is>
      </c>
      <c r="P302" s="7" t="inlineStr">
        <is>
          <t>USDA FoodData Central (SR Legacy / Foundation Foods), fdc.nal.usda.gov</t>
        </is>
      </c>
      <c r="Q302" s="6" t="inlineStr">
        <is>
          <t>2026-09-26</t>
        </is>
      </c>
    </row>
    <row r="303">
      <c r="A303" s="6" t="inlineStr">
        <is>
          <t>red_wine</t>
        </is>
      </c>
      <c r="B303" s="6" t="inlineStr">
        <is>
          <t>Dry red wine (cooking)</t>
        </is>
      </c>
      <c r="C303" s="6" t="inlineStr">
        <is>
          <t>pantry</t>
        </is>
      </c>
      <c r="D303" s="6" t="n">
        <v>85</v>
      </c>
      <c r="E303" s="6" t="n">
        <v>0</v>
      </c>
      <c r="F303" s="6" t="n">
        <v>0</v>
      </c>
      <c r="G303" s="6" t="n">
        <v>2.6</v>
      </c>
      <c r="H303" s="6" t="n">
        <v>0</v>
      </c>
      <c r="I303" s="6" t="n">
        <v>2.6</v>
      </c>
      <c r="J303" s="6" t="n">
        <v>0</v>
      </c>
      <c r="K303" s="6" t="inlineStr">
        <is>
          <t>low</t>
        </is>
      </c>
      <c r="L303" s="7" t="inlineStr">
        <is>
          <t>Estimated from the closest tested food; no direct measurement found in the pooled sources</t>
        </is>
      </c>
      <c r="M303" s="7" t="inlineStr">
        <is>
          <t>no direct match</t>
        </is>
      </c>
      <c r="N303" s="6" t="inlineStr"/>
      <c r="O30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3" s="7" t="inlineStr">
        <is>
          <t>USDA FoodData Central (SR Legacy / Foundation Foods), fdc.nal.usda.gov</t>
        </is>
      </c>
      <c r="Q303" s="6" t="inlineStr">
        <is>
          <t>2026-09-26</t>
        </is>
      </c>
    </row>
    <row r="304">
      <c r="A304" s="6" t="inlineStr">
        <is>
          <t>white_wine</t>
        </is>
      </c>
      <c r="B304" s="6" t="inlineStr">
        <is>
          <t>Dry white wine (cooking)</t>
        </is>
      </c>
      <c r="C304" s="6" t="inlineStr">
        <is>
          <t>pantry</t>
        </is>
      </c>
      <c r="D304" s="6" t="n">
        <v>82</v>
      </c>
      <c r="E304" s="6" t="n">
        <v>0</v>
      </c>
      <c r="F304" s="6" t="n">
        <v>0</v>
      </c>
      <c r="G304" s="6" t="n">
        <v>2.6</v>
      </c>
      <c r="H304" s="6" t="n">
        <v>0</v>
      </c>
      <c r="I304" s="6" t="n">
        <v>2.6</v>
      </c>
      <c r="J304" s="6" t="n">
        <v>0</v>
      </c>
      <c r="K304" s="6" t="inlineStr">
        <is>
          <t>low</t>
        </is>
      </c>
      <c r="L304" s="7" t="inlineStr">
        <is>
          <t>Estimated from the closest tested food; no direct measurement found in the pooled sources</t>
        </is>
      </c>
      <c r="M304" s="7" t="inlineStr">
        <is>
          <t>no direct match</t>
        </is>
      </c>
      <c r="N304" s="6" t="inlineStr"/>
      <c r="O30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4" s="7" t="inlineStr">
        <is>
          <t>USDA FoodData Central (SR Legacy / Foundation Foods), fdc.nal.usda.gov</t>
        </is>
      </c>
      <c r="Q304" s="6" t="inlineStr">
        <is>
          <t>2026-09-26</t>
        </is>
      </c>
    </row>
    <row r="305">
      <c r="A305" s="6" t="inlineStr">
        <is>
          <t>pork_rinds</t>
        </is>
      </c>
      <c r="B305" s="6" t="inlineStr">
        <is>
          <t>Pork rinds, crushed</t>
        </is>
      </c>
      <c r="C305" s="6" t="inlineStr">
        <is>
          <t>protein</t>
        </is>
      </c>
      <c r="D305" s="6" t="n">
        <v>544</v>
      </c>
      <c r="E305" s="6" t="n">
        <v>61</v>
      </c>
      <c r="F305" s="6" t="n">
        <v>31</v>
      </c>
      <c r="G305" s="6" t="n">
        <v>0</v>
      </c>
      <c r="H305" s="6" t="n">
        <v>0</v>
      </c>
      <c r="I305" s="6" t="n">
        <v>0</v>
      </c>
      <c r="J305" s="6" t="n">
        <v>0</v>
      </c>
      <c r="K305" s="6" t="inlineStr">
        <is>
          <t>definitional</t>
        </is>
      </c>
      <c r="L305" s="7" t="inlineStr">
        <is>
          <t>No available carbohydrate — GI is 0 by definition (protein / fat / water)</t>
        </is>
      </c>
      <c r="M305" s="7" t="inlineStr">
        <is>
          <t>n/a</t>
        </is>
      </c>
      <c r="N305" s="6" t="inlineStr"/>
      <c r="O305" s="7" t="inlineStr">
        <is>
          <t>ISO 26642:2010</t>
        </is>
      </c>
      <c r="P305" s="7" t="inlineStr">
        <is>
          <t>USDA FoodData Central (SR Legacy / Foundation Foods), fdc.nal.usda.gov</t>
        </is>
      </c>
      <c r="Q305" s="6" t="inlineStr">
        <is>
          <t>2026-09-26</t>
        </is>
      </c>
    </row>
    <row r="306">
      <c r="A306" s="6" t="inlineStr">
        <is>
          <t>basil</t>
        </is>
      </c>
      <c r="B306" s="6" t="inlineStr">
        <is>
          <t>Fresh basil</t>
        </is>
      </c>
      <c r="C306" s="6" t="inlineStr">
        <is>
          <t>herb</t>
        </is>
      </c>
      <c r="D306" s="6" t="n">
        <v>23</v>
      </c>
      <c r="E306" s="6" t="n">
        <v>3.2</v>
      </c>
      <c r="F306" s="6" t="n">
        <v>0.6</v>
      </c>
      <c r="G306" s="6" t="n">
        <v>2.7</v>
      </c>
      <c r="H306" s="6" t="n">
        <v>1.6</v>
      </c>
      <c r="I306" s="6" t="n">
        <v>1.1</v>
      </c>
      <c r="J306" s="6" t="n">
        <v>15</v>
      </c>
      <c r="K306" s="6" t="inlineStr">
        <is>
          <t>none (placeholder)</t>
        </is>
      </c>
      <c r="L306" s="7" t="inlineStr">
        <is>
          <t>Conventional placeholder for foods with too little carbohydrate to test (non-starchy vegetables, nuts, seeds, herbs); no published measurement exists</t>
        </is>
      </c>
      <c r="M306" s="7" t="inlineStr">
        <is>
          <t>not measurable</t>
        </is>
      </c>
      <c r="N306" s="6" t="inlineStr"/>
      <c r="O306" s="7" t="inlineStr">
        <is>
          <t>clinical convention</t>
        </is>
      </c>
      <c r="P306" s="7" t="inlineStr">
        <is>
          <t>USDA FoodData Central (SR Legacy / Foundation Foods), fdc.nal.usda.gov</t>
        </is>
      </c>
      <c r="Q306" s="6" t="inlineStr">
        <is>
          <t>2026-09-26</t>
        </is>
      </c>
    </row>
    <row r="307">
      <c r="A307" s="6" t="inlineStr">
        <is>
          <t>cilantro</t>
        </is>
      </c>
      <c r="B307" s="6" t="inlineStr">
        <is>
          <t>Fresh cilantro</t>
        </is>
      </c>
      <c r="C307" s="6" t="inlineStr">
        <is>
          <t>herb</t>
        </is>
      </c>
      <c r="D307" s="6" t="n">
        <v>23</v>
      </c>
      <c r="E307" s="6" t="n">
        <v>2.1</v>
      </c>
      <c r="F307" s="6" t="n">
        <v>0.5</v>
      </c>
      <c r="G307" s="6" t="n">
        <v>3.7</v>
      </c>
      <c r="H307" s="6" t="n">
        <v>2.8</v>
      </c>
      <c r="I307" s="6" t="n">
        <v>0.9</v>
      </c>
      <c r="J307" s="6" t="n">
        <v>15</v>
      </c>
      <c r="K307" s="6" t="inlineStr">
        <is>
          <t>none (placeholder)</t>
        </is>
      </c>
      <c r="L307" s="7" t="inlineStr">
        <is>
          <t>Conventional placeholder for foods with too little carbohydrate to test (non-starchy vegetables, nuts, seeds, herbs); no published measurement exists</t>
        </is>
      </c>
      <c r="M307" s="7" t="inlineStr">
        <is>
          <t>not measurable</t>
        </is>
      </c>
      <c r="N307" s="6" t="inlineStr"/>
      <c r="O307" s="7" t="inlineStr">
        <is>
          <t>clinical convention</t>
        </is>
      </c>
      <c r="P307" s="7" t="inlineStr">
        <is>
          <t>USDA FoodData Central (SR Legacy / Foundation Foods), fdc.nal.usda.gov</t>
        </is>
      </c>
      <c r="Q307" s="6" t="inlineStr">
        <is>
          <t>2026-09-26</t>
        </is>
      </c>
    </row>
    <row r="308">
      <c r="A308" s="6" t="inlineStr">
        <is>
          <t>parsley</t>
        </is>
      </c>
      <c r="B308" s="6" t="inlineStr">
        <is>
          <t>Fresh parsley</t>
        </is>
      </c>
      <c r="C308" s="6" t="inlineStr">
        <is>
          <t>herb</t>
        </is>
      </c>
      <c r="D308" s="6" t="n">
        <v>36</v>
      </c>
      <c r="E308" s="6" t="n">
        <v>3</v>
      </c>
      <c r="F308" s="6" t="n">
        <v>0.8</v>
      </c>
      <c r="G308" s="6" t="n">
        <v>6.3</v>
      </c>
      <c r="H308" s="6" t="n">
        <v>3.3</v>
      </c>
      <c r="I308" s="6" t="n">
        <v>3</v>
      </c>
      <c r="J308" s="6" t="n">
        <v>15</v>
      </c>
      <c r="K308" s="6" t="inlineStr">
        <is>
          <t>none (placeholder)</t>
        </is>
      </c>
      <c r="L308" s="7" t="inlineStr">
        <is>
          <t>Conventional placeholder for foods with too little carbohydrate to test (non-starchy vegetables, nuts, seeds, herbs); no published measurement exists</t>
        </is>
      </c>
      <c r="M308" s="7" t="inlineStr">
        <is>
          <t>not measurable</t>
        </is>
      </c>
      <c r="N308" s="6" t="inlineStr"/>
      <c r="O308" s="7" t="inlineStr">
        <is>
          <t>clinical convention</t>
        </is>
      </c>
      <c r="P308" s="7" t="inlineStr">
        <is>
          <t>USDA FoodData Central (SR Legacy / Foundation Foods), fdc.nal.usda.gov</t>
        </is>
      </c>
      <c r="Q308" s="6" t="inlineStr">
        <is>
          <t>2026-09-26</t>
        </is>
      </c>
    </row>
    <row r="309">
      <c r="A309" s="6" t="inlineStr">
        <is>
          <t>dill</t>
        </is>
      </c>
      <c r="B309" s="6" t="inlineStr">
        <is>
          <t>Fresh dill</t>
        </is>
      </c>
      <c r="C309" s="6" t="inlineStr">
        <is>
          <t>herb</t>
        </is>
      </c>
      <c r="D309" s="6" t="n">
        <v>43</v>
      </c>
      <c r="E309" s="6" t="n">
        <v>3.5</v>
      </c>
      <c r="F309" s="6" t="n">
        <v>1.1</v>
      </c>
      <c r="G309" s="6" t="n">
        <v>7</v>
      </c>
      <c r="H309" s="6" t="n">
        <v>2.1</v>
      </c>
      <c r="I309" s="6" t="n">
        <v>4.9</v>
      </c>
      <c r="J309" s="6" t="n">
        <v>15</v>
      </c>
      <c r="K309" s="6" t="inlineStr">
        <is>
          <t>none (placeholder)</t>
        </is>
      </c>
      <c r="L309" s="7" t="inlineStr">
        <is>
          <t>Conventional placeholder for foods with too little carbohydrate to test (non-starchy vegetables, nuts, seeds, herbs); no published measurement exists</t>
        </is>
      </c>
      <c r="M309" s="7" t="inlineStr">
        <is>
          <t>not measurable</t>
        </is>
      </c>
      <c r="N309" s="6" t="inlineStr"/>
      <c r="O309" s="7" t="inlineStr">
        <is>
          <t>clinical convention</t>
        </is>
      </c>
      <c r="P309" s="7" t="inlineStr">
        <is>
          <t>USDA FoodData Central (SR Legacy / Foundation Foods), fdc.nal.usda.gov</t>
        </is>
      </c>
      <c r="Q309" s="6" t="inlineStr">
        <is>
          <t>2026-09-26</t>
        </is>
      </c>
    </row>
    <row r="310">
      <c r="A310" s="6" t="inlineStr">
        <is>
          <t>mint</t>
        </is>
      </c>
      <c r="B310" s="6" t="inlineStr">
        <is>
          <t>Fresh mint</t>
        </is>
      </c>
      <c r="C310" s="6" t="inlineStr">
        <is>
          <t>herb</t>
        </is>
      </c>
      <c r="D310" s="6" t="n">
        <v>44</v>
      </c>
      <c r="E310" s="6" t="n">
        <v>3.3</v>
      </c>
      <c r="F310" s="6" t="n">
        <v>0.7</v>
      </c>
      <c r="G310" s="6" t="n">
        <v>8.4</v>
      </c>
      <c r="H310" s="6" t="n">
        <v>6.8</v>
      </c>
      <c r="I310" s="6" t="n">
        <v>1.6</v>
      </c>
      <c r="J310" s="6" t="n">
        <v>15</v>
      </c>
      <c r="K310" s="6" t="inlineStr">
        <is>
          <t>none (placeholder)</t>
        </is>
      </c>
      <c r="L310" s="7" t="inlineStr">
        <is>
          <t>Conventional placeholder for foods with too little carbohydrate to test (non-starchy vegetables, nuts, seeds, herbs); no published measurement exists</t>
        </is>
      </c>
      <c r="M310" s="7" t="inlineStr">
        <is>
          <t>not measurable</t>
        </is>
      </c>
      <c r="N310" s="6" t="inlineStr"/>
      <c r="O310" s="7" t="inlineStr">
        <is>
          <t>clinical convention</t>
        </is>
      </c>
      <c r="P310" s="7" t="inlineStr">
        <is>
          <t>USDA FoodData Central (SR Legacy / Foundation Foods), fdc.nal.usda.gov</t>
        </is>
      </c>
      <c r="Q310" s="6" t="inlineStr">
        <is>
          <t>2026-09-26</t>
        </is>
      </c>
    </row>
    <row r="311">
      <c r="A311" s="6" t="inlineStr">
        <is>
          <t>chives</t>
        </is>
      </c>
      <c r="B311" s="6" t="inlineStr">
        <is>
          <t>Fresh chives</t>
        </is>
      </c>
      <c r="C311" s="6" t="inlineStr">
        <is>
          <t>herb</t>
        </is>
      </c>
      <c r="D311" s="6" t="n">
        <v>30</v>
      </c>
      <c r="E311" s="6" t="n">
        <v>3.3</v>
      </c>
      <c r="F311" s="6" t="n">
        <v>0.7</v>
      </c>
      <c r="G311" s="6" t="n">
        <v>4.4</v>
      </c>
      <c r="H311" s="6" t="n">
        <v>2.5</v>
      </c>
      <c r="I311" s="6" t="n">
        <v>1.9</v>
      </c>
      <c r="J311" s="6" t="n">
        <v>15</v>
      </c>
      <c r="K311" s="6" t="inlineStr">
        <is>
          <t>none (placeholder)</t>
        </is>
      </c>
      <c r="L311" s="7" t="inlineStr">
        <is>
          <t>Conventional placeholder for foods with too little carbohydrate to test (non-starchy vegetables, nuts, seeds, herbs); no published measurement exists</t>
        </is>
      </c>
      <c r="M311" s="7" t="inlineStr">
        <is>
          <t>not measurable</t>
        </is>
      </c>
      <c r="N311" s="6" t="inlineStr"/>
      <c r="O311" s="7" t="inlineStr">
        <is>
          <t>clinical convention</t>
        </is>
      </c>
      <c r="P311" s="7" t="inlineStr">
        <is>
          <t>USDA FoodData Central (SR Legacy / Foundation Foods), fdc.nal.usda.gov</t>
        </is>
      </c>
      <c r="Q311" s="6" t="inlineStr">
        <is>
          <t>2026-09-26</t>
        </is>
      </c>
    </row>
    <row r="312">
      <c r="A312" s="6" t="inlineStr">
        <is>
          <t>rosemary</t>
        </is>
      </c>
      <c r="B312" s="6" t="inlineStr">
        <is>
          <t>Fresh rosemary</t>
        </is>
      </c>
      <c r="C312" s="6" t="inlineStr">
        <is>
          <t>herb</t>
        </is>
      </c>
      <c r="D312" s="6" t="n">
        <v>131</v>
      </c>
      <c r="E312" s="6" t="n">
        <v>3.3</v>
      </c>
      <c r="F312" s="6" t="n">
        <v>5.9</v>
      </c>
      <c r="G312" s="6" t="n">
        <v>20.7</v>
      </c>
      <c r="H312" s="6" t="n">
        <v>14.1</v>
      </c>
      <c r="I312" s="6" t="n">
        <v>6.6</v>
      </c>
      <c r="J312" s="6" t="n">
        <v>15</v>
      </c>
      <c r="K312" s="6" t="inlineStr">
        <is>
          <t>none (placeholder)</t>
        </is>
      </c>
      <c r="L312" s="7" t="inlineStr">
        <is>
          <t>Conventional placeholder for foods with too little carbohydrate to test (non-starchy vegetables, nuts, seeds, herbs); no published measurement exists</t>
        </is>
      </c>
      <c r="M312" s="7" t="inlineStr">
        <is>
          <t>not measurable</t>
        </is>
      </c>
      <c r="N312" s="6" t="inlineStr"/>
      <c r="O312" s="7" t="inlineStr">
        <is>
          <t>clinical convention</t>
        </is>
      </c>
      <c r="P312" s="7" t="inlineStr">
        <is>
          <t>USDA FoodData Central (SR Legacy / Foundation Foods), fdc.nal.usda.gov</t>
        </is>
      </c>
      <c r="Q312" s="6" t="inlineStr">
        <is>
          <t>2026-09-26</t>
        </is>
      </c>
    </row>
    <row r="313">
      <c r="A313" s="6" t="inlineStr">
        <is>
          <t>thyme</t>
        </is>
      </c>
      <c r="B313" s="6" t="inlineStr">
        <is>
          <t>Fresh thyme</t>
        </is>
      </c>
      <c r="C313" s="6" t="inlineStr">
        <is>
          <t>herb</t>
        </is>
      </c>
      <c r="D313" s="6" t="n">
        <v>101</v>
      </c>
      <c r="E313" s="6" t="n">
        <v>5.6</v>
      </c>
      <c r="F313" s="6" t="n">
        <v>1.7</v>
      </c>
      <c r="G313" s="6" t="n">
        <v>24</v>
      </c>
      <c r="H313" s="6" t="n">
        <v>14</v>
      </c>
      <c r="I313" s="6" t="n">
        <v>10</v>
      </c>
      <c r="J313" s="6" t="n">
        <v>15</v>
      </c>
      <c r="K313" s="6" t="inlineStr">
        <is>
          <t>none (placeholder)</t>
        </is>
      </c>
      <c r="L313" s="7" t="inlineStr">
        <is>
          <t>Conventional placeholder for foods with too little carbohydrate to test (non-starchy vegetables, nuts, seeds, herbs); no published measurement exists</t>
        </is>
      </c>
      <c r="M313" s="7" t="inlineStr">
        <is>
          <t>not measurable</t>
        </is>
      </c>
      <c r="N313" s="6" t="inlineStr"/>
      <c r="O313" s="7" t="inlineStr">
        <is>
          <t>clinical convention</t>
        </is>
      </c>
      <c r="P313" s="7" t="inlineStr">
        <is>
          <t>USDA FoodData Central (SR Legacy / Foundation Foods), fdc.nal.usda.gov</t>
        </is>
      </c>
      <c r="Q313" s="6" t="inlineStr">
        <is>
          <t>2026-09-26</t>
        </is>
      </c>
    </row>
    <row r="314">
      <c r="A314" s="6" t="inlineStr">
        <is>
          <t>oregano_fresh</t>
        </is>
      </c>
      <c r="B314" s="6" t="inlineStr">
        <is>
          <t>Fresh oregano</t>
        </is>
      </c>
      <c r="C314" s="6" t="inlineStr">
        <is>
          <t>herb</t>
        </is>
      </c>
      <c r="D314" s="6" t="n">
        <v>66</v>
      </c>
      <c r="E314" s="6" t="n">
        <v>2.2</v>
      </c>
      <c r="F314" s="6" t="n">
        <v>1.4</v>
      </c>
      <c r="G314" s="6" t="n">
        <v>15</v>
      </c>
      <c r="H314" s="6" t="n">
        <v>8.6</v>
      </c>
      <c r="I314" s="6" t="n">
        <v>6.4</v>
      </c>
      <c r="J314" s="6" t="n">
        <v>15</v>
      </c>
      <c r="K314" s="6" t="inlineStr">
        <is>
          <t>none (placeholder)</t>
        </is>
      </c>
      <c r="L314" s="7" t="inlineStr">
        <is>
          <t>Conventional placeholder for foods with too little carbohydrate to test (non-starchy vegetables, nuts, seeds, herbs); no published measurement exists</t>
        </is>
      </c>
      <c r="M314" s="7" t="inlineStr">
        <is>
          <t>not measurable</t>
        </is>
      </c>
      <c r="N314" s="6" t="inlineStr"/>
      <c r="O314" s="7" t="inlineStr">
        <is>
          <t>clinical convention</t>
        </is>
      </c>
      <c r="P314" s="7" t="inlineStr">
        <is>
          <t>USDA FoodData Central (SR Legacy / Foundation Foods), fdc.nal.usda.gov</t>
        </is>
      </c>
      <c r="Q314" s="6" t="inlineStr">
        <is>
          <t>2026-09-26</t>
        </is>
      </c>
    </row>
    <row r="315">
      <c r="A315" s="6" t="inlineStr">
        <is>
          <t>sage</t>
        </is>
      </c>
      <c r="B315" s="6" t="inlineStr">
        <is>
          <t>Fresh sage</t>
        </is>
      </c>
      <c r="C315" s="6" t="inlineStr">
        <is>
          <t>herb</t>
        </is>
      </c>
      <c r="D315" s="6" t="n">
        <v>315</v>
      </c>
      <c r="E315" s="6" t="n">
        <v>10.6</v>
      </c>
      <c r="F315" s="6" t="n">
        <v>12.7</v>
      </c>
      <c r="G315" s="6" t="n">
        <v>60</v>
      </c>
      <c r="H315" s="6" t="n">
        <v>40</v>
      </c>
      <c r="I315" s="6" t="n">
        <v>20</v>
      </c>
      <c r="J315" s="6" t="n">
        <v>15</v>
      </c>
      <c r="K315" s="6" t="inlineStr">
        <is>
          <t>none (placeholder)</t>
        </is>
      </c>
      <c r="L315" s="7" t="inlineStr">
        <is>
          <t>Conventional placeholder for foods with too little carbohydrate to test (non-starchy vegetables, nuts, seeds, herbs); no published measurement exists</t>
        </is>
      </c>
      <c r="M315" s="7" t="inlineStr">
        <is>
          <t>not measurable</t>
        </is>
      </c>
      <c r="N315" s="6" t="inlineStr"/>
      <c r="O315" s="7" t="inlineStr">
        <is>
          <t>clinical convention</t>
        </is>
      </c>
      <c r="P315" s="7" t="inlineStr">
        <is>
          <t>USDA FoodData Central (SR Legacy / Foundation Foods), fdc.nal.usda.gov</t>
        </is>
      </c>
      <c r="Q315" s="6" t="inlineStr">
        <is>
          <t>2026-09-26</t>
        </is>
      </c>
    </row>
    <row r="316">
      <c r="A316" s="6" t="inlineStr">
        <is>
          <t>lemongrass</t>
        </is>
      </c>
      <c r="B316" s="6" t="inlineStr">
        <is>
          <t>Lemongrass</t>
        </is>
      </c>
      <c r="C316" s="6" t="inlineStr">
        <is>
          <t>herb</t>
        </is>
      </c>
      <c r="D316" s="6" t="n">
        <v>99</v>
      </c>
      <c r="E316" s="6" t="n">
        <v>1.8</v>
      </c>
      <c r="F316" s="6" t="n">
        <v>0.5</v>
      </c>
      <c r="G316" s="6" t="n">
        <v>25</v>
      </c>
      <c r="H316" s="6" t="n">
        <v>0</v>
      </c>
      <c r="I316" s="6" t="n">
        <v>25</v>
      </c>
      <c r="J316" s="6" t="n">
        <v>15</v>
      </c>
      <c r="K316" s="6" t="inlineStr">
        <is>
          <t>none (placeholder)</t>
        </is>
      </c>
      <c r="L316" s="7" t="inlineStr">
        <is>
          <t>Conventional placeholder for foods with too little carbohydrate to test (non-starchy vegetables, nuts, seeds, herbs); no published measurement exists</t>
        </is>
      </c>
      <c r="M316" s="7" t="inlineStr">
        <is>
          <t>not measurable</t>
        </is>
      </c>
      <c r="N316" s="6" t="inlineStr"/>
      <c r="O316" s="7" t="inlineStr">
        <is>
          <t>clinical convention</t>
        </is>
      </c>
      <c r="P316" s="7" t="inlineStr">
        <is>
          <t>USDA FoodData Central (SR Legacy / Foundation Foods), fdc.nal.usda.gov</t>
        </is>
      </c>
      <c r="Q316" s="6" t="inlineStr">
        <is>
          <t>2026-09-26</t>
        </is>
      </c>
    </row>
    <row r="317">
      <c r="A317" s="6" t="inlineStr">
        <is>
          <t>salt</t>
        </is>
      </c>
      <c r="B317" s="6" t="inlineStr">
        <is>
          <t>Salt</t>
        </is>
      </c>
      <c r="C317" s="6" t="inlineStr">
        <is>
          <t>spice</t>
        </is>
      </c>
      <c r="D317" s="6" t="n">
        <v>0</v>
      </c>
      <c r="E317" s="6" t="n">
        <v>0</v>
      </c>
      <c r="F317" s="6" t="n">
        <v>0</v>
      </c>
      <c r="G317" s="6" t="n">
        <v>0</v>
      </c>
      <c r="H317" s="6" t="n">
        <v>0</v>
      </c>
      <c r="I317" s="6" t="n">
        <v>0</v>
      </c>
      <c r="J317" s="6" t="n">
        <v>0</v>
      </c>
      <c r="K317" s="6" t="inlineStr">
        <is>
          <t>definitional</t>
        </is>
      </c>
      <c r="L317" s="7" t="inlineStr">
        <is>
          <t>No available carbohydrate — GI is 0 by definition (protein / fat / water)</t>
        </is>
      </c>
      <c r="M317" s="7" t="inlineStr">
        <is>
          <t>n/a</t>
        </is>
      </c>
      <c r="N317" s="6" t="inlineStr"/>
      <c r="O317" s="7" t="inlineStr">
        <is>
          <t>ISO 26642:2010</t>
        </is>
      </c>
      <c r="P317" s="7" t="inlineStr">
        <is>
          <t>USDA FoodData Central (SR Legacy / Foundation Foods), fdc.nal.usda.gov</t>
        </is>
      </c>
      <c r="Q317" s="6" t="inlineStr">
        <is>
          <t>2026-09-26</t>
        </is>
      </c>
    </row>
    <row r="318">
      <c r="A318" s="6" t="inlineStr">
        <is>
          <t>black_pepper</t>
        </is>
      </c>
      <c r="B318" s="6" t="inlineStr">
        <is>
          <t>Black pepper</t>
        </is>
      </c>
      <c r="C318" s="6" t="inlineStr">
        <is>
          <t>spice</t>
        </is>
      </c>
      <c r="D318" s="6" t="n">
        <v>251</v>
      </c>
      <c r="E318" s="6" t="n">
        <v>10</v>
      </c>
      <c r="F318" s="6" t="n">
        <v>3.3</v>
      </c>
      <c r="G318" s="6" t="n">
        <v>64</v>
      </c>
      <c r="H318" s="6" t="n">
        <v>25</v>
      </c>
      <c r="I318" s="6" t="n">
        <v>39</v>
      </c>
      <c r="J318" s="6" t="n">
        <v>15</v>
      </c>
      <c r="K318" s="6" t="inlineStr">
        <is>
          <t>none (placeholder)</t>
        </is>
      </c>
      <c r="L318" s="7" t="inlineStr">
        <is>
          <t>Conventional placeholder for foods with too little carbohydrate to test (non-starchy vegetables, nuts, seeds, herbs); no published measurement exists</t>
        </is>
      </c>
      <c r="M318" s="7" t="inlineStr">
        <is>
          <t>not measurable</t>
        </is>
      </c>
      <c r="N318" s="6" t="inlineStr"/>
      <c r="O318" s="7" t="inlineStr">
        <is>
          <t>clinical convention</t>
        </is>
      </c>
      <c r="P318" s="7" t="inlineStr">
        <is>
          <t>USDA FoodData Central (SR Legacy / Foundation Foods), fdc.nal.usda.gov</t>
        </is>
      </c>
      <c r="Q318" s="6" t="inlineStr">
        <is>
          <t>2026-09-26</t>
        </is>
      </c>
    </row>
    <row r="319">
      <c r="A319" s="6" t="inlineStr">
        <is>
          <t>spice</t>
        </is>
      </c>
      <c r="B319" s="6" t="inlineStr">
        <is>
          <t>Dried spices/herbs (generic)</t>
        </is>
      </c>
      <c r="C319" s="6" t="inlineStr">
        <is>
          <t>spice</t>
        </is>
      </c>
      <c r="D319" s="6" t="n">
        <v>300</v>
      </c>
      <c r="E319" s="6" t="n">
        <v>10</v>
      </c>
      <c r="F319" s="6" t="n">
        <v>8</v>
      </c>
      <c r="G319" s="6" t="n">
        <v>55</v>
      </c>
      <c r="H319" s="6" t="n">
        <v>25</v>
      </c>
      <c r="I319" s="6" t="n">
        <v>30</v>
      </c>
      <c r="J319" s="6" t="n">
        <v>15</v>
      </c>
      <c r="K319" s="6" t="inlineStr">
        <is>
          <t>none (placeholder)</t>
        </is>
      </c>
      <c r="L319" s="7" t="inlineStr">
        <is>
          <t>Conventional placeholder for foods with too little carbohydrate to test (non-starchy vegetables, nuts, seeds, herbs); no published measurement exists</t>
        </is>
      </c>
      <c r="M319" s="7" t="inlineStr">
        <is>
          <t>not measurable</t>
        </is>
      </c>
      <c r="N319" s="6" t="inlineStr"/>
      <c r="O319" s="7" t="inlineStr">
        <is>
          <t>clinical convention</t>
        </is>
      </c>
      <c r="P319" s="7" t="inlineStr">
        <is>
          <t>USDA FoodData Central (SR Legacy / Foundation Foods), fdc.nal.usda.gov</t>
        </is>
      </c>
      <c r="Q319" s="6" t="inlineStr">
        <is>
          <t>2026-09-26</t>
        </is>
      </c>
    </row>
    <row r="320">
      <c r="A320" s="6" t="inlineStr">
        <is>
          <t>cumin</t>
        </is>
      </c>
      <c r="B320" s="6" t="inlineStr">
        <is>
          <t>Ground cumin</t>
        </is>
      </c>
      <c r="C320" s="6" t="inlineStr">
        <is>
          <t>spice</t>
        </is>
      </c>
      <c r="D320" s="6" t="n">
        <v>375</v>
      </c>
      <c r="E320" s="6" t="n">
        <v>18</v>
      </c>
      <c r="F320" s="6" t="n">
        <v>22</v>
      </c>
      <c r="G320" s="6" t="n">
        <v>44</v>
      </c>
      <c r="H320" s="6" t="n">
        <v>10.5</v>
      </c>
      <c r="I320" s="6" t="n">
        <v>33.5</v>
      </c>
      <c r="J320" s="6" t="n">
        <v>15</v>
      </c>
      <c r="K320" s="6" t="inlineStr">
        <is>
          <t>none (placeholder)</t>
        </is>
      </c>
      <c r="L320" s="7" t="inlineStr">
        <is>
          <t>Conventional placeholder for foods with too little carbohydrate to test (non-starchy vegetables, nuts, seeds, herbs); no published measurement exists</t>
        </is>
      </c>
      <c r="M320" s="7" t="inlineStr">
        <is>
          <t>not measurable</t>
        </is>
      </c>
      <c r="N320" s="6" t="inlineStr"/>
      <c r="O320" s="7" t="inlineStr">
        <is>
          <t>clinical convention</t>
        </is>
      </c>
      <c r="P320" s="7" t="inlineStr">
        <is>
          <t>USDA FoodData Central (SR Legacy / Foundation Foods), fdc.nal.usda.gov</t>
        </is>
      </c>
      <c r="Q320" s="6" t="inlineStr">
        <is>
          <t>2026-09-26</t>
        </is>
      </c>
    </row>
    <row r="321">
      <c r="A321" s="6" t="inlineStr">
        <is>
          <t>chili_powder</t>
        </is>
      </c>
      <c r="B321" s="6" t="inlineStr">
        <is>
          <t>Chili powder</t>
        </is>
      </c>
      <c r="C321" s="6" t="inlineStr">
        <is>
          <t>spice</t>
        </is>
      </c>
      <c r="D321" s="6" t="n">
        <v>282</v>
      </c>
      <c r="E321" s="6" t="n">
        <v>13.5</v>
      </c>
      <c r="F321" s="6" t="n">
        <v>14</v>
      </c>
      <c r="G321" s="6" t="n">
        <v>50</v>
      </c>
      <c r="H321" s="6" t="n">
        <v>35</v>
      </c>
      <c r="I321" s="6" t="n">
        <v>15</v>
      </c>
      <c r="J321" s="6" t="n">
        <v>15</v>
      </c>
      <c r="K321" s="6" t="inlineStr">
        <is>
          <t>none (placeholder)</t>
        </is>
      </c>
      <c r="L321" s="7" t="inlineStr">
        <is>
          <t>Conventional placeholder for foods with too little carbohydrate to test (non-starchy vegetables, nuts, seeds, herbs); no published measurement exists</t>
        </is>
      </c>
      <c r="M321" s="7" t="inlineStr">
        <is>
          <t>not measurable</t>
        </is>
      </c>
      <c r="N321" s="6" t="inlineStr"/>
      <c r="O321" s="7" t="inlineStr">
        <is>
          <t>clinical convention</t>
        </is>
      </c>
      <c r="P321" s="7" t="inlineStr">
        <is>
          <t>USDA FoodData Central (SR Legacy / Foundation Foods), fdc.nal.usda.gov</t>
        </is>
      </c>
      <c r="Q321" s="6" t="inlineStr">
        <is>
          <t>2026-09-26</t>
        </is>
      </c>
    </row>
    <row r="322">
      <c r="A322" s="6" t="inlineStr">
        <is>
          <t>smoked_paprika</t>
        </is>
      </c>
      <c r="B322" s="6" t="inlineStr">
        <is>
          <t>Smoked paprika</t>
        </is>
      </c>
      <c r="C322" s="6" t="inlineStr">
        <is>
          <t>spice</t>
        </is>
      </c>
      <c r="D322" s="6" t="n">
        <v>282</v>
      </c>
      <c r="E322" s="6" t="n">
        <v>14</v>
      </c>
      <c r="F322" s="6" t="n">
        <v>13</v>
      </c>
      <c r="G322" s="6" t="n">
        <v>54</v>
      </c>
      <c r="H322" s="6" t="n">
        <v>35</v>
      </c>
      <c r="I322" s="6" t="n">
        <v>19</v>
      </c>
      <c r="J322" s="6" t="n">
        <v>15</v>
      </c>
      <c r="K322" s="6" t="inlineStr">
        <is>
          <t>none (placeholder)</t>
        </is>
      </c>
      <c r="L322" s="7" t="inlineStr">
        <is>
          <t>Conventional placeholder for foods with too little carbohydrate to test (non-starchy vegetables, nuts, seeds, herbs); no published measurement exists</t>
        </is>
      </c>
      <c r="M322" s="7" t="inlineStr">
        <is>
          <t>not measurable</t>
        </is>
      </c>
      <c r="N322" s="6" t="inlineStr"/>
      <c r="O322" s="7" t="inlineStr">
        <is>
          <t>clinical convention</t>
        </is>
      </c>
      <c r="P322" s="7" t="inlineStr">
        <is>
          <t>USDA FoodData Central (SR Legacy / Foundation Foods), fdc.nal.usda.gov</t>
        </is>
      </c>
      <c r="Q322" s="6" t="inlineStr">
        <is>
          <t>2026-09-26</t>
        </is>
      </c>
    </row>
    <row r="323">
      <c r="A323" s="6" t="inlineStr">
        <is>
          <t>paprika</t>
        </is>
      </c>
      <c r="B323" s="6" t="inlineStr">
        <is>
          <t>Paprika</t>
        </is>
      </c>
      <c r="C323" s="6" t="inlineStr">
        <is>
          <t>spice</t>
        </is>
      </c>
      <c r="D323" s="6" t="n">
        <v>282</v>
      </c>
      <c r="E323" s="6" t="n">
        <v>14</v>
      </c>
      <c r="F323" s="6" t="n">
        <v>13</v>
      </c>
      <c r="G323" s="6" t="n">
        <v>54</v>
      </c>
      <c r="H323" s="6" t="n">
        <v>35</v>
      </c>
      <c r="I323" s="6" t="n">
        <v>19</v>
      </c>
      <c r="J323" s="6" t="n">
        <v>15</v>
      </c>
      <c r="K323" s="6" t="inlineStr">
        <is>
          <t>none (placeholder)</t>
        </is>
      </c>
      <c r="L323" s="7" t="inlineStr">
        <is>
          <t>Conventional placeholder for foods with too little carbohydrate to test (non-starchy vegetables, nuts, seeds, herbs); no published measurement exists</t>
        </is>
      </c>
      <c r="M323" s="7" t="inlineStr">
        <is>
          <t>not measurable</t>
        </is>
      </c>
      <c r="N323" s="6" t="inlineStr"/>
      <c r="O323" s="7" t="inlineStr">
        <is>
          <t>clinical convention</t>
        </is>
      </c>
      <c r="P323" s="7" t="inlineStr">
        <is>
          <t>USDA FoodData Central (SR Legacy / Foundation Foods), fdc.nal.usda.gov</t>
        </is>
      </c>
      <c r="Q323" s="6" t="inlineStr">
        <is>
          <t>2026-09-26</t>
        </is>
      </c>
    </row>
    <row r="324">
      <c r="A324" s="6" t="inlineStr">
        <is>
          <t>turmeric</t>
        </is>
      </c>
      <c r="B324" s="6" t="inlineStr">
        <is>
          <t>Ground turmeric</t>
        </is>
      </c>
      <c r="C324" s="6" t="inlineStr">
        <is>
          <t>spice</t>
        </is>
      </c>
      <c r="D324" s="6" t="n">
        <v>312</v>
      </c>
      <c r="E324" s="6" t="n">
        <v>9.699999999999999</v>
      </c>
      <c r="F324" s="6" t="n">
        <v>3.3</v>
      </c>
      <c r="G324" s="6" t="n">
        <v>67</v>
      </c>
      <c r="H324" s="6" t="n">
        <v>22.7</v>
      </c>
      <c r="I324" s="6" t="n">
        <v>44.3</v>
      </c>
      <c r="J324" s="6" t="n">
        <v>15</v>
      </c>
      <c r="K324" s="6" t="inlineStr">
        <is>
          <t>none (placeholder)</t>
        </is>
      </c>
      <c r="L324" s="7" t="inlineStr">
        <is>
          <t>Conventional placeholder for foods with too little carbohydrate to test (non-starchy vegetables, nuts, seeds, herbs); no published measurement exists</t>
        </is>
      </c>
      <c r="M324" s="7" t="inlineStr">
        <is>
          <t>not measurable</t>
        </is>
      </c>
      <c r="N324" s="6" t="inlineStr"/>
      <c r="O324" s="7" t="inlineStr">
        <is>
          <t>clinical convention</t>
        </is>
      </c>
      <c r="P324" s="7" t="inlineStr">
        <is>
          <t>USDA FoodData Central (SR Legacy / Foundation Foods), fdc.nal.usda.gov</t>
        </is>
      </c>
      <c r="Q324" s="6" t="inlineStr">
        <is>
          <t>2026-09-26</t>
        </is>
      </c>
    </row>
    <row r="325">
      <c r="A325" s="6" t="inlineStr">
        <is>
          <t>cinnamon</t>
        </is>
      </c>
      <c r="B325" s="6" t="inlineStr">
        <is>
          <t>Ground cinnamon</t>
        </is>
      </c>
      <c r="C325" s="6" t="inlineStr">
        <is>
          <t>spice</t>
        </is>
      </c>
      <c r="D325" s="6" t="n">
        <v>247</v>
      </c>
      <c r="E325" s="6" t="n">
        <v>4</v>
      </c>
      <c r="F325" s="6" t="n">
        <v>1.2</v>
      </c>
      <c r="G325" s="6" t="n">
        <v>81</v>
      </c>
      <c r="H325" s="6" t="n">
        <v>53</v>
      </c>
      <c r="I325" s="6" t="n">
        <v>28</v>
      </c>
      <c r="J325" s="6" t="n">
        <v>5</v>
      </c>
      <c r="K325" s="6" t="inlineStr">
        <is>
          <t>low</t>
        </is>
      </c>
      <c r="L325" s="7" t="inlineStr">
        <is>
          <t>Estimated from the closest tested food; no direct measurement found in the pooled sources</t>
        </is>
      </c>
      <c r="M325" s="7" t="inlineStr">
        <is>
          <t>no direct match</t>
        </is>
      </c>
      <c r="N325" s="6" t="inlineStr"/>
      <c r="O3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25" s="7" t="inlineStr">
        <is>
          <t>USDA FoodData Central (SR Legacy / Foundation Foods), fdc.nal.usda.gov</t>
        </is>
      </c>
      <c r="Q325" s="6" t="inlineStr">
        <is>
          <t>2026-09-26</t>
        </is>
      </c>
    </row>
    <row r="326">
      <c r="A326" s="6" t="inlineStr">
        <is>
          <t>nutmeg</t>
        </is>
      </c>
      <c r="B326" s="6" t="inlineStr">
        <is>
          <t>Ground nutmeg</t>
        </is>
      </c>
      <c r="C326" s="6" t="inlineStr">
        <is>
          <t>spice</t>
        </is>
      </c>
      <c r="D326" s="6" t="n">
        <v>525</v>
      </c>
      <c r="E326" s="6" t="n">
        <v>6</v>
      </c>
      <c r="F326" s="6" t="n">
        <v>36</v>
      </c>
      <c r="G326" s="6" t="n">
        <v>49</v>
      </c>
      <c r="H326" s="6" t="n">
        <v>21</v>
      </c>
      <c r="I326" s="6" t="n">
        <v>28</v>
      </c>
      <c r="J326" s="6" t="n">
        <v>15</v>
      </c>
      <c r="K326" s="6" t="inlineStr">
        <is>
          <t>none (placeholder)</t>
        </is>
      </c>
      <c r="L326" s="7" t="inlineStr">
        <is>
          <t>Conventional placeholder for foods with too little carbohydrate to test (non-starchy vegetables, nuts, seeds, herbs); no published measurement exists</t>
        </is>
      </c>
      <c r="M326" s="7" t="inlineStr">
        <is>
          <t>not measurable</t>
        </is>
      </c>
      <c r="N326" s="6" t="inlineStr"/>
      <c r="O326" s="7" t="inlineStr">
        <is>
          <t>clinical convention</t>
        </is>
      </c>
      <c r="P326" s="7" t="inlineStr">
        <is>
          <t>USDA FoodData Central (SR Legacy / Foundation Foods), fdc.nal.usda.gov</t>
        </is>
      </c>
      <c r="Q326" s="6" t="inlineStr">
        <is>
          <t>2026-09-26</t>
        </is>
      </c>
    </row>
    <row r="327">
      <c r="A327" s="6" t="inlineStr">
        <is>
          <t>cardamom</t>
        </is>
      </c>
      <c r="B327" s="6" t="inlineStr">
        <is>
          <t>Ground cardamom</t>
        </is>
      </c>
      <c r="C327" s="6" t="inlineStr">
        <is>
          <t>spice</t>
        </is>
      </c>
      <c r="D327" s="6" t="n">
        <v>311</v>
      </c>
      <c r="E327" s="6" t="n">
        <v>11</v>
      </c>
      <c r="F327" s="6" t="n">
        <v>7</v>
      </c>
      <c r="G327" s="6" t="n">
        <v>68</v>
      </c>
      <c r="H327" s="6" t="n">
        <v>28</v>
      </c>
      <c r="I327" s="6" t="n">
        <v>40</v>
      </c>
      <c r="J327" s="6" t="n">
        <v>15</v>
      </c>
      <c r="K327" s="6" t="inlineStr">
        <is>
          <t>none (placeholder)</t>
        </is>
      </c>
      <c r="L327" s="7" t="inlineStr">
        <is>
          <t>Conventional placeholder for foods with too little carbohydrate to test (non-starchy vegetables, nuts, seeds, herbs); no published measurement exists</t>
        </is>
      </c>
      <c r="M327" s="7" t="inlineStr">
        <is>
          <t>not measurable</t>
        </is>
      </c>
      <c r="N327" s="6" t="inlineStr"/>
      <c r="O327" s="7" t="inlineStr">
        <is>
          <t>clinical convention</t>
        </is>
      </c>
      <c r="P327" s="7" t="inlineStr">
        <is>
          <t>USDA FoodData Central (SR Legacy / Foundation Foods), fdc.nal.usda.gov</t>
        </is>
      </c>
      <c r="Q327" s="6" t="inlineStr">
        <is>
          <t>2026-09-26</t>
        </is>
      </c>
    </row>
    <row r="328">
      <c r="A328" s="6" t="inlineStr">
        <is>
          <t>cayenne</t>
        </is>
      </c>
      <c r="B328" s="6" t="inlineStr">
        <is>
          <t>Cayenne pepper</t>
        </is>
      </c>
      <c r="C328" s="6" t="inlineStr">
        <is>
          <t>spice</t>
        </is>
      </c>
      <c r="D328" s="6" t="n">
        <v>318</v>
      </c>
      <c r="E328" s="6" t="n">
        <v>12</v>
      </c>
      <c r="F328" s="6" t="n">
        <v>17</v>
      </c>
      <c r="G328" s="6" t="n">
        <v>57</v>
      </c>
      <c r="H328" s="6" t="n">
        <v>27</v>
      </c>
      <c r="I328" s="6" t="n">
        <v>30</v>
      </c>
      <c r="J328" s="6" t="n">
        <v>15</v>
      </c>
      <c r="K328" s="6" t="inlineStr">
        <is>
          <t>none (placeholder)</t>
        </is>
      </c>
      <c r="L328" s="7" t="inlineStr">
        <is>
          <t>Conventional placeholder for foods with too little carbohydrate to test (non-starchy vegetables, nuts, seeds, herbs); no published measurement exists</t>
        </is>
      </c>
      <c r="M328" s="7" t="inlineStr">
        <is>
          <t>not measurable</t>
        </is>
      </c>
      <c r="N328" s="6" t="inlineStr"/>
      <c r="O328" s="7" t="inlineStr">
        <is>
          <t>clinical convention</t>
        </is>
      </c>
      <c r="P328" s="7" t="inlineStr">
        <is>
          <t>USDA FoodData Central (SR Legacy / Foundation Foods), fdc.nal.usda.gov</t>
        </is>
      </c>
      <c r="Q328" s="6" t="inlineStr">
        <is>
          <t>2026-09-26</t>
        </is>
      </c>
    </row>
    <row r="329">
      <c r="A329" s="6" t="inlineStr">
        <is>
          <t>red_pepper_flakes</t>
        </is>
      </c>
      <c r="B329" s="6" t="inlineStr">
        <is>
          <t>Red pepper flakes</t>
        </is>
      </c>
      <c r="C329" s="6" t="inlineStr">
        <is>
          <t>spice</t>
        </is>
      </c>
      <c r="D329" s="6" t="n">
        <v>318</v>
      </c>
      <c r="E329" s="6" t="n">
        <v>12</v>
      </c>
      <c r="F329" s="6" t="n">
        <v>17</v>
      </c>
      <c r="G329" s="6" t="n">
        <v>57</v>
      </c>
      <c r="H329" s="6" t="n">
        <v>27</v>
      </c>
      <c r="I329" s="6" t="n">
        <v>30</v>
      </c>
      <c r="J329" s="6" t="n">
        <v>15</v>
      </c>
      <c r="K329" s="6" t="inlineStr">
        <is>
          <t>none (placeholder)</t>
        </is>
      </c>
      <c r="L329" s="7" t="inlineStr">
        <is>
          <t>Conventional placeholder for foods with too little carbohydrate to test (non-starchy vegetables, nuts, seeds, herbs); no published measurement exists</t>
        </is>
      </c>
      <c r="M329" s="7" t="inlineStr">
        <is>
          <t>not measurable</t>
        </is>
      </c>
      <c r="N329" s="6" t="inlineStr"/>
      <c r="O329" s="7" t="inlineStr">
        <is>
          <t>clinical convention</t>
        </is>
      </c>
      <c r="P329" s="7" t="inlineStr">
        <is>
          <t>USDA FoodData Central (SR Legacy / Foundation Foods), fdc.nal.usda.gov</t>
        </is>
      </c>
      <c r="Q329" s="6" t="inlineStr">
        <is>
          <t>2026-09-26</t>
        </is>
      </c>
    </row>
    <row r="330">
      <c r="A330" s="6" t="inlineStr">
        <is>
          <t>garlic_powder</t>
        </is>
      </c>
      <c r="B330" s="6" t="inlineStr">
        <is>
          <t>Garlic powder</t>
        </is>
      </c>
      <c r="C330" s="6" t="inlineStr">
        <is>
          <t>spice</t>
        </is>
      </c>
      <c r="D330" s="6" t="n">
        <v>331</v>
      </c>
      <c r="E330" s="6" t="n">
        <v>16.5</v>
      </c>
      <c r="F330" s="6" t="n">
        <v>0.7</v>
      </c>
      <c r="G330" s="6" t="n">
        <v>72.7</v>
      </c>
      <c r="H330" s="6" t="n">
        <v>9</v>
      </c>
      <c r="I330" s="6" t="n">
        <v>63.7</v>
      </c>
      <c r="J330" s="6" t="n">
        <v>15</v>
      </c>
      <c r="K330" s="6" t="inlineStr">
        <is>
          <t>none (placeholder)</t>
        </is>
      </c>
      <c r="L330" s="7" t="inlineStr">
        <is>
          <t>Conventional placeholder for foods with too little carbohydrate to test (non-starchy vegetables, nuts, seeds, herbs); no published measurement exists</t>
        </is>
      </c>
      <c r="M330" s="7" t="inlineStr">
        <is>
          <t>not measurable</t>
        </is>
      </c>
      <c r="N330" s="6" t="inlineStr"/>
      <c r="O330" s="7" t="inlineStr">
        <is>
          <t>clinical convention</t>
        </is>
      </c>
      <c r="P330" s="7" t="inlineStr">
        <is>
          <t>USDA FoodData Central (SR Legacy / Foundation Foods), fdc.nal.usda.gov</t>
        </is>
      </c>
      <c r="Q330" s="6" t="inlineStr">
        <is>
          <t>2026-09-26</t>
        </is>
      </c>
    </row>
    <row r="331">
      <c r="A331" s="6" t="inlineStr">
        <is>
          <t>onion_powder</t>
        </is>
      </c>
      <c r="B331" s="6" t="inlineStr">
        <is>
          <t>Onion powder</t>
        </is>
      </c>
      <c r="C331" s="6" t="inlineStr">
        <is>
          <t>spice</t>
        </is>
      </c>
      <c r="D331" s="6" t="n">
        <v>341</v>
      </c>
      <c r="E331" s="6" t="n">
        <v>10</v>
      </c>
      <c r="F331" s="6" t="n">
        <v>1</v>
      </c>
      <c r="G331" s="6" t="n">
        <v>79</v>
      </c>
      <c r="H331" s="6" t="n">
        <v>15</v>
      </c>
      <c r="I331" s="6" t="n">
        <v>64</v>
      </c>
      <c r="J331" s="6" t="n">
        <v>15</v>
      </c>
      <c r="K331" s="6" t="inlineStr">
        <is>
          <t>none (placeholder)</t>
        </is>
      </c>
      <c r="L331" s="7" t="inlineStr">
        <is>
          <t>Conventional placeholder for foods with too little carbohydrate to test (non-starchy vegetables, nuts, seeds, herbs); no published measurement exists</t>
        </is>
      </c>
      <c r="M331" s="7" t="inlineStr">
        <is>
          <t>not measurable</t>
        </is>
      </c>
      <c r="N331" s="6" t="inlineStr"/>
      <c r="O331" s="7" t="inlineStr">
        <is>
          <t>clinical convention</t>
        </is>
      </c>
      <c r="P331" s="7" t="inlineStr">
        <is>
          <t>USDA FoodData Central (SR Legacy / Foundation Foods), fdc.nal.usda.gov</t>
        </is>
      </c>
      <c r="Q331" s="6" t="inlineStr">
        <is>
          <t>2026-09-26</t>
        </is>
      </c>
    </row>
    <row r="332">
      <c r="A332" s="6" t="inlineStr">
        <is>
          <t>oregano</t>
        </is>
      </c>
      <c r="B332" s="6" t="inlineStr">
        <is>
          <t>Dried oregano</t>
        </is>
      </c>
      <c r="C332" s="6" t="inlineStr">
        <is>
          <t>spice</t>
        </is>
      </c>
      <c r="D332" s="6" t="n">
        <v>265</v>
      </c>
      <c r="E332" s="6" t="n">
        <v>9</v>
      </c>
      <c r="F332" s="6" t="n">
        <v>4.3</v>
      </c>
      <c r="G332" s="6" t="n">
        <v>69</v>
      </c>
      <c r="H332" s="6" t="n">
        <v>42.5</v>
      </c>
      <c r="I332" s="6" t="n">
        <v>26.5</v>
      </c>
      <c r="J332" s="6" t="n">
        <v>15</v>
      </c>
      <c r="K332" s="6" t="inlineStr">
        <is>
          <t>none (placeholder)</t>
        </is>
      </c>
      <c r="L332" s="7" t="inlineStr">
        <is>
          <t>Conventional placeholder for foods with too little carbohydrate to test (non-starchy vegetables, nuts, seeds, herbs); no published measurement exists</t>
        </is>
      </c>
      <c r="M332" s="7" t="inlineStr">
        <is>
          <t>not measurable</t>
        </is>
      </c>
      <c r="N332" s="6" t="inlineStr"/>
      <c r="O332" s="7" t="inlineStr">
        <is>
          <t>clinical convention</t>
        </is>
      </c>
      <c r="P332" s="7" t="inlineStr">
        <is>
          <t>USDA FoodData Central (SR Legacy / Foundation Foods), fdc.nal.usda.gov</t>
        </is>
      </c>
      <c r="Q332" s="6" t="inlineStr">
        <is>
          <t>2026-09-26</t>
        </is>
      </c>
    </row>
    <row r="333">
      <c r="A333" s="6" t="inlineStr">
        <is>
          <t>italian_seasoning</t>
        </is>
      </c>
      <c r="B333" s="6" t="inlineStr">
        <is>
          <t>Italian seasoning</t>
        </is>
      </c>
      <c r="C333" s="6" t="inlineStr">
        <is>
          <t>spice</t>
        </is>
      </c>
      <c r="D333" s="6" t="n">
        <v>265</v>
      </c>
      <c r="E333" s="6" t="n">
        <v>9</v>
      </c>
      <c r="F333" s="6" t="n">
        <v>4.3</v>
      </c>
      <c r="G333" s="6" t="n">
        <v>69</v>
      </c>
      <c r="H333" s="6" t="n">
        <v>42.5</v>
      </c>
      <c r="I333" s="6" t="n">
        <v>26.5</v>
      </c>
      <c r="J333" s="6" t="n">
        <v>15</v>
      </c>
      <c r="K333" s="6" t="inlineStr">
        <is>
          <t>none (placeholder)</t>
        </is>
      </c>
      <c r="L333" s="7" t="inlineStr">
        <is>
          <t>Conventional placeholder for foods with too little carbohydrate to test (non-starchy vegetables, nuts, seeds, herbs); no published measurement exists</t>
        </is>
      </c>
      <c r="M333" s="7" t="inlineStr">
        <is>
          <t>not measurable</t>
        </is>
      </c>
      <c r="N333" s="6" t="inlineStr"/>
      <c r="O333" s="7" t="inlineStr">
        <is>
          <t>clinical convention</t>
        </is>
      </c>
      <c r="P333" s="7" t="inlineStr">
        <is>
          <t>USDA FoodData Central (SR Legacy / Foundation Foods), fdc.nal.usda.gov</t>
        </is>
      </c>
      <c r="Q333" s="6" t="inlineStr">
        <is>
          <t>2026-09-26</t>
        </is>
      </c>
    </row>
    <row r="334">
      <c r="A334" s="6" t="inlineStr">
        <is>
          <t>taco_seasoning</t>
        </is>
      </c>
      <c r="B334" s="6" t="inlineStr">
        <is>
          <t>Taco seasoning, low sodium</t>
        </is>
      </c>
      <c r="C334" s="6" t="inlineStr">
        <is>
          <t>spice</t>
        </is>
      </c>
      <c r="D334" s="6" t="n">
        <v>300</v>
      </c>
      <c r="E334" s="6" t="n">
        <v>10</v>
      </c>
      <c r="F334" s="6" t="n">
        <v>8</v>
      </c>
      <c r="G334" s="6" t="n">
        <v>55</v>
      </c>
      <c r="H334" s="6" t="n">
        <v>25</v>
      </c>
      <c r="I334" s="6" t="n">
        <v>30</v>
      </c>
      <c r="J334" s="6" t="n">
        <v>15</v>
      </c>
      <c r="K334" s="6" t="inlineStr">
        <is>
          <t>none (placeholder)</t>
        </is>
      </c>
      <c r="L334" s="7" t="inlineStr">
        <is>
          <t>Conventional placeholder for foods with too little carbohydrate to test (non-starchy vegetables, nuts, seeds, herbs); no published measurement exists</t>
        </is>
      </c>
      <c r="M334" s="7" t="inlineStr">
        <is>
          <t>not measurable</t>
        </is>
      </c>
      <c r="N334" s="6" t="inlineStr"/>
      <c r="O334" s="7" t="inlineStr">
        <is>
          <t>clinical convention</t>
        </is>
      </c>
      <c r="P334" s="7" t="inlineStr">
        <is>
          <t>USDA FoodData Central (SR Legacy / Foundation Foods), fdc.nal.usda.gov</t>
        </is>
      </c>
      <c r="Q334" s="6" t="inlineStr">
        <is>
          <t>2026-09-26</t>
        </is>
      </c>
    </row>
    <row r="335">
      <c r="A335" s="6" t="inlineStr">
        <is>
          <t>curry_powder</t>
        </is>
      </c>
      <c r="B335" s="6" t="inlineStr">
        <is>
          <t>Curry powder</t>
        </is>
      </c>
      <c r="C335" s="6" t="inlineStr">
        <is>
          <t>spice</t>
        </is>
      </c>
      <c r="D335" s="6" t="n">
        <v>325</v>
      </c>
      <c r="E335" s="6" t="n">
        <v>14</v>
      </c>
      <c r="F335" s="6" t="n">
        <v>14</v>
      </c>
      <c r="G335" s="6" t="n">
        <v>58</v>
      </c>
      <c r="H335" s="6" t="n">
        <v>53</v>
      </c>
      <c r="I335" s="6" t="n">
        <v>5</v>
      </c>
      <c r="J335" s="6" t="n">
        <v>15</v>
      </c>
      <c r="K335" s="6" t="inlineStr">
        <is>
          <t>none (placeholder)</t>
        </is>
      </c>
      <c r="L335" s="7" t="inlineStr">
        <is>
          <t>Conventional placeholder for foods with too little carbohydrate to test (non-starchy vegetables, nuts, seeds, herbs); no published measurement exists</t>
        </is>
      </c>
      <c r="M335" s="7" t="inlineStr">
        <is>
          <t>not measurable</t>
        </is>
      </c>
      <c r="N335" s="6" t="inlineStr"/>
      <c r="O335" s="7" t="inlineStr">
        <is>
          <t>clinical convention</t>
        </is>
      </c>
      <c r="P335" s="7" t="inlineStr">
        <is>
          <t>USDA FoodData Central (SR Legacy / Foundation Foods), fdc.nal.usda.gov</t>
        </is>
      </c>
      <c r="Q335" s="6" t="inlineStr">
        <is>
          <t>2026-09-26</t>
        </is>
      </c>
    </row>
    <row r="336">
      <c r="A336" s="6" t="inlineStr">
        <is>
          <t>garam_masala</t>
        </is>
      </c>
      <c r="B336" s="6" t="inlineStr">
        <is>
          <t>Garam masala</t>
        </is>
      </c>
      <c r="C336" s="6" t="inlineStr">
        <is>
          <t>spice</t>
        </is>
      </c>
      <c r="D336" s="6" t="n">
        <v>325</v>
      </c>
      <c r="E336" s="6" t="n">
        <v>14</v>
      </c>
      <c r="F336" s="6" t="n">
        <v>14</v>
      </c>
      <c r="G336" s="6" t="n">
        <v>58</v>
      </c>
      <c r="H336" s="6" t="n">
        <v>53</v>
      </c>
      <c r="I336" s="6" t="n">
        <v>5</v>
      </c>
      <c r="J336" s="6" t="n">
        <v>15</v>
      </c>
      <c r="K336" s="6" t="inlineStr">
        <is>
          <t>none (placeholder)</t>
        </is>
      </c>
      <c r="L336" s="7" t="inlineStr">
        <is>
          <t>Conventional placeholder for foods with too little carbohydrate to test (non-starchy vegetables, nuts, seeds, herbs); no published measurement exists</t>
        </is>
      </c>
      <c r="M336" s="7" t="inlineStr">
        <is>
          <t>not measurable</t>
        </is>
      </c>
      <c r="N336" s="6" t="inlineStr"/>
      <c r="O336" s="7" t="inlineStr">
        <is>
          <t>clinical convention</t>
        </is>
      </c>
      <c r="P336" s="7" t="inlineStr">
        <is>
          <t>USDA FoodData Central (SR Legacy / Foundation Foods), fdc.nal.usda.gov</t>
        </is>
      </c>
      <c r="Q336" s="6" t="inlineStr">
        <is>
          <t>2026-09-26</t>
        </is>
      </c>
    </row>
    <row r="337">
      <c r="A337" s="6" t="inlineStr">
        <is>
          <t>zaatar</t>
        </is>
      </c>
      <c r="B337" s="6" t="inlineStr">
        <is>
          <t>Za'atar</t>
        </is>
      </c>
      <c r="C337" s="6" t="inlineStr">
        <is>
          <t>spice</t>
        </is>
      </c>
      <c r="D337" s="6" t="n">
        <v>300</v>
      </c>
      <c r="E337" s="6" t="n">
        <v>10</v>
      </c>
      <c r="F337" s="6" t="n">
        <v>8</v>
      </c>
      <c r="G337" s="6" t="n">
        <v>55</v>
      </c>
      <c r="H337" s="6" t="n">
        <v>25</v>
      </c>
      <c r="I337" s="6" t="n">
        <v>30</v>
      </c>
      <c r="J337" s="6" t="n">
        <v>15</v>
      </c>
      <c r="K337" s="6" t="inlineStr">
        <is>
          <t>none (placeholder)</t>
        </is>
      </c>
      <c r="L337" s="7" t="inlineStr">
        <is>
          <t>Conventional placeholder for foods with too little carbohydrate to test (non-starchy vegetables, nuts, seeds, herbs); no published measurement exists</t>
        </is>
      </c>
      <c r="M337" s="7" t="inlineStr">
        <is>
          <t>not measurable</t>
        </is>
      </c>
      <c r="N337" s="6" t="inlineStr"/>
      <c r="O337" s="7" t="inlineStr">
        <is>
          <t>clinical convention</t>
        </is>
      </c>
      <c r="P337" s="7" t="inlineStr">
        <is>
          <t>USDA FoodData Central (SR Legacy / Foundation Foods), fdc.nal.usda.gov</t>
        </is>
      </c>
      <c r="Q337" s="6" t="inlineStr">
        <is>
          <t>2026-09-26</t>
        </is>
      </c>
    </row>
    <row r="338">
      <c r="A338" s="6" t="inlineStr">
        <is>
          <t>everything_seasoning</t>
        </is>
      </c>
      <c r="B338" s="6" t="inlineStr">
        <is>
          <t>Everything bagel seasoning</t>
        </is>
      </c>
      <c r="C338" s="6" t="inlineStr">
        <is>
          <t>spice</t>
        </is>
      </c>
      <c r="D338" s="6" t="n">
        <v>350</v>
      </c>
      <c r="E338" s="6" t="n">
        <v>15</v>
      </c>
      <c r="F338" s="6" t="n">
        <v>20</v>
      </c>
      <c r="G338" s="6" t="n">
        <v>30</v>
      </c>
      <c r="H338" s="6" t="n">
        <v>10</v>
      </c>
      <c r="I338" s="6" t="n">
        <v>20</v>
      </c>
      <c r="J338" s="6" t="n">
        <v>15</v>
      </c>
      <c r="K338" s="6" t="inlineStr">
        <is>
          <t>none (placeholder)</t>
        </is>
      </c>
      <c r="L338" s="7" t="inlineStr">
        <is>
          <t>Conventional placeholder for foods with too little carbohydrate to test (non-starchy vegetables, nuts, seeds, herbs); no published measurement exists</t>
        </is>
      </c>
      <c r="M338" s="7" t="inlineStr">
        <is>
          <t>not measurable</t>
        </is>
      </c>
      <c r="N338" s="6" t="inlineStr"/>
      <c r="O338" s="7" t="inlineStr">
        <is>
          <t>clinical convention</t>
        </is>
      </c>
      <c r="P338" s="7" t="inlineStr">
        <is>
          <t>USDA FoodData Central (SR Legacy / Foundation Foods), fdc.nal.usda.gov</t>
        </is>
      </c>
      <c r="Q338" s="6" t="inlineStr">
        <is>
          <t>2026-09-26</t>
        </is>
      </c>
    </row>
    <row r="339">
      <c r="A339" s="6" t="inlineStr">
        <is>
          <t>old_bay</t>
        </is>
      </c>
      <c r="B339" s="6" t="inlineStr">
        <is>
          <t>Old Bay seasoning</t>
        </is>
      </c>
      <c r="C339" s="6" t="inlineStr">
        <is>
          <t>spice</t>
        </is>
      </c>
      <c r="D339" s="6" t="n">
        <v>300</v>
      </c>
      <c r="E339" s="6" t="n">
        <v>10</v>
      </c>
      <c r="F339" s="6" t="n">
        <v>8</v>
      </c>
      <c r="G339" s="6" t="n">
        <v>55</v>
      </c>
      <c r="H339" s="6" t="n">
        <v>25</v>
      </c>
      <c r="I339" s="6" t="n">
        <v>30</v>
      </c>
      <c r="J339" s="6" t="n">
        <v>15</v>
      </c>
      <c r="K339" s="6" t="inlineStr">
        <is>
          <t>none (placeholder)</t>
        </is>
      </c>
      <c r="L339" s="7" t="inlineStr">
        <is>
          <t>Conventional placeholder for foods with too little carbohydrate to test (non-starchy vegetables, nuts, seeds, herbs); no published measurement exists</t>
        </is>
      </c>
      <c r="M339" s="7" t="inlineStr">
        <is>
          <t>not measurable</t>
        </is>
      </c>
      <c r="N339" s="6" t="inlineStr"/>
      <c r="O339" s="7" t="inlineStr">
        <is>
          <t>clinical convention</t>
        </is>
      </c>
      <c r="P339" s="7" t="inlineStr">
        <is>
          <t>USDA FoodData Central (SR Legacy / Foundation Foods), fdc.nal.usda.gov</t>
        </is>
      </c>
      <c r="Q339" s="6" t="inlineStr">
        <is>
          <t>2026-09-26</t>
        </is>
      </c>
    </row>
    <row r="340">
      <c r="A340" s="6" t="inlineStr">
        <is>
          <t>cajun_seasoning</t>
        </is>
      </c>
      <c r="B340" s="6" t="inlineStr">
        <is>
          <t>Cajun seasoning</t>
        </is>
      </c>
      <c r="C340" s="6" t="inlineStr">
        <is>
          <t>spice</t>
        </is>
      </c>
      <c r="D340" s="6" t="n">
        <v>300</v>
      </c>
      <c r="E340" s="6" t="n">
        <v>10</v>
      </c>
      <c r="F340" s="6" t="n">
        <v>8</v>
      </c>
      <c r="G340" s="6" t="n">
        <v>55</v>
      </c>
      <c r="H340" s="6" t="n">
        <v>25</v>
      </c>
      <c r="I340" s="6" t="n">
        <v>30</v>
      </c>
      <c r="J340" s="6" t="n">
        <v>15</v>
      </c>
      <c r="K340" s="6" t="inlineStr">
        <is>
          <t>none (placeholder)</t>
        </is>
      </c>
      <c r="L340" s="7" t="inlineStr">
        <is>
          <t>Conventional placeholder for foods with too little carbohydrate to test (non-starchy vegetables, nuts, seeds, herbs); no published measurement exists</t>
        </is>
      </c>
      <c r="M340" s="7" t="inlineStr">
        <is>
          <t>not measurable</t>
        </is>
      </c>
      <c r="N340" s="6" t="inlineStr"/>
      <c r="O340" s="7" t="inlineStr">
        <is>
          <t>clinical convention</t>
        </is>
      </c>
      <c r="P340" s="7" t="inlineStr">
        <is>
          <t>USDA FoodData Central (SR Legacy / Foundation Foods), fdc.nal.usda.gov</t>
        </is>
      </c>
      <c r="Q340" s="6" t="inlineStr">
        <is>
          <t>2026-09-26</t>
        </is>
      </c>
    </row>
    <row r="341">
      <c r="A341" s="6" t="inlineStr">
        <is>
          <t>ranch_seasoning</t>
        </is>
      </c>
      <c r="B341" s="6" t="inlineStr">
        <is>
          <t>Ranch seasoning (dry)</t>
        </is>
      </c>
      <c r="C341" s="6" t="inlineStr">
        <is>
          <t>spice</t>
        </is>
      </c>
      <c r="D341" s="6" t="n">
        <v>300</v>
      </c>
      <c r="E341" s="6" t="n">
        <v>10</v>
      </c>
      <c r="F341" s="6" t="n">
        <v>8</v>
      </c>
      <c r="G341" s="6" t="n">
        <v>55</v>
      </c>
      <c r="H341" s="6" t="n">
        <v>25</v>
      </c>
      <c r="I341" s="6" t="n">
        <v>30</v>
      </c>
      <c r="J341" s="6" t="n">
        <v>15</v>
      </c>
      <c r="K341" s="6" t="inlineStr">
        <is>
          <t>none (placeholder)</t>
        </is>
      </c>
      <c r="L341" s="7" t="inlineStr">
        <is>
          <t>Conventional placeholder for foods with too little carbohydrate to test (non-starchy vegetables, nuts, seeds, herbs); no published measurement exists</t>
        </is>
      </c>
      <c r="M341" s="7" t="inlineStr">
        <is>
          <t>not measurable</t>
        </is>
      </c>
      <c r="N341" s="6" t="inlineStr"/>
      <c r="O341" s="7" t="inlineStr">
        <is>
          <t>clinical convention</t>
        </is>
      </c>
      <c r="P341" s="7" t="inlineStr">
        <is>
          <t>USDA FoodData Central (SR Legacy / Foundation Foods), fdc.nal.usda.gov</t>
        </is>
      </c>
      <c r="Q341" s="6" t="inlineStr">
        <is>
          <t>2026-09-26</t>
        </is>
      </c>
    </row>
    <row r="342">
      <c r="A342" s="6" t="inlineStr">
        <is>
          <t>bay_leaf</t>
        </is>
      </c>
      <c r="B342" s="6" t="inlineStr">
        <is>
          <t>Bay leaves</t>
        </is>
      </c>
      <c r="C342" s="6" t="inlineStr">
        <is>
          <t>spice</t>
        </is>
      </c>
      <c r="D342" s="6" t="n">
        <v>313</v>
      </c>
      <c r="E342" s="6" t="n">
        <v>7.6</v>
      </c>
      <c r="F342" s="6" t="n">
        <v>8.4</v>
      </c>
      <c r="G342" s="6" t="n">
        <v>75</v>
      </c>
      <c r="H342" s="6" t="n">
        <v>26</v>
      </c>
      <c r="I342" s="6" t="n">
        <v>49</v>
      </c>
      <c r="J342" s="6" t="n">
        <v>15</v>
      </c>
      <c r="K342" s="6" t="inlineStr">
        <is>
          <t>none (placeholder)</t>
        </is>
      </c>
      <c r="L342" s="7" t="inlineStr">
        <is>
          <t>Conventional placeholder for foods with too little carbohydrate to test (non-starchy vegetables, nuts, seeds, herbs); no published measurement exists</t>
        </is>
      </c>
      <c r="M342" s="7" t="inlineStr">
        <is>
          <t>not measurable</t>
        </is>
      </c>
      <c r="N342" s="6" t="inlineStr"/>
      <c r="O342" s="7" t="inlineStr">
        <is>
          <t>clinical convention</t>
        </is>
      </c>
      <c r="P342" s="7" t="inlineStr">
        <is>
          <t>USDA FoodData Central (SR Legacy / Foundation Foods), fdc.nal.usda.gov</t>
        </is>
      </c>
      <c r="Q342" s="6" t="inlineStr">
        <is>
          <t>2026-09-26</t>
        </is>
      </c>
    </row>
    <row r="343">
      <c r="A343" s="6" t="inlineStr">
        <is>
          <t>dried_dill</t>
        </is>
      </c>
      <c r="B343" s="6" t="inlineStr">
        <is>
          <t>Dried dill</t>
        </is>
      </c>
      <c r="C343" s="6" t="inlineStr">
        <is>
          <t>spice</t>
        </is>
      </c>
      <c r="D343" s="6" t="n">
        <v>253</v>
      </c>
      <c r="E343" s="6" t="n">
        <v>20</v>
      </c>
      <c r="F343" s="6" t="n">
        <v>4.4</v>
      </c>
      <c r="G343" s="6" t="n">
        <v>56</v>
      </c>
      <c r="H343" s="6" t="n">
        <v>14</v>
      </c>
      <c r="I343" s="6" t="n">
        <v>42</v>
      </c>
      <c r="J343" s="6" t="n">
        <v>15</v>
      </c>
      <c r="K343" s="6" t="inlineStr">
        <is>
          <t>none (placeholder)</t>
        </is>
      </c>
      <c r="L343" s="7" t="inlineStr">
        <is>
          <t>Conventional placeholder for foods with too little carbohydrate to test (non-starchy vegetables, nuts, seeds, herbs); no published measurement exists</t>
        </is>
      </c>
      <c r="M343" s="7" t="inlineStr">
        <is>
          <t>not measurable</t>
        </is>
      </c>
      <c r="N343" s="6" t="inlineStr"/>
      <c r="O343" s="7" t="inlineStr">
        <is>
          <t>clinical convention</t>
        </is>
      </c>
      <c r="P343" s="7" t="inlineStr">
        <is>
          <t>USDA FoodData Central (SR Legacy / Foundation Foods), fdc.nal.usda.gov</t>
        </is>
      </c>
      <c r="Q343" s="6" t="inlineStr">
        <is>
          <t>2026-09-26</t>
        </is>
      </c>
    </row>
    <row r="344">
      <c r="A344" s="6" t="inlineStr">
        <is>
          <t>dried_thyme</t>
        </is>
      </c>
      <c r="B344" s="6" t="inlineStr">
        <is>
          <t>Dried thyme</t>
        </is>
      </c>
      <c r="C344" s="6" t="inlineStr">
        <is>
          <t>spice</t>
        </is>
      </c>
      <c r="D344" s="6" t="n">
        <v>276</v>
      </c>
      <c r="E344" s="6" t="n">
        <v>9</v>
      </c>
      <c r="F344" s="6" t="n">
        <v>7.4</v>
      </c>
      <c r="G344" s="6" t="n">
        <v>64</v>
      </c>
      <c r="H344" s="6" t="n">
        <v>37</v>
      </c>
      <c r="I344" s="6" t="n">
        <v>27</v>
      </c>
      <c r="J344" s="6" t="n">
        <v>15</v>
      </c>
      <c r="K344" s="6" t="inlineStr">
        <is>
          <t>none (placeholder)</t>
        </is>
      </c>
      <c r="L344" s="7" t="inlineStr">
        <is>
          <t>Conventional placeholder for foods with too little carbohydrate to test (non-starchy vegetables, nuts, seeds, herbs); no published measurement exists</t>
        </is>
      </c>
      <c r="M344" s="7" t="inlineStr">
        <is>
          <t>not measurable</t>
        </is>
      </c>
      <c r="N344" s="6" t="inlineStr"/>
      <c r="O344" s="7" t="inlineStr">
        <is>
          <t>clinical convention</t>
        </is>
      </c>
      <c r="P344" s="7" t="inlineStr">
        <is>
          <t>USDA FoodData Central (SR Legacy / Foundation Foods), fdc.nal.usda.gov</t>
        </is>
      </c>
      <c r="Q344" s="6" t="inlineStr">
        <is>
          <t>2026-09-26</t>
        </is>
      </c>
    </row>
    <row r="345">
      <c r="A345" s="6" t="inlineStr">
        <is>
          <t>dried_rosemary</t>
        </is>
      </c>
      <c r="B345" s="6" t="inlineStr">
        <is>
          <t>Dried rosemary</t>
        </is>
      </c>
      <c r="C345" s="6" t="inlineStr">
        <is>
          <t>spice</t>
        </is>
      </c>
      <c r="D345" s="6" t="n">
        <v>331</v>
      </c>
      <c r="E345" s="6" t="n">
        <v>5</v>
      </c>
      <c r="F345" s="6" t="n">
        <v>15</v>
      </c>
      <c r="G345" s="6" t="n">
        <v>64</v>
      </c>
      <c r="H345" s="6" t="n">
        <v>43</v>
      </c>
      <c r="I345" s="6" t="n">
        <v>21</v>
      </c>
      <c r="J345" s="6" t="n">
        <v>15</v>
      </c>
      <c r="K345" s="6" t="inlineStr">
        <is>
          <t>none (placeholder)</t>
        </is>
      </c>
      <c r="L345" s="7" t="inlineStr">
        <is>
          <t>Conventional placeholder for foods with too little carbohydrate to test (non-starchy vegetables, nuts, seeds, herbs); no published measurement exists</t>
        </is>
      </c>
      <c r="M345" s="7" t="inlineStr">
        <is>
          <t>not measurable</t>
        </is>
      </c>
      <c r="N345" s="6" t="inlineStr"/>
      <c r="O345" s="7" t="inlineStr">
        <is>
          <t>clinical convention</t>
        </is>
      </c>
      <c r="P345" s="7" t="inlineStr">
        <is>
          <t>USDA FoodData Central (SR Legacy / Foundation Foods), fdc.nal.usda.gov</t>
        </is>
      </c>
      <c r="Q345" s="6" t="inlineStr">
        <is>
          <t>2026-09-26</t>
        </is>
      </c>
    </row>
    <row r="346">
      <c r="A346" s="6" t="inlineStr">
        <is>
          <t>coriander</t>
        </is>
      </c>
      <c r="B346" s="6" t="inlineStr">
        <is>
          <t>Ground coriander</t>
        </is>
      </c>
      <c r="C346" s="6" t="inlineStr">
        <is>
          <t>spice</t>
        </is>
      </c>
      <c r="D346" s="6" t="n">
        <v>298</v>
      </c>
      <c r="E346" s="6" t="n">
        <v>12</v>
      </c>
      <c r="F346" s="6" t="n">
        <v>18</v>
      </c>
      <c r="G346" s="6" t="n">
        <v>55</v>
      </c>
      <c r="H346" s="6" t="n">
        <v>42</v>
      </c>
      <c r="I346" s="6" t="n">
        <v>13</v>
      </c>
      <c r="J346" s="6" t="n">
        <v>15</v>
      </c>
      <c r="K346" s="6" t="inlineStr">
        <is>
          <t>none (placeholder)</t>
        </is>
      </c>
      <c r="L346" s="7" t="inlineStr">
        <is>
          <t>Conventional placeholder for foods with too little carbohydrate to test (non-starchy vegetables, nuts, seeds, herbs); no published measurement exists</t>
        </is>
      </c>
      <c r="M346" s="7" t="inlineStr">
        <is>
          <t>not measurable</t>
        </is>
      </c>
      <c r="N346" s="6" t="inlineStr"/>
      <c r="O346" s="7" t="inlineStr">
        <is>
          <t>clinical convention</t>
        </is>
      </c>
      <c r="P346" s="7" t="inlineStr">
        <is>
          <t>USDA FoodData Central (SR Legacy / Foundation Foods), fdc.nal.usda.gov</t>
        </is>
      </c>
      <c r="Q346" s="6" t="inlineStr">
        <is>
          <t>2026-09-26</t>
        </is>
      </c>
    </row>
    <row r="347">
      <c r="A347" s="6" t="inlineStr">
        <is>
          <t>mustard_seed</t>
        </is>
      </c>
      <c r="B347" s="6" t="inlineStr">
        <is>
          <t>Mustard seeds</t>
        </is>
      </c>
      <c r="C347" s="6" t="inlineStr">
        <is>
          <t>spice</t>
        </is>
      </c>
      <c r="D347" s="6" t="n">
        <v>508</v>
      </c>
      <c r="E347" s="6" t="n">
        <v>26</v>
      </c>
      <c r="F347" s="6" t="n">
        <v>36</v>
      </c>
      <c r="G347" s="6" t="n">
        <v>28</v>
      </c>
      <c r="H347" s="6" t="n">
        <v>12</v>
      </c>
      <c r="I347" s="6" t="n">
        <v>16</v>
      </c>
      <c r="J347" s="6" t="n">
        <v>15</v>
      </c>
      <c r="K347" s="6" t="inlineStr">
        <is>
          <t>none (placeholder)</t>
        </is>
      </c>
      <c r="L347" s="7" t="inlineStr">
        <is>
          <t>Conventional placeholder for foods with too little carbohydrate to test (non-starchy vegetables, nuts, seeds, herbs); no published measurement exists</t>
        </is>
      </c>
      <c r="M347" s="7" t="inlineStr">
        <is>
          <t>not measurable</t>
        </is>
      </c>
      <c r="N347" s="6" t="inlineStr"/>
      <c r="O347" s="7" t="inlineStr">
        <is>
          <t>clinical convention</t>
        </is>
      </c>
      <c r="P347" s="7" t="inlineStr">
        <is>
          <t>USDA FoodData Central (SR Legacy / Foundation Foods), fdc.nal.usda.gov</t>
        </is>
      </c>
      <c r="Q347" s="6" t="inlineStr">
        <is>
          <t>2026-09-26</t>
        </is>
      </c>
    </row>
    <row r="348">
      <c r="A348" s="6" t="inlineStr">
        <is>
          <t>pumpkin_pie_spice</t>
        </is>
      </c>
      <c r="B348" s="6" t="inlineStr">
        <is>
          <t>Pumpkin pie spice</t>
        </is>
      </c>
      <c r="C348" s="6" t="inlineStr">
        <is>
          <t>spice</t>
        </is>
      </c>
      <c r="D348" s="6" t="n">
        <v>342</v>
      </c>
      <c r="E348" s="6" t="n">
        <v>4</v>
      </c>
      <c r="F348" s="6" t="n">
        <v>5</v>
      </c>
      <c r="G348" s="6" t="n">
        <v>74</v>
      </c>
      <c r="H348" s="6" t="n">
        <v>25</v>
      </c>
      <c r="I348" s="6" t="n">
        <v>49</v>
      </c>
      <c r="J348" s="6" t="n">
        <v>15</v>
      </c>
      <c r="K348" s="6" t="inlineStr">
        <is>
          <t>none (placeholder)</t>
        </is>
      </c>
      <c r="L348" s="7" t="inlineStr">
        <is>
          <t>Conventional placeholder for foods with too little carbohydrate to test (non-starchy vegetables, nuts, seeds, herbs); no published measurement exists</t>
        </is>
      </c>
      <c r="M348" s="7" t="inlineStr">
        <is>
          <t>not measurable</t>
        </is>
      </c>
      <c r="N348" s="6" t="inlineStr"/>
      <c r="O348" s="7" t="inlineStr">
        <is>
          <t>clinical convention</t>
        </is>
      </c>
      <c r="P348" s="7" t="inlineStr">
        <is>
          <t>USDA FoodData Central (SR Legacy / Foundation Foods), fdc.nal.usda.gov</t>
        </is>
      </c>
      <c r="Q348" s="6" t="inlineStr">
        <is>
          <t>2026-09-26</t>
        </is>
      </c>
    </row>
    <row r="349">
      <c r="A349" s="6" t="inlineStr">
        <is>
          <t>five_spice</t>
        </is>
      </c>
      <c r="B349" s="6" t="inlineStr">
        <is>
          <t>Chinese five-spice</t>
        </is>
      </c>
      <c r="C349" s="6" t="inlineStr">
        <is>
          <t>spice</t>
        </is>
      </c>
      <c r="D349" s="6" t="n">
        <v>300</v>
      </c>
      <c r="E349" s="6" t="n">
        <v>10</v>
      </c>
      <c r="F349" s="6" t="n">
        <v>8</v>
      </c>
      <c r="G349" s="6" t="n">
        <v>55</v>
      </c>
      <c r="H349" s="6" t="n">
        <v>25</v>
      </c>
      <c r="I349" s="6" t="n">
        <v>30</v>
      </c>
      <c r="J349" s="6" t="n">
        <v>15</v>
      </c>
      <c r="K349" s="6" t="inlineStr">
        <is>
          <t>none (placeholder)</t>
        </is>
      </c>
      <c r="L349" s="7" t="inlineStr">
        <is>
          <t>Conventional placeholder for foods with too little carbohydrate to test (non-starchy vegetables, nuts, seeds, herbs); no published measurement exists</t>
        </is>
      </c>
      <c r="M349" s="7" t="inlineStr">
        <is>
          <t>not measurable</t>
        </is>
      </c>
      <c r="N349" s="6" t="inlineStr"/>
      <c r="O349" s="7" t="inlineStr">
        <is>
          <t>clinical convention</t>
        </is>
      </c>
      <c r="P349" s="7" t="inlineStr">
        <is>
          <t>USDA FoodData Central (SR Legacy / Foundation Foods), fdc.nal.usda.gov</t>
        </is>
      </c>
      <c r="Q349" s="6" t="inlineStr">
        <is>
          <t>2026-09-26</t>
        </is>
      </c>
    </row>
    <row r="350">
      <c r="A350" s="6" t="inlineStr">
        <is>
          <t>sumac</t>
        </is>
      </c>
      <c r="B350" s="6" t="inlineStr">
        <is>
          <t>Sumac</t>
        </is>
      </c>
      <c r="C350" s="6" t="inlineStr">
        <is>
          <t>spice</t>
        </is>
      </c>
      <c r="D350" s="6" t="n">
        <v>300</v>
      </c>
      <c r="E350" s="6" t="n">
        <v>10</v>
      </c>
      <c r="F350" s="6" t="n">
        <v>8</v>
      </c>
      <c r="G350" s="6" t="n">
        <v>55</v>
      </c>
      <c r="H350" s="6" t="n">
        <v>25</v>
      </c>
      <c r="I350" s="6" t="n">
        <v>30</v>
      </c>
      <c r="J350" s="6" t="n">
        <v>15</v>
      </c>
      <c r="K350" s="6" t="inlineStr">
        <is>
          <t>none (placeholder)</t>
        </is>
      </c>
      <c r="L350" s="7" t="inlineStr">
        <is>
          <t>Conventional placeholder for foods with too little carbohydrate to test (non-starchy vegetables, nuts, seeds, herbs); no published measurement exists</t>
        </is>
      </c>
      <c r="M350" s="7" t="inlineStr">
        <is>
          <t>not measurable</t>
        </is>
      </c>
      <c r="N350" s="6" t="inlineStr"/>
      <c r="O350" s="7" t="inlineStr">
        <is>
          <t>clinical convention</t>
        </is>
      </c>
      <c r="P350" s="7" t="inlineStr">
        <is>
          <t>USDA FoodData Central (SR Legacy / Foundation Foods), fdc.nal.usda.gov</t>
        </is>
      </c>
      <c r="Q350" s="6" t="inlineStr">
        <is>
          <t>2026-09-26</t>
        </is>
      </c>
    </row>
    <row r="351">
      <c r="A351" s="6" t="inlineStr">
        <is>
          <t>star_anise</t>
        </is>
      </c>
      <c r="B351" s="6" t="inlineStr">
        <is>
          <t>Star anise</t>
        </is>
      </c>
      <c r="C351" s="6" t="inlineStr">
        <is>
          <t>spice</t>
        </is>
      </c>
      <c r="D351" s="6" t="n">
        <v>337</v>
      </c>
      <c r="E351" s="6" t="n">
        <v>18</v>
      </c>
      <c r="F351" s="6" t="n">
        <v>16</v>
      </c>
      <c r="G351" s="6" t="n">
        <v>50</v>
      </c>
      <c r="H351" s="6" t="n">
        <v>15</v>
      </c>
      <c r="I351" s="6" t="n">
        <v>35</v>
      </c>
      <c r="J351" s="6" t="n">
        <v>15</v>
      </c>
      <c r="K351" s="6" t="inlineStr">
        <is>
          <t>none (placeholder)</t>
        </is>
      </c>
      <c r="L351" s="7" t="inlineStr">
        <is>
          <t>Conventional placeholder for foods with too little carbohydrate to test (non-starchy vegetables, nuts, seeds, herbs); no published measurement exists</t>
        </is>
      </c>
      <c r="M351" s="7" t="inlineStr">
        <is>
          <t>not measurable</t>
        </is>
      </c>
      <c r="N351" s="6" t="inlineStr"/>
      <c r="O351" s="7" t="inlineStr">
        <is>
          <t>clinical convention</t>
        </is>
      </c>
      <c r="P351" s="7" t="inlineStr">
        <is>
          <t>USDA FoodData Central (SR Legacy / Foundation Foods), fdc.nal.usda.gov</t>
        </is>
      </c>
      <c r="Q351" s="6" t="inlineStr">
        <is>
          <t>2026-09-26</t>
        </is>
      </c>
    </row>
    <row r="352">
      <c r="A352" s="6" t="inlineStr">
        <is>
          <t>chili_crisp</t>
        </is>
      </c>
      <c r="B352" s="6" t="inlineStr">
        <is>
          <t>Chili crisp (small amount)</t>
        </is>
      </c>
      <c r="C352" s="6" t="inlineStr">
        <is>
          <t>condiment</t>
        </is>
      </c>
      <c r="D352" s="6" t="n">
        <v>500</v>
      </c>
      <c r="E352" s="6" t="n">
        <v>5</v>
      </c>
      <c r="F352" s="6" t="n">
        <v>50</v>
      </c>
      <c r="G352" s="6" t="n">
        <v>10</v>
      </c>
      <c r="H352" s="6" t="n">
        <v>3</v>
      </c>
      <c r="I352" s="6" t="n">
        <v>7</v>
      </c>
      <c r="J352" s="6" t="n">
        <v>15</v>
      </c>
      <c r="K352" s="6" t="inlineStr">
        <is>
          <t>none (placeholder)</t>
        </is>
      </c>
      <c r="L352" s="7" t="inlineStr">
        <is>
          <t>Conventional placeholder for foods with too little carbohydrate to test (non-starchy vegetables, nuts, seeds, herbs); no published measurement exists</t>
        </is>
      </c>
      <c r="M352" s="7" t="inlineStr">
        <is>
          <t>not measurable</t>
        </is>
      </c>
      <c r="N352" s="6" t="inlineStr"/>
      <c r="O352" s="7" t="inlineStr">
        <is>
          <t>clinical convention</t>
        </is>
      </c>
      <c r="P352" s="7" t="inlineStr">
        <is>
          <t>USDA FoodData Central (SR Legacy / Foundation Foods), fdc.nal.usda.gov</t>
        </is>
      </c>
      <c r="Q352" s="6" t="inlineStr">
        <is>
          <t>2026-09-26</t>
        </is>
      </c>
    </row>
  </sheetData>
  <autoFilter ref="A1:Q352"/>
  <conditionalFormatting sqref="K2:K352">
    <cfRule type="cellIs" priority="1" operator="equal" dxfId="0">
      <formula>"high"</formula>
    </cfRule>
    <cfRule type="cellIs" priority="2" operator="equal" dxfId="1">
      <formula>"medium"</formula>
    </cfRule>
    <cfRule type="cellIs" priority="3" operator="containsText" dxfId="2">
      <formula>NOT(ISERROR(SEARCH("placeholder",K2)))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44" customWidth="1" min="2" max="2"/>
    <col width="14" customWidth="1" min="3" max="3"/>
    <col width="96" customWidth="1" min="4" max="4"/>
  </cols>
  <sheetData>
    <row r="1">
      <c r="A1" s="1" t="inlineStr">
        <is>
          <t>#</t>
        </is>
      </c>
      <c r="B1" s="1" t="inlineStr">
        <is>
          <t>Source</t>
        </is>
      </c>
      <c r="C1" s="1" t="inlineStr">
        <is>
          <t>Used here</t>
        </is>
      </c>
      <c r="D1" s="1" t="inlineStr">
        <is>
          <t>What it gives / why it is or is not in this build</t>
        </is>
      </c>
    </row>
    <row r="2">
      <c r="A2" s="7" t="n">
        <v>1</v>
      </c>
      <c r="B2" s="7" t="inlineStr">
        <is>
          <t>Diogenes GI database (18,808 entries)</t>
        </is>
      </c>
      <c r="C2" s="8" t="inlineStr">
        <is>
          <t>нет</t>
        </is>
      </c>
      <c r="D2" s="7" t="inlineStr">
        <is>
          <t>Крупнейшая сводка ГИ, собрана в проекте Diogenes (EU FP6). Не в открытом доступе: распространяется по запросу к авторам консорциума. Не использована — данных нет на руках.</t>
        </is>
      </c>
    </row>
    <row r="3">
      <c r="A3" s="7" t="n">
        <v>2</v>
      </c>
      <c r="B3" s="7" t="inlineStr">
        <is>
          <t>2024 US national GI database (10,978 описаний / 7,976 кодов USDA)</t>
        </is>
      </c>
      <c r="C3" s="8" t="inlineStr">
        <is>
          <t>нет</t>
        </is>
      </c>
      <c r="D3" s="7" t="inlineStr">
        <is>
          <t>Sheng X. et al. Development of a national database for dietary glycemic index and load for nutritional epidemiologic studies in the United States. Am J Clin Nutr 2024. Это именно то, что нужно рынку США: ГИ, сопоставленный с кодами USDA FNDDS. Полный текст и приложения за пейволом Elsevier (403 при загрузке); данные — по запросу к авторам. Рекомендую запросить: это лучший источник для v2.</t>
        </is>
      </c>
    </row>
    <row r="4">
      <c r="A4" s="7" t="n">
        <v>3</v>
      </c>
      <c r="B4" s="7" t="inlineStr">
        <is>
          <t>2021 International Tables (4,018 значений)</t>
        </is>
      </c>
      <c r="C4" s="8" t="inlineStr">
        <is>
          <t>ДА — основной</t>
        </is>
      </c>
      <c r="D4" s="7" t="inlineStr">
        <is>
          <t>Atkinson FS et al. Am J Clin Nutr 2021;114:1625-32. Suppl. Table 1 = 2,091 значение, метод соответствует ISO 26642:2010 (золотой стандарт). Suppl. Table 2 = 1,924 значения с отклонениями метода. Извлечено 4,015 из 4,018 строк (99.9%) из присланных PDF — файл data/gi-evidence/intl_tables_2021.json. По PRISMA-схеме (Suppl. Fig. 1) за этими значениями стоят 253 отобранных исследования из 3 717 просмотренных записей: 102 исследования в Таблице 1 и 151 в Таблице 2; исключены, в частности, 161 работа по смешанным приёмам пищи и 27 измерений in vitro.</t>
        </is>
      </c>
    </row>
    <row r="5">
      <c r="A5" s="7" t="n">
        <v>4</v>
      </c>
      <c r="B5" s="7" t="inlineStr">
        <is>
          <t>Компендиум 940 незападных продуктов</t>
        </is>
      </c>
      <c r="C5" s="8" t="inlineStr">
        <is>
          <t>нет</t>
        </is>
      </c>
      <c r="D5" s="7" t="inlineStr">
        <is>
          <t>Региональные измерения (Азия, Африка, Латинская Америка). Для меню рынка США нужен мало; большая часть этих значений всё равно вошла в таблицы 2021 года.</t>
        </is>
      </c>
    </row>
    <row r="6">
      <c r="A6" s="7" t="n">
        <v>5</v>
      </c>
      <c r="B6" s="7" t="inlineStr">
        <is>
          <t>2008 International Tables (~2,480)</t>
        </is>
      </c>
      <c r="C6" s="8" t="inlineStr">
        <is>
          <t>частично</t>
        </is>
      </c>
      <c r="D6" s="7" t="inlineStr">
        <is>
          <t>Atkinson FS et al. Diabetes Care 2008;31:2281-3. Исторический предшественник; значения перенесены и переоценены в редакции 2021 года, поэтому отдельно не загружались.</t>
        </is>
      </c>
    </row>
    <row r="7">
      <c r="A7" s="7" t="n">
        <v>6</v>
      </c>
      <c r="B7" s="7" t="inlineStr">
        <is>
          <t>Первичная литература</t>
        </is>
      </c>
      <c r="C7" s="8" t="inlineStr">
        <is>
          <t>точечно</t>
        </is>
      </c>
      <c r="D7" s="7" t="inlineStr">
        <is>
          <t>Каждое значение в таблицах 2021 года несёт номер ссылки (колонка ref_no в intl_tables_2021.json) — по нему можно поднять исходный эксперимент, если понадобится проверка.</t>
        </is>
      </c>
    </row>
    <row r="8">
      <c r="A8" s="7" t="n">
        <v>7</v>
      </c>
      <c r="B8" s="7" t="inlineStr">
        <is>
          <t>CENTRAL / MEDLINE / EMBASE</t>
        </is>
      </c>
      <c r="C8" s="8" t="inlineStr">
        <is>
          <t>нет</t>
        </is>
      </c>
      <c r="D8" s="7" t="inlineStr">
        <is>
          <t>Поиск исследований. PRISMA-схема присланного приложения показывает, что авторы 2021 года уже прочесали эти базы; дублировать поиск смысла нет.</t>
        </is>
      </c>
    </row>
    <row r="9">
      <c r="A9" s="7" t="n">
        <v>8</v>
      </c>
      <c r="B9" s="7" t="inlineStr">
        <is>
          <t>USDA FoodData Central</t>
        </is>
      </c>
      <c r="C9" s="8" t="inlineStr">
        <is>
          <t>ДА — основной</t>
        </is>
      </c>
      <c r="D9" s="7" t="inlineStr">
        <is>
          <t>Все нутриенты (ккал, белки, жиры, углеводы, клетчатка) на 100 г. ГИ оттуда не берётся — его там нет.</t>
        </is>
      </c>
    </row>
    <row r="10">
      <c r="A10" s="7" t="n">
        <v>9</v>
      </c>
      <c r="B10" s="7" t="inlineStr">
        <is>
          <t>University of Sydney GI database (4,384 записи)</t>
        </is>
      </c>
      <c r="C10" s="8" t="inlineStr">
        <is>
          <t>ДА — сверка</t>
        </is>
      </c>
      <c r="D10" s="7" t="inlineStr">
        <is>
          <t>glycemicindex.com/gi-search, выгружено 2026-09-16 (data/recipes-db/sydney_gi_db.json). Онлайн-версия тех же данных плюс записи после 2021 года. Используется, когда в таблицах 2021 года продукта нет. Для платного продукта нужно разрешение: glycemic.index@gmail.com.</t>
        </is>
      </c>
    </row>
    <row r="12">
      <c r="A12" s="9" t="inlineStr"/>
      <c r="B12" s="10" t="inlineStr">
        <is>
          <t>Правило выбора значения (v1, 26.09.2026)</t>
        </is>
      </c>
      <c r="C12" s="9" t="inlineStr"/>
      <c r="D12" s="9" t="inlineStr">
        <is>
          <t>1) Если в Suppl. Table 1 (ISO-метод) есть &gt;= 2 измерения — берём их медиану. 2) Иначе медиана Table 1 + Table 2. 3) Иначе онлайн-база Сиднея. 4) Если измерений нет вообще — условное значение 15 для продуктов с ничтожным количеством углеводов и 0 для чистого белка/жира; в колонке gi_confidence это помечено как placeholder. Колонка gi_value_in_sources на листе Ingredients показывает, что дают источники, даже если принятое значение отличается.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11" t="inlineStr">
        <is>
          <t>Beef, Pork &amp; Lamb</t>
        </is>
      </c>
      <c r="B2" s="11">
        <f>COUNTIF(Recipes!$C$2:$C$1001,A2)</f>
        <v/>
      </c>
      <c r="C2" s="12">
        <f>AVERAGEIF(Recipes!$C$2:$C$1001,A2,Recipes!$N$2:$N$1001)</f>
        <v/>
      </c>
      <c r="D2" s="13">
        <f>AVERAGEIF(Recipes!$C$2:$C$1001,A2,Recipes!$S$2:$S$1001)</f>
        <v/>
      </c>
      <c r="E2" s="12">
        <f>AVERAGEIF(Recipes!$C$2:$C$1001,A2,Recipes!$T$2:$T$1001)</f>
        <v/>
      </c>
      <c r="F2" s="13">
        <f>AVERAGEIF(Recipes!$C$2:$C$1001,A2,Recipes!$V$2:$V$1001)</f>
        <v/>
      </c>
      <c r="G2" s="14">
        <f>COUNTIFS(Recipes!$C$2:$C$1001,A2,Recipes!$U$2:$U$1001,"low")/B2</f>
        <v/>
      </c>
    </row>
    <row r="3">
      <c r="A3" s="11" t="inlineStr">
        <is>
          <t>Breakfast</t>
        </is>
      </c>
      <c r="B3" s="11">
        <f>COUNTIF(Recipes!$C$2:$C$1001,A3)</f>
        <v/>
      </c>
      <c r="C3" s="12">
        <f>AVERAGEIF(Recipes!$C$2:$C$1001,A3,Recipes!$N$2:$N$1001)</f>
        <v/>
      </c>
      <c r="D3" s="13">
        <f>AVERAGEIF(Recipes!$C$2:$C$1001,A3,Recipes!$S$2:$S$1001)</f>
        <v/>
      </c>
      <c r="E3" s="12">
        <f>AVERAGEIF(Recipes!$C$2:$C$1001,A3,Recipes!$T$2:$T$1001)</f>
        <v/>
      </c>
      <c r="F3" s="13">
        <f>AVERAGEIF(Recipes!$C$2:$C$1001,A3,Recipes!$V$2:$V$1001)</f>
        <v/>
      </c>
      <c r="G3" s="14">
        <f>COUNTIFS(Recipes!$C$2:$C$1001,A3,Recipes!$U$2:$U$1001,"low")/B3</f>
        <v/>
      </c>
    </row>
    <row r="4">
      <c r="A4" s="11" t="inlineStr">
        <is>
          <t>Dessert</t>
        </is>
      </c>
      <c r="B4" s="11">
        <f>COUNTIF(Recipes!$C$2:$C$1001,A4)</f>
        <v/>
      </c>
      <c r="C4" s="12">
        <f>AVERAGEIF(Recipes!$C$2:$C$1001,A4,Recipes!$N$2:$N$1001)</f>
        <v/>
      </c>
      <c r="D4" s="13">
        <f>AVERAGEIF(Recipes!$C$2:$C$1001,A4,Recipes!$S$2:$S$1001)</f>
        <v/>
      </c>
      <c r="E4" s="12">
        <f>AVERAGEIF(Recipes!$C$2:$C$1001,A4,Recipes!$T$2:$T$1001)</f>
        <v/>
      </c>
      <c r="F4" s="13">
        <f>AVERAGEIF(Recipes!$C$2:$C$1001,A4,Recipes!$V$2:$V$1001)</f>
        <v/>
      </c>
      <c r="G4" s="14">
        <f>COUNTIFS(Recipes!$C$2:$C$1001,A4,Recipes!$U$2:$U$1001,"low")/B4</f>
        <v/>
      </c>
    </row>
    <row r="5">
      <c r="A5" s="11" t="inlineStr">
        <is>
          <t>Drinks &amp; Smoothies</t>
        </is>
      </c>
      <c r="B5" s="11">
        <f>COUNTIF(Recipes!$C$2:$C$1001,A5)</f>
        <v/>
      </c>
      <c r="C5" s="12">
        <f>AVERAGEIF(Recipes!$C$2:$C$1001,A5,Recipes!$N$2:$N$1001)</f>
        <v/>
      </c>
      <c r="D5" s="13">
        <f>AVERAGEIF(Recipes!$C$2:$C$1001,A5,Recipes!$S$2:$S$1001)</f>
        <v/>
      </c>
      <c r="E5" s="12">
        <f>AVERAGEIF(Recipes!$C$2:$C$1001,A5,Recipes!$T$2:$T$1001)</f>
        <v/>
      </c>
      <c r="F5" s="13">
        <f>AVERAGEIF(Recipes!$C$2:$C$1001,A5,Recipes!$V$2:$V$1001)</f>
        <v/>
      </c>
      <c r="G5" s="14">
        <f>COUNTIFS(Recipes!$C$2:$C$1001,A5,Recipes!$U$2:$U$1001,"low")/B5</f>
        <v/>
      </c>
    </row>
    <row r="6">
      <c r="A6" s="11" t="inlineStr">
        <is>
          <t>Poultry</t>
        </is>
      </c>
      <c r="B6" s="11">
        <f>COUNTIF(Recipes!$C$2:$C$1001,A6)</f>
        <v/>
      </c>
      <c r="C6" s="12">
        <f>AVERAGEIF(Recipes!$C$2:$C$1001,A6,Recipes!$N$2:$N$1001)</f>
        <v/>
      </c>
      <c r="D6" s="13">
        <f>AVERAGEIF(Recipes!$C$2:$C$1001,A6,Recipes!$S$2:$S$1001)</f>
        <v/>
      </c>
      <c r="E6" s="12">
        <f>AVERAGEIF(Recipes!$C$2:$C$1001,A6,Recipes!$T$2:$T$1001)</f>
        <v/>
      </c>
      <c r="F6" s="13">
        <f>AVERAGEIF(Recipes!$C$2:$C$1001,A6,Recipes!$V$2:$V$1001)</f>
        <v/>
      </c>
      <c r="G6" s="14">
        <f>COUNTIFS(Recipes!$C$2:$C$1001,A6,Recipes!$U$2:$U$1001,"low")/B6</f>
        <v/>
      </c>
    </row>
    <row r="7">
      <c r="A7" s="11" t="inlineStr">
        <is>
          <t>Salad</t>
        </is>
      </c>
      <c r="B7" s="11">
        <f>COUNTIF(Recipes!$C$2:$C$1001,A7)</f>
        <v/>
      </c>
      <c r="C7" s="12">
        <f>AVERAGEIF(Recipes!$C$2:$C$1001,A7,Recipes!$N$2:$N$1001)</f>
        <v/>
      </c>
      <c r="D7" s="13">
        <f>AVERAGEIF(Recipes!$C$2:$C$1001,A7,Recipes!$S$2:$S$1001)</f>
        <v/>
      </c>
      <c r="E7" s="12">
        <f>AVERAGEIF(Recipes!$C$2:$C$1001,A7,Recipes!$T$2:$T$1001)</f>
        <v/>
      </c>
      <c r="F7" s="13">
        <f>AVERAGEIF(Recipes!$C$2:$C$1001,A7,Recipes!$V$2:$V$1001)</f>
        <v/>
      </c>
      <c r="G7" s="14">
        <f>COUNTIFS(Recipes!$C$2:$C$1001,A7,Recipes!$U$2:$U$1001,"low")/B7</f>
        <v/>
      </c>
    </row>
    <row r="8">
      <c r="A8" s="11" t="inlineStr">
        <is>
          <t>Sandwiches &amp; Wraps</t>
        </is>
      </c>
      <c r="B8" s="11">
        <f>COUNTIF(Recipes!$C$2:$C$1001,A8)</f>
        <v/>
      </c>
      <c r="C8" s="12">
        <f>AVERAGEIF(Recipes!$C$2:$C$1001,A8,Recipes!$N$2:$N$1001)</f>
        <v/>
      </c>
      <c r="D8" s="13">
        <f>AVERAGEIF(Recipes!$C$2:$C$1001,A8,Recipes!$S$2:$S$1001)</f>
        <v/>
      </c>
      <c r="E8" s="12">
        <f>AVERAGEIF(Recipes!$C$2:$C$1001,A8,Recipes!$T$2:$T$1001)</f>
        <v/>
      </c>
      <c r="F8" s="13">
        <f>AVERAGEIF(Recipes!$C$2:$C$1001,A8,Recipes!$V$2:$V$1001)</f>
        <v/>
      </c>
      <c r="G8" s="14">
        <f>COUNTIFS(Recipes!$C$2:$C$1001,A8,Recipes!$U$2:$U$1001,"low")/B8</f>
        <v/>
      </c>
    </row>
    <row r="9">
      <c r="A9" s="11" t="inlineStr">
        <is>
          <t>Seafood</t>
        </is>
      </c>
      <c r="B9" s="11">
        <f>COUNTIF(Recipes!$C$2:$C$1001,A9)</f>
        <v/>
      </c>
      <c r="C9" s="12">
        <f>AVERAGEIF(Recipes!$C$2:$C$1001,A9,Recipes!$N$2:$N$1001)</f>
        <v/>
      </c>
      <c r="D9" s="13">
        <f>AVERAGEIF(Recipes!$C$2:$C$1001,A9,Recipes!$S$2:$S$1001)</f>
        <v/>
      </c>
      <c r="E9" s="12">
        <f>AVERAGEIF(Recipes!$C$2:$C$1001,A9,Recipes!$T$2:$T$1001)</f>
        <v/>
      </c>
      <c r="F9" s="13">
        <f>AVERAGEIF(Recipes!$C$2:$C$1001,A9,Recipes!$V$2:$V$1001)</f>
        <v/>
      </c>
      <c r="G9" s="14">
        <f>COUNTIFS(Recipes!$C$2:$C$1001,A9,Recipes!$U$2:$U$1001,"low")/B9</f>
        <v/>
      </c>
    </row>
    <row r="10">
      <c r="A10" s="11" t="inlineStr">
        <is>
          <t>Side Dish</t>
        </is>
      </c>
      <c r="B10" s="11">
        <f>COUNTIF(Recipes!$C$2:$C$1001,A10)</f>
        <v/>
      </c>
      <c r="C10" s="12">
        <f>AVERAGEIF(Recipes!$C$2:$C$1001,A10,Recipes!$N$2:$N$1001)</f>
        <v/>
      </c>
      <c r="D10" s="13">
        <f>AVERAGEIF(Recipes!$C$2:$C$1001,A10,Recipes!$S$2:$S$1001)</f>
        <v/>
      </c>
      <c r="E10" s="12">
        <f>AVERAGEIF(Recipes!$C$2:$C$1001,A10,Recipes!$T$2:$T$1001)</f>
        <v/>
      </c>
      <c r="F10" s="13">
        <f>AVERAGEIF(Recipes!$C$2:$C$1001,A10,Recipes!$V$2:$V$1001)</f>
        <v/>
      </c>
      <c r="G10" s="14">
        <f>COUNTIFS(Recipes!$C$2:$C$1001,A10,Recipes!$U$2:$U$1001,"low")/B10</f>
        <v/>
      </c>
    </row>
    <row r="11">
      <c r="A11" s="11" t="inlineStr">
        <is>
          <t>Snack &amp; Appetizer</t>
        </is>
      </c>
      <c r="B11" s="11">
        <f>COUNTIF(Recipes!$C$2:$C$1001,A11)</f>
        <v/>
      </c>
      <c r="C11" s="12">
        <f>AVERAGEIF(Recipes!$C$2:$C$1001,A11,Recipes!$N$2:$N$1001)</f>
        <v/>
      </c>
      <c r="D11" s="13">
        <f>AVERAGEIF(Recipes!$C$2:$C$1001,A11,Recipes!$S$2:$S$1001)</f>
        <v/>
      </c>
      <c r="E11" s="12">
        <f>AVERAGEIF(Recipes!$C$2:$C$1001,A11,Recipes!$T$2:$T$1001)</f>
        <v/>
      </c>
      <c r="F11" s="13">
        <f>AVERAGEIF(Recipes!$C$2:$C$1001,A11,Recipes!$V$2:$V$1001)</f>
        <v/>
      </c>
      <c r="G11" s="14">
        <f>COUNTIFS(Recipes!$C$2:$C$1001,A11,Recipes!$U$2:$U$1001,"low")/B11</f>
        <v/>
      </c>
    </row>
    <row r="12">
      <c r="A12" s="11" t="inlineStr">
        <is>
          <t>Soup &amp; Stew</t>
        </is>
      </c>
      <c r="B12" s="11">
        <f>COUNTIF(Recipes!$C$2:$C$1001,A12)</f>
        <v/>
      </c>
      <c r="C12" s="12">
        <f>AVERAGEIF(Recipes!$C$2:$C$1001,A12,Recipes!$N$2:$N$1001)</f>
        <v/>
      </c>
      <c r="D12" s="13">
        <f>AVERAGEIF(Recipes!$C$2:$C$1001,A12,Recipes!$S$2:$S$1001)</f>
        <v/>
      </c>
      <c r="E12" s="12">
        <f>AVERAGEIF(Recipes!$C$2:$C$1001,A12,Recipes!$T$2:$T$1001)</f>
        <v/>
      </c>
      <c r="F12" s="13">
        <f>AVERAGEIF(Recipes!$C$2:$C$1001,A12,Recipes!$V$2:$V$1001)</f>
        <v/>
      </c>
      <c r="G12" s="14">
        <f>COUNTIFS(Recipes!$C$2:$C$1001,A12,Recipes!$U$2:$U$1001,"low")/B12</f>
        <v/>
      </c>
    </row>
    <row r="13">
      <c r="A13" s="11" t="inlineStr">
        <is>
          <t>Vegetarian &amp; Vegan</t>
        </is>
      </c>
      <c r="B13" s="11">
        <f>COUNTIF(Recipes!$C$2:$C$1001,A13)</f>
        <v/>
      </c>
      <c r="C13" s="12">
        <f>AVERAGEIF(Recipes!$C$2:$C$1001,A13,Recipes!$N$2:$N$1001)</f>
        <v/>
      </c>
      <c r="D13" s="13">
        <f>AVERAGEIF(Recipes!$C$2:$C$1001,A13,Recipes!$S$2:$S$1001)</f>
        <v/>
      </c>
      <c r="E13" s="12">
        <f>AVERAGEIF(Recipes!$C$2:$C$1001,A13,Recipes!$T$2:$T$1001)</f>
        <v/>
      </c>
      <c r="F13" s="13">
        <f>AVERAGEIF(Recipes!$C$2:$C$1001,A13,Recipes!$V$2:$V$1001)</f>
        <v/>
      </c>
      <c r="G13" s="14">
        <f>COUNTIFS(Recipes!$C$2:$C$1001,A13,Recipes!$U$2:$U$1001,"low")/B13</f>
        <v/>
      </c>
    </row>
    <row r="14">
      <c r="A14" s="15" t="inlineStr">
        <is>
          <t>TOTAL</t>
        </is>
      </c>
      <c r="B14" s="15">
        <f>SUM(B2:B13)</f>
        <v/>
      </c>
      <c r="G14" s="16">
        <f>COUNTIF(Recipes!$U$2:$U$1001,"low")/B14</f>
        <v/>
      </c>
    </row>
    <row r="16">
      <c r="A16" s="17" t="inlineStr">
        <is>
          <t>Formulas reference the Recipes sheet and recalculate automatically when it is opened in Excel / Google Sheets / Numbers.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6" customWidth="1" min="1" max="1"/>
    <col width="110" customWidth="1" min="2" max="2"/>
  </cols>
  <sheetData>
    <row r="1">
      <c r="A1" s="18" t="inlineStr">
        <is>
          <t>DiaBite recipe database</t>
        </is>
      </c>
      <c r="B1" s="9"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0" t="inlineStr"/>
      <c r="B2" s="9" t="inlineStr"/>
    </row>
    <row r="3">
      <c r="A3" s="10" t="inlineStr">
        <is>
          <t>КАК СЧИТАЕТСЯ</t>
        </is>
      </c>
      <c r="B3" s="9" t="inlineStr"/>
    </row>
    <row r="4">
      <c r="A4" s="10" t="inlineStr">
        <is>
          <t>Nutrition (kcal, protein, fat, carbs, fiber)</t>
        </is>
      </c>
      <c r="B4" s="9" t="inlineStr">
        <is>
          <t>Сумма по ингредиентам: граммы × значение на 100 г из листа Ingredients (USDA FoodData Central), делённая на число порций. Все значения на 1 порцию.</t>
        </is>
      </c>
    </row>
    <row r="5">
      <c r="A5" s="10" t="inlineStr">
        <is>
          <t>net_carbs_g</t>
        </is>
      </c>
      <c r="B5" s="9" t="inlineStr">
        <is>
          <t>Усвояемые углеводы = carbs − fiber (на порцию). Именно от них считается гликемическая нагрузка.</t>
        </is>
      </c>
    </row>
    <row r="6">
      <c r="A6" s="10" t="inlineStr">
        <is>
          <t>glycemic_index</t>
        </is>
      </c>
      <c r="B6" s="9"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0" t="inlineStr">
        <is>
          <t>gi_category</t>
        </is>
      </c>
      <c r="B7" s="9" t="inlineStr">
        <is>
          <t>low ≤ 55, medium 56–69, high ≥ 70 (классификация ISO 26642:2010 / Brand-Miller).</t>
        </is>
      </c>
    </row>
    <row r="8">
      <c r="A8" s="10" t="inlineStr">
        <is>
          <t>glycemic_load</t>
        </is>
      </c>
      <c r="B8" s="9" t="inlineStr">
        <is>
          <t>ГН порции = ГИ × net_carbs_g / 100.</t>
        </is>
      </c>
    </row>
    <row r="9">
      <c r="A9" s="10" t="inlineStr">
        <is>
          <t>gl_category</t>
        </is>
      </c>
      <c r="B9" s="9" t="inlineStr">
        <is>
          <t>low ≤ 10, medium 11–19, high ≥ 20 на порцию.</t>
        </is>
      </c>
    </row>
    <row r="10">
      <c r="A10" s="10" t="inlineStr">
        <is>
          <t>gi_note</t>
        </is>
      </c>
      <c r="B10" s="9"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0" t="inlineStr">
        <is>
          <t>ИСТОЧНИКИ И ПРАВИЛО ВЫБОРА</t>
        </is>
      </c>
      <c r="B11" s="9" t="inlineStr">
        <is>
          <t>Полный разбор — на листе Sources. Коротко: значение ГИ каждого ингредиента взято из измерений, приоритет 1) 2021 International Tables, Suppl. Table 1 (метод по ISO 26642:2010), 2) Suppl. Tables 1+2, 3) онлайн-база University of Sydney. Из присланных PDF извлечено 4 015 из 4 018 записей. Колонки gi_confidence / gi_source / gi_evidence_basis / gi_citation на листе Ingredients показывают происхождение каждого значения; gi_value_in_sources — что дают источники, даже если принято другое число.</t>
        </is>
      </c>
    </row>
    <row r="12">
      <c r="A12" s="10" t="inlineStr">
        <is>
          <t>Пересмотр 26.09.2026</t>
        </is>
      </c>
      <c r="B12" s="9" t="inlineStr">
        <is>
          <t>По правилу «побеждают измерения» изменены 28 значений (нут 28→38, чечевица 29→36, бурый рис 55→68, ячмень 28→44, финики 42→54, зелёный горошек 51→38, груша 38→28, манго 51→42, картофель 56→71, паста цельнозерновая 42→54 и др.). Пять значений сохранены намеренно: морковь 39, monk fruit 0, черника 53, хумус 15, тёмный шоколад 23 — причины в gi_source соответствующей строки листа Ingredients.</t>
        </is>
      </c>
    </row>
    <row r="13">
      <c r="A13" s="10" t="inlineStr">
        <is>
          <t>Честность про охват</t>
        </is>
      </c>
      <c r="B13" s="9" t="inlineStr">
        <is>
          <t>Колонка gi_measured_carb_share_pct показывает, какая доля усвояемых углеводов блюда приходится на ингредиенты с опубликованным измеренным ГИ. В блюдах с ≥20 г углеводов это в среднем 69 %, в блюдах 10–20 г — 39 %, в блюдах &lt;10 г — 14 % (там почти все углеводы из некрахмалистых овощей, у которых ГИ не измеряют; для таких блюд ориентируйтесь на гликемическую нагрузку, а не на ГИ).</t>
        </is>
      </c>
    </row>
    <row r="14">
      <c r="A14" s="10" t="inlineStr"/>
      <c r="B14" s="9" t="inlineStr"/>
    </row>
    <row r="15">
      <c r="A15" s="10" t="inlineStr">
        <is>
          <t>ОГРАНИЧЕНИЯ МЕТОДА</t>
        </is>
      </c>
      <c r="B15" s="9"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6">
      <c r="A16" s="10" t="inlineStr"/>
      <c r="B16" s="9" t="inlineStr"/>
    </row>
    <row r="17">
      <c r="A17" s="10" t="inlineStr">
        <is>
          <t>КОЛОНКИ</t>
        </is>
      </c>
      <c r="B17" s="9" t="inlineStr"/>
    </row>
    <row r="18">
      <c r="A18" s="10" t="inlineStr">
        <is>
          <t>id</t>
        </is>
      </c>
      <c r="B18" s="9" t="inlineStr">
        <is>
          <t>Уникальный ключ DB-0001…DB-1000.</t>
        </is>
      </c>
    </row>
    <row r="19">
      <c r="A19" s="10" t="inlineStr">
        <is>
          <t>name / category / cuisine</t>
        </is>
      </c>
      <c r="B19" s="9" t="inlineStr">
        <is>
          <t>Название (англ., для рынка США), категория (Breakfast, Salad, Soup &amp; Stew, Poultry, Beef Pork &amp; Lamb, Seafood, Vegetarian &amp; Vegan, Snack &amp; Appetizer, Side Dish, Dessert, Drinks &amp; Smoothies, Sandwiches &amp; Wraps), кухня.</t>
        </is>
      </c>
    </row>
    <row r="20">
      <c r="A20" s="10" t="inlineStr">
        <is>
          <t>servings / prep_min / cook_min / total_min</t>
        </is>
      </c>
      <c r="B20" s="9" t="inlineStr">
        <is>
          <t>Число порций в рецепте (граммы в ingredients — на весь рецепт); время подготовки, готовки и общее в минутах.</t>
        </is>
      </c>
    </row>
    <row r="21">
      <c r="A21" s="10" t="inlineStr">
        <is>
          <t>photo_file / photo_keywords / photo_url</t>
        </is>
      </c>
      <c r="B21" s="9"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2">
      <c r="A22" s="10" t="inlineStr">
        <is>
          <t>ingredients</t>
        </is>
      </c>
      <c r="B22" s="9" t="inlineStr">
        <is>
          <t>Список для отображения: название — граммы (унции) [пояснение в штуках, если есть]. Граммы на ВЕСЬ рецепт.</t>
        </is>
      </c>
    </row>
    <row r="23">
      <c r="A23" s="10" t="inlineStr">
        <is>
          <t>ingredients_json</t>
        </is>
      </c>
      <c r="B23" s="9" t="inlineStr">
        <is>
          <t>Тот же список в JSON для импорта в приложение: ingredient_id ссылается на лист Ingredients.</t>
        </is>
      </c>
    </row>
    <row r="24">
      <c r="A24" s="10" t="inlineStr">
        <is>
          <t>kcal … net_carbs_g</t>
        </is>
      </c>
      <c r="B24" s="9" t="inlineStr">
        <is>
          <t>БЖУ и клетчатка на 1 порцию.</t>
        </is>
      </c>
    </row>
    <row r="25">
      <c r="A25" s="10" t="inlineStr">
        <is>
          <t>diet_tags</t>
        </is>
      </c>
      <c r="B25" s="9"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6">
      <c r="A26" s="10" t="inlineStr">
        <is>
          <t>instructions / steps_json</t>
        </is>
      </c>
      <c r="B26" s="9" t="inlineStr">
        <is>
          <t>Рецепт по шагам: текстом (нумерованный) и в JSON-массиве.</t>
        </is>
      </c>
    </row>
    <row r="27">
      <c r="A27" s="10" t="inlineStr"/>
      <c r="B27" s="9" t="inlineStr"/>
    </row>
    <row r="28">
      <c r="A28" s="10" t="inlineStr">
        <is>
          <t>Листы</t>
        </is>
      </c>
      <c r="B28" s="9" t="inlineStr">
        <is>
          <t>Recipes — база; Ingredients — справочник (ключ ingredient_id); Summary — сводка по категориям (живые формулы); Methodology — этот лист.</t>
        </is>
      </c>
    </row>
    <row r="29">
      <c r="A29" s="10" t="inlineStr">
        <is>
          <t>Источники</t>
        </is>
      </c>
      <c r="B29" s="9"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2026-09-26T18:37:01Z</dcterms:created>
  <dcterms:modified xsi:type="dcterms:W3CDTF">2026-09-26T18:37:02Z</dcterms:modified>
</cp:coreProperties>
</file>