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'Recipes'!$A$1:$AC$1112</definedName>
    <definedName name="_xlnm._FilterDatabase" localSheetId="1" hidden="1">'Ingredients'!$A$1:$Q$352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sheetData>
  <autoFilter ref="A1:AC1112"/>
  <conditionalFormatting sqref="T2:T1112">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112">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whole_grain_crackers</t>
        </is>
      </c>
      <c r="B225" s="6" t="inlineStr">
        <is>
          <t>Whole grain seed crackers</t>
        </is>
      </c>
      <c r="C225" s="6" t="inlineStr">
        <is>
          <t>grain</t>
        </is>
      </c>
      <c r="D225" s="6" t="n">
        <v>420</v>
      </c>
      <c r="E225" s="6" t="n">
        <v>10</v>
      </c>
      <c r="F225" s="6" t="n">
        <v>14</v>
      </c>
      <c r="G225" s="6" t="n">
        <v>66</v>
      </c>
      <c r="H225" s="6" t="n">
        <v>10</v>
      </c>
      <c r="I225" s="6" t="n">
        <v>56</v>
      </c>
      <c r="J225" s="6" t="n">
        <v>55</v>
      </c>
      <c r="K225" s="6" t="inlineStr">
        <is>
          <t>high</t>
        </is>
      </c>
      <c r="L225" s="7" t="inlineStr">
        <is>
          <t>2021 International Tables, Suppl. Table 1 (ISO 26642:2010-compliant studies)</t>
        </is>
      </c>
      <c r="M225" s="7" t="inlineStr">
        <is>
          <t>median of 2 tested foods, range 53-53</t>
        </is>
      </c>
      <c r="N225" s="6" t="n">
        <v>53</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popcorn</t>
        </is>
      </c>
      <c r="B226" s="6" t="inlineStr">
        <is>
          <t>Popcorn, air-popped</t>
        </is>
      </c>
      <c r="C226" s="6" t="inlineStr">
        <is>
          <t>grain</t>
        </is>
      </c>
      <c r="D226" s="6" t="n">
        <v>387</v>
      </c>
      <c r="E226" s="6" t="n">
        <v>13</v>
      </c>
      <c r="F226" s="6" t="n">
        <v>4.5</v>
      </c>
      <c r="G226" s="6" t="n">
        <v>78</v>
      </c>
      <c r="H226" s="6" t="n">
        <v>14.5</v>
      </c>
      <c r="I226" s="6" t="n">
        <v>63.5</v>
      </c>
      <c r="J226" s="6" t="n">
        <v>70</v>
      </c>
      <c r="K226" s="6" t="inlineStr">
        <is>
          <t>medium</t>
        </is>
      </c>
      <c r="L226" s="7" t="inlineStr">
        <is>
          <t>2021 International Tables, Suppl. Tables 1+2 (incl. studies with method deviations)</t>
        </is>
      </c>
      <c r="M226" s="7" t="inlineStr">
        <is>
          <t>median of 3 tested foods, range 55-89</t>
        </is>
      </c>
      <c r="N226" s="6" t="n">
        <v>70</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almond_flour</t>
        </is>
      </c>
      <c r="B227" s="6" t="inlineStr">
        <is>
          <t>Almond flour</t>
        </is>
      </c>
      <c r="C227" s="6" t="inlineStr">
        <is>
          <t>nut</t>
        </is>
      </c>
      <c r="D227" s="6" t="n">
        <v>590</v>
      </c>
      <c r="E227" s="6" t="n">
        <v>21</v>
      </c>
      <c r="F227" s="6" t="n">
        <v>50</v>
      </c>
      <c r="G227" s="6" t="n">
        <v>21</v>
      </c>
      <c r="H227" s="6" t="n">
        <v>12</v>
      </c>
      <c r="I227" s="6" t="n">
        <v>9</v>
      </c>
      <c r="J227" s="6" t="n">
        <v>15</v>
      </c>
      <c r="K227" s="6" t="inlineStr">
        <is>
          <t>none (placeholder)</t>
        </is>
      </c>
      <c r="L227" s="7" t="inlineStr">
        <is>
          <t>Conventional placeholder for foods with too little carbohydrate to test (non-starchy vegetables, nuts, seeds, herbs); no published measurement exists</t>
        </is>
      </c>
      <c r="M227" s="7" t="inlineStr">
        <is>
          <t>not measurable</t>
        </is>
      </c>
      <c r="N227" s="6" t="n">
        <v>15</v>
      </c>
      <c r="O227" s="7" t="inlineStr">
        <is>
          <t>clinical convention</t>
        </is>
      </c>
      <c r="P227" s="7" t="inlineStr">
        <is>
          <t>USDA FoodData Central (SR Legacy / Foundation Foods), fdc.nal.usda.gov</t>
        </is>
      </c>
      <c r="Q227" s="6" t="inlineStr">
        <is>
          <t>2026-09-26</t>
        </is>
      </c>
    </row>
    <row r="228">
      <c r="A228" s="6" t="inlineStr">
        <is>
          <t>coconut_flour</t>
        </is>
      </c>
      <c r="B228" s="6" t="inlineStr">
        <is>
          <t>Coconut flour</t>
        </is>
      </c>
      <c r="C228" s="6" t="inlineStr">
        <is>
          <t>nut</t>
        </is>
      </c>
      <c r="D228" s="6" t="n">
        <v>400</v>
      </c>
      <c r="E228" s="6" t="n">
        <v>18</v>
      </c>
      <c r="F228" s="6" t="n">
        <v>13</v>
      </c>
      <c r="G228" s="6" t="n">
        <v>60</v>
      </c>
      <c r="H228" s="6" t="n">
        <v>38</v>
      </c>
      <c r="I228" s="6" t="n">
        <v>22</v>
      </c>
      <c r="J228" s="6" t="n">
        <v>45</v>
      </c>
      <c r="K228" s="6" t="inlineStr">
        <is>
          <t>low</t>
        </is>
      </c>
      <c r="L228" s="7" t="inlineStr">
        <is>
          <t>Estimated from the closest tested food; no direct measurement found in the pooled sources</t>
        </is>
      </c>
      <c r="M228" s="7" t="inlineStr">
        <is>
          <t>no direct match</t>
        </is>
      </c>
      <c r="N228" s="6" t="n">
        <v>45</v>
      </c>
      <c r="O22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8" s="7" t="inlineStr">
        <is>
          <t>USDA FoodData Central (SR Legacy / Foundation Foods), fdc.nal.usda.gov</t>
        </is>
      </c>
      <c r="Q228" s="6" t="inlineStr">
        <is>
          <t>2026-09-26</t>
        </is>
      </c>
    </row>
    <row r="229">
      <c r="A229" s="6" t="inlineStr">
        <is>
          <t>arrowroot</t>
        </is>
      </c>
      <c r="B229" s="6" t="inlineStr">
        <is>
          <t>Arrowroot starch</t>
        </is>
      </c>
      <c r="C229" s="6" t="inlineStr">
        <is>
          <t>grain</t>
        </is>
      </c>
      <c r="D229" s="6" t="n">
        <v>357</v>
      </c>
      <c r="E229" s="6" t="n">
        <v>0.3</v>
      </c>
      <c r="F229" s="6" t="n">
        <v>0.1</v>
      </c>
      <c r="G229" s="6" t="n">
        <v>88</v>
      </c>
      <c r="H229" s="6" t="n">
        <v>3.4</v>
      </c>
      <c r="I229" s="6" t="n">
        <v>84.59999999999999</v>
      </c>
      <c r="J229" s="6" t="n">
        <v>65</v>
      </c>
      <c r="K229" s="6" t="inlineStr">
        <is>
          <t>medium</t>
        </is>
      </c>
      <c r="L229" s="7" t="inlineStr">
        <is>
          <t>2021 International Tables, Suppl. Tables 1+2 (incl. studies with method deviations)</t>
        </is>
      </c>
      <c r="M229" s="7" t="inlineStr">
        <is>
          <t>median of 2 tested foods, range 62-64</t>
        </is>
      </c>
      <c r="N229" s="6" t="n">
        <v>63</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psyllium</t>
        </is>
      </c>
      <c r="B230" s="6" t="inlineStr">
        <is>
          <t>Psyllium husk</t>
        </is>
      </c>
      <c r="C230" s="6" t="inlineStr">
        <is>
          <t>grain</t>
        </is>
      </c>
      <c r="D230" s="6" t="n">
        <v>42</v>
      </c>
      <c r="E230" s="6" t="n">
        <v>1.5</v>
      </c>
      <c r="F230" s="6" t="n">
        <v>0</v>
      </c>
      <c r="G230" s="6" t="n">
        <v>90</v>
      </c>
      <c r="H230" s="6" t="n">
        <v>88</v>
      </c>
      <c r="I230" s="6" t="n">
        <v>2</v>
      </c>
      <c r="J230" s="6" t="n">
        <v>0</v>
      </c>
      <c r="K230" s="6" t="inlineStr">
        <is>
          <t>low</t>
        </is>
      </c>
      <c r="L230" s="7" t="inlineStr">
        <is>
          <t>Estimated from the closest tested food; no direct measurement found in the pooled sources</t>
        </is>
      </c>
      <c r="M230" s="7" t="inlineStr">
        <is>
          <t>no direct match</t>
        </is>
      </c>
      <c r="N230" s="6" t="inlineStr"/>
      <c r="O23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30" s="7" t="inlineStr">
        <is>
          <t>USDA FoodData Central (SR Legacy / Foundation Foods), fdc.nal.usda.gov</t>
        </is>
      </c>
      <c r="Q230" s="6" t="inlineStr">
        <is>
          <t>2026-09-26</t>
        </is>
      </c>
    </row>
    <row r="231">
      <c r="A231" s="6" t="inlineStr">
        <is>
          <t>almonds</t>
        </is>
      </c>
      <c r="B231" s="6" t="inlineStr">
        <is>
          <t>Almonds</t>
        </is>
      </c>
      <c r="C231" s="6" t="inlineStr">
        <is>
          <t>nut</t>
        </is>
      </c>
      <c r="D231" s="6" t="n">
        <v>579</v>
      </c>
      <c r="E231" s="6" t="n">
        <v>21</v>
      </c>
      <c r="F231" s="6" t="n">
        <v>50</v>
      </c>
      <c r="G231" s="6" t="n">
        <v>22</v>
      </c>
      <c r="H231" s="6" t="n">
        <v>12.5</v>
      </c>
      <c r="I231" s="6" t="n">
        <v>9.5</v>
      </c>
      <c r="J231" s="6" t="n">
        <v>15</v>
      </c>
      <c r="K231" s="6" t="inlineStr">
        <is>
          <t>none (placeholder)</t>
        </is>
      </c>
      <c r="L231" s="7" t="inlineStr">
        <is>
          <t>Conventional placeholder for foods with too little carbohydrate to test (non-starchy vegetables, nuts, seeds, herbs); no published measurement exists</t>
        </is>
      </c>
      <c r="M231" s="7" t="inlineStr">
        <is>
          <t>not measurable</t>
        </is>
      </c>
      <c r="N231" s="6" t="n">
        <v>15</v>
      </c>
      <c r="O231" s="7" t="inlineStr">
        <is>
          <t>clinical convention</t>
        </is>
      </c>
      <c r="P231" s="7" t="inlineStr">
        <is>
          <t>USDA FoodData Central (SR Legacy / Foundation Foods), fdc.nal.usda.gov</t>
        </is>
      </c>
      <c r="Q231" s="6" t="inlineStr">
        <is>
          <t>2026-09-26</t>
        </is>
      </c>
    </row>
    <row r="232">
      <c r="A232" s="6" t="inlineStr">
        <is>
          <t>walnuts</t>
        </is>
      </c>
      <c r="B232" s="6" t="inlineStr">
        <is>
          <t>Walnuts</t>
        </is>
      </c>
      <c r="C232" s="6" t="inlineStr">
        <is>
          <t>nut</t>
        </is>
      </c>
      <c r="D232" s="6" t="n">
        <v>654</v>
      </c>
      <c r="E232" s="6" t="n">
        <v>15</v>
      </c>
      <c r="F232" s="6" t="n">
        <v>65</v>
      </c>
      <c r="G232" s="6" t="n">
        <v>14</v>
      </c>
      <c r="H232" s="6" t="n">
        <v>6.7</v>
      </c>
      <c r="I232" s="6" t="n">
        <v>7.3</v>
      </c>
      <c r="J232" s="6" t="n">
        <v>15</v>
      </c>
      <c r="K232" s="6" t="inlineStr">
        <is>
          <t>none (placeholder)</t>
        </is>
      </c>
      <c r="L232" s="7" t="inlineStr">
        <is>
          <t>Conventional placeholder for foods with too little carbohydrate to test (non-starchy vegetables, nuts, seeds, herbs); no published measurement exists</t>
        </is>
      </c>
      <c r="M232" s="7" t="inlineStr">
        <is>
          <t>not measurable</t>
        </is>
      </c>
      <c r="N232" s="6" t="n">
        <v>15</v>
      </c>
      <c r="O232" s="7" t="inlineStr">
        <is>
          <t>clinical convention</t>
        </is>
      </c>
      <c r="P232" s="7" t="inlineStr">
        <is>
          <t>USDA FoodData Central (SR Legacy / Foundation Foods), fdc.nal.usda.gov</t>
        </is>
      </c>
      <c r="Q232" s="6" t="inlineStr">
        <is>
          <t>2026-09-26</t>
        </is>
      </c>
    </row>
    <row r="233">
      <c r="A233" s="6" t="inlineStr">
        <is>
          <t>pecans</t>
        </is>
      </c>
      <c r="B233" s="6" t="inlineStr">
        <is>
          <t>Pecans</t>
        </is>
      </c>
      <c r="C233" s="6" t="inlineStr">
        <is>
          <t>nut</t>
        </is>
      </c>
      <c r="D233" s="6" t="n">
        <v>691</v>
      </c>
      <c r="E233" s="6" t="n">
        <v>9</v>
      </c>
      <c r="F233" s="6" t="n">
        <v>72</v>
      </c>
      <c r="G233" s="6" t="n">
        <v>14</v>
      </c>
      <c r="H233" s="6" t="n">
        <v>9.6</v>
      </c>
      <c r="I233" s="6" t="n">
        <v>4.4</v>
      </c>
      <c r="J233" s="6" t="n">
        <v>15</v>
      </c>
      <c r="K233" s="6" t="inlineStr">
        <is>
          <t>none (placeholder)</t>
        </is>
      </c>
      <c r="L233" s="7" t="inlineStr">
        <is>
          <t>Conventional placeholder for foods with too little carbohydrate to test (non-starchy vegetables, nuts, seeds, herbs); no published measurement exists</t>
        </is>
      </c>
      <c r="M233" s="7" t="inlineStr">
        <is>
          <t>not measurable</t>
        </is>
      </c>
      <c r="N233" s="6" t="inlineStr"/>
      <c r="O233" s="7" t="inlineStr">
        <is>
          <t>clinical convention</t>
        </is>
      </c>
      <c r="P233" s="7" t="inlineStr">
        <is>
          <t>USDA FoodData Central (SR Legacy / Foundation Foods), fdc.nal.usda.gov</t>
        </is>
      </c>
      <c r="Q233" s="6" t="inlineStr">
        <is>
          <t>2026-09-26</t>
        </is>
      </c>
    </row>
    <row r="234">
      <c r="A234" s="6" t="inlineStr">
        <is>
          <t>pistachios</t>
        </is>
      </c>
      <c r="B234" s="6" t="inlineStr">
        <is>
          <t>Pistachios, shelled</t>
        </is>
      </c>
      <c r="C234" s="6" t="inlineStr">
        <is>
          <t>nut</t>
        </is>
      </c>
      <c r="D234" s="6" t="n">
        <v>560</v>
      </c>
      <c r="E234" s="6" t="n">
        <v>20</v>
      </c>
      <c r="F234" s="6" t="n">
        <v>45</v>
      </c>
      <c r="G234" s="6" t="n">
        <v>28</v>
      </c>
      <c r="H234" s="6" t="n">
        <v>10.6</v>
      </c>
      <c r="I234" s="6" t="n">
        <v>17.4</v>
      </c>
      <c r="J234" s="6" t="n">
        <v>28</v>
      </c>
      <c r="K234" s="6" t="inlineStr">
        <is>
          <t>medium</t>
        </is>
      </c>
      <c r="L234" s="7" t="inlineStr">
        <is>
          <t>2021 International Tables, Suppl. Tables 1+2 (incl. studies with method deviations)</t>
        </is>
      </c>
      <c r="M234" s="7" t="inlineStr">
        <is>
          <t>median of 1 tested foods, range 28-28</t>
        </is>
      </c>
      <c r="N234" s="6" t="n">
        <v>28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cashews</t>
        </is>
      </c>
      <c r="B235" s="6" t="inlineStr">
        <is>
          <t>Cashews</t>
        </is>
      </c>
      <c r="C235" s="6" t="inlineStr">
        <is>
          <t>nut</t>
        </is>
      </c>
      <c r="D235" s="6" t="n">
        <v>553</v>
      </c>
      <c r="E235" s="6" t="n">
        <v>18</v>
      </c>
      <c r="F235" s="6" t="n">
        <v>44</v>
      </c>
      <c r="G235" s="6" t="n">
        <v>30</v>
      </c>
      <c r="H235" s="6" t="n">
        <v>3.3</v>
      </c>
      <c r="I235" s="6" t="n">
        <v>26.7</v>
      </c>
      <c r="J235" s="6" t="n">
        <v>27</v>
      </c>
      <c r="K235" s="6" t="inlineStr">
        <is>
          <t>medium</t>
        </is>
      </c>
      <c r="L235" s="7" t="inlineStr">
        <is>
          <t>2021 International Tables, Suppl. Tables 1+2 (incl. studies with method deviations)</t>
        </is>
      </c>
      <c r="M235" s="7" t="inlineStr">
        <is>
          <t>median of 1 tested foods, range 27-27</t>
        </is>
      </c>
      <c r="N235" s="6" t="n">
        <v>27</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peanuts</t>
        </is>
      </c>
      <c r="B236" s="6" t="inlineStr">
        <is>
          <t>Peanuts, dry roasted</t>
        </is>
      </c>
      <c r="C236" s="6" t="inlineStr">
        <is>
          <t>nut</t>
        </is>
      </c>
      <c r="D236" s="6" t="n">
        <v>567</v>
      </c>
      <c r="E236" s="6" t="n">
        <v>26</v>
      </c>
      <c r="F236" s="6" t="n">
        <v>49</v>
      </c>
      <c r="G236" s="6" t="n">
        <v>16</v>
      </c>
      <c r="H236" s="6" t="n">
        <v>8.5</v>
      </c>
      <c r="I236" s="6" t="n">
        <v>7.5</v>
      </c>
      <c r="J236" s="6" t="n">
        <v>14</v>
      </c>
      <c r="K236" s="6" t="inlineStr">
        <is>
          <t>medium</t>
        </is>
      </c>
      <c r="L236" s="7" t="inlineStr">
        <is>
          <t>2021 International Tables, Suppl. Tables 1+2 (incl. studies with method deviations)</t>
        </is>
      </c>
      <c r="M236" s="7" t="inlineStr">
        <is>
          <t>median of 6 tested foods, range 5-30</t>
        </is>
      </c>
      <c r="N236" s="6" t="n">
        <v>18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macadamia</t>
        </is>
      </c>
      <c r="B237" s="6" t="inlineStr">
        <is>
          <t>Macadamia nuts</t>
        </is>
      </c>
      <c r="C237" s="6" t="inlineStr">
        <is>
          <t>nut</t>
        </is>
      </c>
      <c r="D237" s="6" t="n">
        <v>718</v>
      </c>
      <c r="E237" s="6" t="n">
        <v>8</v>
      </c>
      <c r="F237" s="6" t="n">
        <v>76</v>
      </c>
      <c r="G237" s="6" t="n">
        <v>14</v>
      </c>
      <c r="H237" s="6" t="n">
        <v>8.6</v>
      </c>
      <c r="I237" s="6" t="n">
        <v>5.4</v>
      </c>
      <c r="J237" s="6" t="n">
        <v>15</v>
      </c>
      <c r="K237" s="6" t="inlineStr">
        <is>
          <t>none (placeholder)</t>
        </is>
      </c>
      <c r="L237" s="7" t="inlineStr">
        <is>
          <t>Conventional placeholder for foods with too little carbohydrate to test (non-starchy vegetables, nuts, seeds, herbs); no published measurement exists</t>
        </is>
      </c>
      <c r="M237" s="7" t="inlineStr">
        <is>
          <t>not measurable</t>
        </is>
      </c>
      <c r="N237" s="6" t="inlineStr"/>
      <c r="O237" s="7" t="inlineStr">
        <is>
          <t>clinical convention</t>
        </is>
      </c>
      <c r="P237" s="7" t="inlineStr">
        <is>
          <t>USDA FoodData Central (SR Legacy / Foundation Foods), fdc.nal.usda.gov</t>
        </is>
      </c>
      <c r="Q237" s="6" t="inlineStr">
        <is>
          <t>2026-09-26</t>
        </is>
      </c>
    </row>
    <row r="238">
      <c r="A238" s="6" t="inlineStr">
        <is>
          <t>hazelnuts</t>
        </is>
      </c>
      <c r="B238" s="6" t="inlineStr">
        <is>
          <t>Hazelnuts</t>
        </is>
      </c>
      <c r="C238" s="6" t="inlineStr">
        <is>
          <t>nut</t>
        </is>
      </c>
      <c r="D238" s="6" t="n">
        <v>628</v>
      </c>
      <c r="E238" s="6" t="n">
        <v>15</v>
      </c>
      <c r="F238" s="6" t="n">
        <v>61</v>
      </c>
      <c r="G238" s="6" t="n">
        <v>17</v>
      </c>
      <c r="H238" s="6" t="n">
        <v>9.699999999999999</v>
      </c>
      <c r="I238" s="6" t="n">
        <v>7.3</v>
      </c>
      <c r="J238" s="6" t="n">
        <v>15</v>
      </c>
      <c r="K238" s="6" t="inlineStr">
        <is>
          <t>none (placeholder)</t>
        </is>
      </c>
      <c r="L238" s="7" t="inlineStr">
        <is>
          <t>Conventional placeholder for foods with too little carbohydrate to test (non-starchy vegetables, nuts, seeds, herbs); no published measurement exists</t>
        </is>
      </c>
      <c r="M238" s="7" t="inlineStr">
        <is>
          <t>not measurable</t>
        </is>
      </c>
      <c r="N238" s="6" t="inlineStr"/>
      <c r="O238" s="7" t="inlineStr">
        <is>
          <t>clinical convention</t>
        </is>
      </c>
      <c r="P238" s="7" t="inlineStr">
        <is>
          <t>USDA FoodData Central (SR Legacy / Foundation Foods), fdc.nal.usda.gov</t>
        </is>
      </c>
      <c r="Q238" s="6" t="inlineStr">
        <is>
          <t>2026-09-26</t>
        </is>
      </c>
    </row>
    <row r="239">
      <c r="A239" s="6" t="inlineStr">
        <is>
          <t>pine_nuts</t>
        </is>
      </c>
      <c r="B239" s="6" t="inlineStr">
        <is>
          <t>Pine nuts</t>
        </is>
      </c>
      <c r="C239" s="6" t="inlineStr">
        <is>
          <t>nut</t>
        </is>
      </c>
      <c r="D239" s="6" t="n">
        <v>673</v>
      </c>
      <c r="E239" s="6" t="n">
        <v>14</v>
      </c>
      <c r="F239" s="6" t="n">
        <v>68</v>
      </c>
      <c r="G239" s="6" t="n">
        <v>13</v>
      </c>
      <c r="H239" s="6" t="n">
        <v>3.7</v>
      </c>
      <c r="I239" s="6" t="n">
        <v>9.300000000000001</v>
      </c>
      <c r="J239" s="6" t="n">
        <v>15</v>
      </c>
      <c r="K239" s="6" t="inlineStr">
        <is>
          <t>none (placeholder)</t>
        </is>
      </c>
      <c r="L239" s="7" t="inlineStr">
        <is>
          <t>Conventional placeholder for foods with too little carbohydrate to test (non-starchy vegetables, nuts, seeds, herbs); no published measurement exists</t>
        </is>
      </c>
      <c r="M239" s="7" t="inlineStr">
        <is>
          <t>not measurable</t>
        </is>
      </c>
      <c r="N239" s="6" t="inlineStr"/>
      <c r="O239" s="7" t="inlineStr">
        <is>
          <t>clinical convention</t>
        </is>
      </c>
      <c r="P239" s="7" t="inlineStr">
        <is>
          <t>USDA FoodData Central (SR Legacy / Foundation Foods), fdc.nal.usda.gov</t>
        </is>
      </c>
      <c r="Q239" s="6" t="inlineStr">
        <is>
          <t>2026-09-26</t>
        </is>
      </c>
    </row>
    <row r="240">
      <c r="A240" s="6" t="inlineStr">
        <is>
          <t>peanut_butter</t>
        </is>
      </c>
      <c r="B240" s="6" t="inlineStr">
        <is>
          <t>Peanut butter, natural</t>
        </is>
      </c>
      <c r="C240" s="6" t="inlineStr">
        <is>
          <t>nut</t>
        </is>
      </c>
      <c r="D240" s="6" t="n">
        <v>588</v>
      </c>
      <c r="E240" s="6" t="n">
        <v>25</v>
      </c>
      <c r="F240" s="6" t="n">
        <v>50</v>
      </c>
      <c r="G240" s="6" t="n">
        <v>20</v>
      </c>
      <c r="H240" s="6" t="n">
        <v>6</v>
      </c>
      <c r="I240" s="6" t="n">
        <v>14</v>
      </c>
      <c r="J240" s="6" t="n">
        <v>14</v>
      </c>
      <c r="K240" s="6" t="inlineStr">
        <is>
          <t>low</t>
        </is>
      </c>
      <c r="L240" s="7" t="inlineStr">
        <is>
          <t>Estimated from the closest tested food; no direct measurement found in the pooled sources</t>
        </is>
      </c>
      <c r="M240" s="7" t="inlineStr">
        <is>
          <t>no direct match</t>
        </is>
      </c>
      <c r="N240" s="6" t="n">
        <v>14</v>
      </c>
      <c r="O24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0" s="7" t="inlineStr">
        <is>
          <t>USDA FoodData Central (SR Legacy / Foundation Foods), fdc.nal.usda.gov</t>
        </is>
      </c>
      <c r="Q240" s="6" t="inlineStr">
        <is>
          <t>2026-09-26</t>
        </is>
      </c>
    </row>
    <row r="241">
      <c r="A241" s="6" t="inlineStr">
        <is>
          <t>almond_butter</t>
        </is>
      </c>
      <c r="B241" s="6" t="inlineStr">
        <is>
          <t>Almond butter</t>
        </is>
      </c>
      <c r="C241" s="6" t="inlineStr">
        <is>
          <t>nut</t>
        </is>
      </c>
      <c r="D241" s="6" t="n">
        <v>614</v>
      </c>
      <c r="E241" s="6" t="n">
        <v>21</v>
      </c>
      <c r="F241" s="6" t="n">
        <v>56</v>
      </c>
      <c r="G241" s="6" t="n">
        <v>19</v>
      </c>
      <c r="H241" s="6" t="n">
        <v>10</v>
      </c>
      <c r="I241" s="6" t="n">
        <v>9</v>
      </c>
      <c r="J241" s="6" t="n">
        <v>15</v>
      </c>
      <c r="K241" s="6" t="inlineStr">
        <is>
          <t>none (placeholder)</t>
        </is>
      </c>
      <c r="L241" s="7" t="inlineStr">
        <is>
          <t>Conventional placeholder for foods with too little carbohydrate to test (non-starchy vegetables, nuts, seeds, herbs); no published measurement exists</t>
        </is>
      </c>
      <c r="M241" s="7" t="inlineStr">
        <is>
          <t>not measurable</t>
        </is>
      </c>
      <c r="N241" s="6" t="inlineStr"/>
      <c r="O241" s="7" t="inlineStr">
        <is>
          <t>clinical convention</t>
        </is>
      </c>
      <c r="P241" s="7" t="inlineStr">
        <is>
          <t>USDA FoodData Central (SR Legacy / Foundation Foods), fdc.nal.usda.gov</t>
        </is>
      </c>
      <c r="Q241" s="6" t="inlineStr">
        <is>
          <t>2026-09-26</t>
        </is>
      </c>
    </row>
    <row r="242">
      <c r="A242" s="6" t="inlineStr">
        <is>
          <t>tahini</t>
        </is>
      </c>
      <c r="B242" s="6" t="inlineStr">
        <is>
          <t>Tahini</t>
        </is>
      </c>
      <c r="C242" s="6" t="inlineStr">
        <is>
          <t>nut</t>
        </is>
      </c>
      <c r="D242" s="6" t="n">
        <v>595</v>
      </c>
      <c r="E242" s="6" t="n">
        <v>17</v>
      </c>
      <c r="F242" s="6" t="n">
        <v>54</v>
      </c>
      <c r="G242" s="6" t="n">
        <v>21</v>
      </c>
      <c r="H242" s="6" t="n">
        <v>9</v>
      </c>
      <c r="I242" s="6" t="n">
        <v>12</v>
      </c>
      <c r="J242" s="6" t="n">
        <v>40</v>
      </c>
      <c r="K242" s="6" t="inlineStr">
        <is>
          <t>low</t>
        </is>
      </c>
      <c r="L242" s="7" t="inlineStr">
        <is>
          <t>Estimated from the closest tested food; no direct measurement found in the pooled sources</t>
        </is>
      </c>
      <c r="M242" s="7" t="inlineStr">
        <is>
          <t>no direct match</t>
        </is>
      </c>
      <c r="N242" s="6" t="n">
        <v>40</v>
      </c>
      <c r="O24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2" s="7" t="inlineStr">
        <is>
          <t>USDA FoodData Central (SR Legacy / Foundation Foods), fdc.nal.usda.gov</t>
        </is>
      </c>
      <c r="Q242" s="6" t="inlineStr">
        <is>
          <t>2026-09-26</t>
        </is>
      </c>
    </row>
    <row r="243">
      <c r="A243" s="6" t="inlineStr">
        <is>
          <t>chia_seeds</t>
        </is>
      </c>
      <c r="B243" s="6" t="inlineStr">
        <is>
          <t>Chia seeds</t>
        </is>
      </c>
      <c r="C243" s="6" t="inlineStr">
        <is>
          <t>seed</t>
        </is>
      </c>
      <c r="D243" s="6" t="n">
        <v>486</v>
      </c>
      <c r="E243" s="6" t="n">
        <v>17</v>
      </c>
      <c r="F243" s="6" t="n">
        <v>31</v>
      </c>
      <c r="G243" s="6" t="n">
        <v>42</v>
      </c>
      <c r="H243" s="6" t="n">
        <v>34</v>
      </c>
      <c r="I243" s="6" t="n">
        <v>8</v>
      </c>
      <c r="J243" s="6" t="n">
        <v>15</v>
      </c>
      <c r="K243" s="6" t="inlineStr">
        <is>
          <t>none (placeholder)</t>
        </is>
      </c>
      <c r="L243" s="7" t="inlineStr">
        <is>
          <t>Conventional placeholder for foods with too little carbohydrate to test (non-starchy vegetables, nuts, seeds, herbs); no published measurement exists</t>
        </is>
      </c>
      <c r="M243" s="7" t="inlineStr">
        <is>
          <t>not measurable</t>
        </is>
      </c>
      <c r="N243" s="6" t="n">
        <v>15</v>
      </c>
      <c r="O243" s="7" t="inlineStr">
        <is>
          <t>clinical convention</t>
        </is>
      </c>
      <c r="P243" s="7" t="inlineStr">
        <is>
          <t>USDA FoodData Central (SR Legacy / Foundation Foods), fdc.nal.usda.gov</t>
        </is>
      </c>
      <c r="Q243" s="6" t="inlineStr">
        <is>
          <t>2026-09-26</t>
        </is>
      </c>
    </row>
    <row r="244">
      <c r="A244" s="6" t="inlineStr">
        <is>
          <t>flaxseed</t>
        </is>
      </c>
      <c r="B244" s="6" t="inlineStr">
        <is>
          <t>Ground flaxseed</t>
        </is>
      </c>
      <c r="C244" s="6" t="inlineStr">
        <is>
          <t>seed</t>
        </is>
      </c>
      <c r="D244" s="6" t="n">
        <v>534</v>
      </c>
      <c r="E244" s="6" t="n">
        <v>18</v>
      </c>
      <c r="F244" s="6" t="n">
        <v>42</v>
      </c>
      <c r="G244" s="6" t="n">
        <v>29</v>
      </c>
      <c r="H244" s="6" t="n">
        <v>27</v>
      </c>
      <c r="I244" s="6" t="n">
        <v>2</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hemp_seeds</t>
        </is>
      </c>
      <c r="B245" s="6" t="inlineStr">
        <is>
          <t>Hemp seeds</t>
        </is>
      </c>
      <c r="C245" s="6" t="inlineStr">
        <is>
          <t>seed</t>
        </is>
      </c>
      <c r="D245" s="6" t="n">
        <v>553</v>
      </c>
      <c r="E245" s="6" t="n">
        <v>32</v>
      </c>
      <c r="F245" s="6" t="n">
        <v>49</v>
      </c>
      <c r="G245" s="6" t="n">
        <v>8.699999999999999</v>
      </c>
      <c r="H245" s="6" t="n">
        <v>4</v>
      </c>
      <c r="I245" s="6" t="n">
        <v>4.7</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inlineStr"/>
      <c r="O245" s="7" t="inlineStr">
        <is>
          <t>clinical convention</t>
        </is>
      </c>
      <c r="P245" s="7" t="inlineStr">
        <is>
          <t>USDA FoodData Central (SR Legacy / Foundation Foods), fdc.nal.usda.gov</t>
        </is>
      </c>
      <c r="Q245" s="6" t="inlineStr">
        <is>
          <t>2026-09-26</t>
        </is>
      </c>
    </row>
    <row r="246">
      <c r="A246" s="6" t="inlineStr">
        <is>
          <t>sunflower_seeds</t>
        </is>
      </c>
      <c r="B246" s="6" t="inlineStr">
        <is>
          <t>Sunflower seeds</t>
        </is>
      </c>
      <c r="C246" s="6" t="inlineStr">
        <is>
          <t>seed</t>
        </is>
      </c>
      <c r="D246" s="6" t="n">
        <v>584</v>
      </c>
      <c r="E246" s="6" t="n">
        <v>21</v>
      </c>
      <c r="F246" s="6" t="n">
        <v>51</v>
      </c>
      <c r="G246" s="6" t="n">
        <v>20</v>
      </c>
      <c r="H246" s="6" t="n">
        <v>8.6</v>
      </c>
      <c r="I246" s="6" t="n">
        <v>11.4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n">
        <v>15</v>
      </c>
      <c r="O246" s="7" t="inlineStr">
        <is>
          <t>clinical convention</t>
        </is>
      </c>
      <c r="P246" s="7" t="inlineStr">
        <is>
          <t>USDA FoodData Central (SR Legacy / Foundation Foods), fdc.nal.usda.gov</t>
        </is>
      </c>
      <c r="Q246" s="6" t="inlineStr">
        <is>
          <t>2026-09-26</t>
        </is>
      </c>
    </row>
    <row r="247">
      <c r="A247" s="6" t="inlineStr">
        <is>
          <t>pumpkin_seeds</t>
        </is>
      </c>
      <c r="B247" s="6" t="inlineStr">
        <is>
          <t>Pumpkin seeds (pepitas)</t>
        </is>
      </c>
      <c r="C247" s="6" t="inlineStr">
        <is>
          <t>seed</t>
        </is>
      </c>
      <c r="D247" s="6" t="n">
        <v>559</v>
      </c>
      <c r="E247" s="6" t="n">
        <v>30</v>
      </c>
      <c r="F247" s="6" t="n">
        <v>49</v>
      </c>
      <c r="G247" s="6" t="n">
        <v>11</v>
      </c>
      <c r="H247" s="6" t="n">
        <v>6</v>
      </c>
      <c r="I247" s="6" t="n">
        <v>5</v>
      </c>
      <c r="J247" s="6" t="n">
        <v>15</v>
      </c>
      <c r="K247" s="6" t="inlineStr">
        <is>
          <t>none (placeholder)</t>
        </is>
      </c>
      <c r="L247" s="7" t="inlineStr">
        <is>
          <t>Conventional placeholder for foods with too little carbohydrate to test (non-starchy vegetables, nuts, seeds, herbs); no published measurement exists</t>
        </is>
      </c>
      <c r="M247" s="7" t="inlineStr">
        <is>
          <t>not measurable</t>
        </is>
      </c>
      <c r="N247" s="6" t="n">
        <v>15</v>
      </c>
      <c r="O247" s="7" t="inlineStr">
        <is>
          <t>clinical convention</t>
        </is>
      </c>
      <c r="P247" s="7" t="inlineStr">
        <is>
          <t>USDA FoodData Central (SR Legacy / Foundation Foods), fdc.nal.usda.gov</t>
        </is>
      </c>
      <c r="Q247" s="6" t="inlineStr">
        <is>
          <t>2026-09-26</t>
        </is>
      </c>
    </row>
    <row r="248">
      <c r="A248" s="6" t="inlineStr">
        <is>
          <t>sesame_seeds</t>
        </is>
      </c>
      <c r="B248" s="6" t="inlineStr">
        <is>
          <t>Sesame seeds</t>
        </is>
      </c>
      <c r="C248" s="6" t="inlineStr">
        <is>
          <t>seed</t>
        </is>
      </c>
      <c r="D248" s="6" t="n">
        <v>573</v>
      </c>
      <c r="E248" s="6" t="n">
        <v>18</v>
      </c>
      <c r="F248" s="6" t="n">
        <v>50</v>
      </c>
      <c r="G248" s="6" t="n">
        <v>23</v>
      </c>
      <c r="H248" s="6" t="n">
        <v>12</v>
      </c>
      <c r="I248" s="6" t="n">
        <v>11</v>
      </c>
      <c r="J248" s="6" t="n">
        <v>35</v>
      </c>
      <c r="K248" s="6" t="inlineStr">
        <is>
          <t>low</t>
        </is>
      </c>
      <c r="L248" s="7" t="inlineStr">
        <is>
          <t>Estimated from the closest tested food; no direct measurement found in the pooled sources</t>
        </is>
      </c>
      <c r="M248" s="7" t="inlineStr">
        <is>
          <t>no direct match</t>
        </is>
      </c>
      <c r="N248" s="6" t="n">
        <v>35</v>
      </c>
      <c r="O24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8" s="7" t="inlineStr">
        <is>
          <t>USDA FoodData Central (SR Legacy / Foundation Foods), fdc.nal.usda.gov</t>
        </is>
      </c>
      <c r="Q248" s="6" t="inlineStr">
        <is>
          <t>2026-09-26</t>
        </is>
      </c>
    </row>
    <row r="249">
      <c r="A249" s="6" t="inlineStr">
        <is>
          <t>olive_oil</t>
        </is>
      </c>
      <c r="B249" s="6" t="inlineStr">
        <is>
          <t>Extra-virgin olive oil</t>
        </is>
      </c>
      <c r="C249" s="6" t="inlineStr">
        <is>
          <t>fat</t>
        </is>
      </c>
      <c r="D249" s="6" t="n">
        <v>884</v>
      </c>
      <c r="E249" s="6" t="n">
        <v>0</v>
      </c>
      <c r="F249" s="6" t="n">
        <v>100</v>
      </c>
      <c r="G249" s="6" t="n">
        <v>0</v>
      </c>
      <c r="H249" s="6" t="n">
        <v>0</v>
      </c>
      <c r="I249" s="6" t="n">
        <v>0</v>
      </c>
      <c r="J249" s="6" t="n">
        <v>0</v>
      </c>
      <c r="K249" s="6" t="inlineStr">
        <is>
          <t>definitional</t>
        </is>
      </c>
      <c r="L249" s="7" t="inlineStr">
        <is>
          <t>No available carbohydrate — GI is 0 by definition (protein / fat / water)</t>
        </is>
      </c>
      <c r="M249" s="7" t="inlineStr">
        <is>
          <t>n/a</t>
        </is>
      </c>
      <c r="N249" s="6" t="inlineStr"/>
      <c r="O249" s="7" t="inlineStr">
        <is>
          <t>ISO 26642:2010</t>
        </is>
      </c>
      <c r="P249" s="7" t="inlineStr">
        <is>
          <t>USDA FoodData Central (SR Legacy / Foundation Foods), fdc.nal.usda.gov</t>
        </is>
      </c>
      <c r="Q249" s="6" t="inlineStr">
        <is>
          <t>2026-09-26</t>
        </is>
      </c>
    </row>
    <row r="250">
      <c r="A250" s="6" t="inlineStr">
        <is>
          <t>avocado_oil</t>
        </is>
      </c>
      <c r="B250" s="6" t="inlineStr">
        <is>
          <t>Avocado oil</t>
        </is>
      </c>
      <c r="C250" s="6" t="inlineStr">
        <is>
          <t>fat</t>
        </is>
      </c>
      <c r="D250" s="6" t="n">
        <v>884</v>
      </c>
      <c r="E250" s="6" t="n">
        <v>0</v>
      </c>
      <c r="F250" s="6" t="n">
        <v>100</v>
      </c>
      <c r="G250" s="6" t="n">
        <v>0</v>
      </c>
      <c r="H250" s="6" t="n">
        <v>0</v>
      </c>
      <c r="I250" s="6" t="n">
        <v>0</v>
      </c>
      <c r="J250" s="6" t="n">
        <v>0</v>
      </c>
      <c r="K250" s="6" t="inlineStr">
        <is>
          <t>definitional</t>
        </is>
      </c>
      <c r="L250" s="7" t="inlineStr">
        <is>
          <t>No available carbohydrate — GI is 0 by definition (protein / fat / water)</t>
        </is>
      </c>
      <c r="M250" s="7" t="inlineStr">
        <is>
          <t>n/a</t>
        </is>
      </c>
      <c r="N250" s="6" t="inlineStr"/>
      <c r="O250" s="7" t="inlineStr">
        <is>
          <t>ISO 26642:2010</t>
        </is>
      </c>
      <c r="P250" s="7" t="inlineStr">
        <is>
          <t>USDA FoodData Central (SR Legacy / Foundation Foods), fdc.nal.usda.gov</t>
        </is>
      </c>
      <c r="Q250" s="6" t="inlineStr">
        <is>
          <t>2026-09-26</t>
        </is>
      </c>
    </row>
    <row r="251">
      <c r="A251" s="6" t="inlineStr">
        <is>
          <t>coconut_oil</t>
        </is>
      </c>
      <c r="B251" s="6" t="inlineStr">
        <is>
          <t>Coconut oil</t>
        </is>
      </c>
      <c r="C251" s="6" t="inlineStr">
        <is>
          <t>fat</t>
        </is>
      </c>
      <c r="D251" s="6" t="n">
        <v>862</v>
      </c>
      <c r="E251" s="6" t="n">
        <v>0</v>
      </c>
      <c r="F251" s="6" t="n">
        <v>100</v>
      </c>
      <c r="G251" s="6" t="n">
        <v>0</v>
      </c>
      <c r="H251" s="6" t="n">
        <v>0</v>
      </c>
      <c r="I251" s="6" t="n">
        <v>0</v>
      </c>
      <c r="J251" s="6" t="n">
        <v>0</v>
      </c>
      <c r="K251" s="6" t="inlineStr">
        <is>
          <t>definitional</t>
        </is>
      </c>
      <c r="L251" s="7" t="inlineStr">
        <is>
          <t>No available carbohydrate — GI is 0 by definition (protein / fat / water)</t>
        </is>
      </c>
      <c r="M251" s="7" t="inlineStr">
        <is>
          <t>n/a</t>
        </is>
      </c>
      <c r="N251" s="6" t="inlineStr"/>
      <c r="O251" s="7" t="inlineStr">
        <is>
          <t>ISO 26642:2010</t>
        </is>
      </c>
      <c r="P251" s="7" t="inlineStr">
        <is>
          <t>USDA FoodData Central (SR Legacy / Foundation Foods), fdc.nal.usda.gov</t>
        </is>
      </c>
      <c r="Q251" s="6" t="inlineStr">
        <is>
          <t>2026-09-26</t>
        </is>
      </c>
    </row>
    <row r="252">
      <c r="A252" s="6" t="inlineStr">
        <is>
          <t>sesame_oil</t>
        </is>
      </c>
      <c r="B252" s="6" t="inlineStr">
        <is>
          <t>Toasted sesame oil</t>
        </is>
      </c>
      <c r="C252" s="6" t="inlineStr">
        <is>
          <t>fat</t>
        </is>
      </c>
      <c r="D252" s="6" t="n">
        <v>884</v>
      </c>
      <c r="E252" s="6" t="n">
        <v>0</v>
      </c>
      <c r="F252" s="6" t="n">
        <v>100</v>
      </c>
      <c r="G252" s="6" t="n">
        <v>0</v>
      </c>
      <c r="H252" s="6" t="n">
        <v>0</v>
      </c>
      <c r="I252" s="6" t="n">
        <v>0</v>
      </c>
      <c r="J252" s="6" t="n">
        <v>0</v>
      </c>
      <c r="K252" s="6" t="inlineStr">
        <is>
          <t>definitional</t>
        </is>
      </c>
      <c r="L252" s="7" t="inlineStr">
        <is>
          <t>No available carbohydrate — GI is 0 by definition (protein / fat / water)</t>
        </is>
      </c>
      <c r="M252" s="7" t="inlineStr">
        <is>
          <t>n/a</t>
        </is>
      </c>
      <c r="N252" s="6" t="inlineStr"/>
      <c r="O252" s="7" t="inlineStr">
        <is>
          <t>ISO 26642:2010</t>
        </is>
      </c>
      <c r="P252" s="7" t="inlineStr">
        <is>
          <t>USDA FoodData Central (SR Legacy / Foundation Foods), fdc.nal.usda.gov</t>
        </is>
      </c>
      <c r="Q252" s="6" t="inlineStr">
        <is>
          <t>2026-09-26</t>
        </is>
      </c>
    </row>
    <row r="253">
      <c r="A253" s="6" t="inlineStr">
        <is>
          <t>mayo</t>
        </is>
      </c>
      <c r="B253" s="6" t="inlineStr">
        <is>
          <t>Mayonnaise (avocado oil)</t>
        </is>
      </c>
      <c r="C253" s="6" t="inlineStr">
        <is>
          <t>fat</t>
        </is>
      </c>
      <c r="D253" s="6" t="n">
        <v>700</v>
      </c>
      <c r="E253" s="6" t="n">
        <v>0</v>
      </c>
      <c r="F253" s="6" t="n">
        <v>78</v>
      </c>
      <c r="G253" s="6" t="n">
        <v>0</v>
      </c>
      <c r="H253" s="6" t="n">
        <v>0</v>
      </c>
      <c r="I253" s="6" t="n">
        <v>0</v>
      </c>
      <c r="J253" s="6" t="n">
        <v>0</v>
      </c>
      <c r="K253" s="6" t="inlineStr">
        <is>
          <t>definitional</t>
        </is>
      </c>
      <c r="L253" s="7" t="inlineStr">
        <is>
          <t>No available carbohydrate — GI is 0 by definition (protein / fat / water)</t>
        </is>
      </c>
      <c r="M253" s="7" t="inlineStr">
        <is>
          <t>n/a</t>
        </is>
      </c>
      <c r="N253" s="6" t="inlineStr"/>
      <c r="O253" s="7" t="inlineStr">
        <is>
          <t>ISO 26642:2010</t>
        </is>
      </c>
      <c r="P253" s="7" t="inlineStr">
        <is>
          <t>USDA FoodData Central (SR Legacy / Foundation Foods), fdc.nal.usda.gov</t>
        </is>
      </c>
      <c r="Q253" s="6" t="inlineStr">
        <is>
          <t>2026-09-26</t>
        </is>
      </c>
    </row>
    <row r="254">
      <c r="A254" s="6" t="inlineStr">
        <is>
          <t>dijon</t>
        </is>
      </c>
      <c r="B254" s="6" t="inlineStr">
        <is>
          <t>Dijon mustard</t>
        </is>
      </c>
      <c r="C254" s="6" t="inlineStr">
        <is>
          <t>condiment</t>
        </is>
      </c>
      <c r="D254" s="6" t="n">
        <v>66</v>
      </c>
      <c r="E254" s="6" t="n">
        <v>4</v>
      </c>
      <c r="F254" s="6" t="n">
        <v>3.3</v>
      </c>
      <c r="G254" s="6" t="n">
        <v>5</v>
      </c>
      <c r="H254" s="6" t="n">
        <v>3</v>
      </c>
      <c r="I254" s="6" t="n">
        <v>2</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yellow_mustard</t>
        </is>
      </c>
      <c r="B255" s="6" t="inlineStr">
        <is>
          <t>Yellow mustard</t>
        </is>
      </c>
      <c r="C255" s="6" t="inlineStr">
        <is>
          <t>condiment</t>
        </is>
      </c>
      <c r="D255" s="6" t="n">
        <v>60</v>
      </c>
      <c r="E255" s="6" t="n">
        <v>4</v>
      </c>
      <c r="F255" s="6" t="n">
        <v>3</v>
      </c>
      <c r="G255" s="6" t="n">
        <v>5</v>
      </c>
      <c r="H255" s="6" t="n">
        <v>3</v>
      </c>
      <c r="I255" s="6" t="n">
        <v>2</v>
      </c>
      <c r="J255" s="6" t="n">
        <v>15</v>
      </c>
      <c r="K255" s="6" t="inlineStr">
        <is>
          <t>none (placeholder)</t>
        </is>
      </c>
      <c r="L255" s="7" t="inlineStr">
        <is>
          <t>Conventional placeholder for foods with too little carbohydrate to test (non-starchy vegetables, nuts, seeds, herbs); no published measurement exists</t>
        </is>
      </c>
      <c r="M255" s="7" t="inlineStr">
        <is>
          <t>not measurable</t>
        </is>
      </c>
      <c r="N255" s="6" t="inlineStr"/>
      <c r="O255" s="7" t="inlineStr">
        <is>
          <t>clinical convention</t>
        </is>
      </c>
      <c r="P255" s="7" t="inlineStr">
        <is>
          <t>USDA FoodData Central (SR Legacy / Foundation Foods), fdc.nal.usda.gov</t>
        </is>
      </c>
      <c r="Q255" s="6" t="inlineStr">
        <is>
          <t>2026-09-26</t>
        </is>
      </c>
    </row>
    <row r="256">
      <c r="A256" s="6" t="inlineStr">
        <is>
          <t>soy_sauce</t>
        </is>
      </c>
      <c r="B256" s="6" t="inlineStr">
        <is>
          <t>Soy sauce, low sodium</t>
        </is>
      </c>
      <c r="C256" s="6" t="inlineStr">
        <is>
          <t>condiment</t>
        </is>
      </c>
      <c r="D256" s="6" t="n">
        <v>53</v>
      </c>
      <c r="E256" s="6" t="n">
        <v>8</v>
      </c>
      <c r="F256" s="6" t="n">
        <v>0</v>
      </c>
      <c r="G256" s="6" t="n">
        <v>5</v>
      </c>
      <c r="H256" s="6" t="n">
        <v>0.8</v>
      </c>
      <c r="I256" s="6" t="n">
        <v>4.2</v>
      </c>
      <c r="J256" s="6" t="n">
        <v>20</v>
      </c>
      <c r="K256" s="6" t="inlineStr">
        <is>
          <t>low</t>
        </is>
      </c>
      <c r="L256" s="7" t="inlineStr">
        <is>
          <t>Estimated from the closest tested food; no direct measurement found in the pooled sources</t>
        </is>
      </c>
      <c r="M256" s="7" t="inlineStr">
        <is>
          <t>no direct match</t>
        </is>
      </c>
      <c r="N256" s="6" t="n">
        <v>20</v>
      </c>
      <c r="O2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6" s="7" t="inlineStr">
        <is>
          <t>USDA FoodData Central (SR Legacy / Foundation Foods), fdc.nal.usda.gov</t>
        </is>
      </c>
      <c r="Q256" s="6" t="inlineStr">
        <is>
          <t>2026-09-26</t>
        </is>
      </c>
    </row>
    <row r="257">
      <c r="A257" s="6" t="inlineStr">
        <is>
          <t>tamari</t>
        </is>
      </c>
      <c r="B257" s="6" t="inlineStr">
        <is>
          <t>Tamari (gluten-free soy sauce)</t>
        </is>
      </c>
      <c r="C257" s="6" t="inlineStr">
        <is>
          <t>condiment</t>
        </is>
      </c>
      <c r="D257" s="6" t="n">
        <v>60</v>
      </c>
      <c r="E257" s="6" t="n">
        <v>10</v>
      </c>
      <c r="F257" s="6" t="n">
        <v>0</v>
      </c>
      <c r="G257" s="6" t="n">
        <v>5</v>
      </c>
      <c r="H257" s="6" t="n">
        <v>0.8</v>
      </c>
      <c r="I257" s="6" t="n">
        <v>4.2</v>
      </c>
      <c r="J257" s="6" t="n">
        <v>20</v>
      </c>
      <c r="K257" s="6" t="inlineStr">
        <is>
          <t>low</t>
        </is>
      </c>
      <c r="L257" s="7" t="inlineStr">
        <is>
          <t>Estimated from the closest tested food; no direct measurement found in the pooled sources</t>
        </is>
      </c>
      <c r="M257" s="7" t="inlineStr">
        <is>
          <t>no direct match</t>
        </is>
      </c>
      <c r="N257" s="6" t="inlineStr"/>
      <c r="O2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7" s="7" t="inlineStr">
        <is>
          <t>USDA FoodData Central (SR Legacy / Foundation Foods), fdc.nal.usda.gov</t>
        </is>
      </c>
      <c r="Q257" s="6" t="inlineStr">
        <is>
          <t>2026-09-26</t>
        </is>
      </c>
    </row>
    <row r="258">
      <c r="A258" s="6" t="inlineStr">
        <is>
          <t>coconut_aminos</t>
        </is>
      </c>
      <c r="B258" s="6" t="inlineStr">
        <is>
          <t>Coconut aminos</t>
        </is>
      </c>
      <c r="C258" s="6" t="inlineStr">
        <is>
          <t>condiment</t>
        </is>
      </c>
      <c r="D258" s="6" t="n">
        <v>90</v>
      </c>
      <c r="E258" s="6" t="n">
        <v>0</v>
      </c>
      <c r="F258" s="6" t="n">
        <v>0</v>
      </c>
      <c r="G258" s="6" t="n">
        <v>22</v>
      </c>
      <c r="H258" s="6" t="n">
        <v>0</v>
      </c>
      <c r="I258" s="6" t="n">
        <v>22</v>
      </c>
      <c r="J258" s="6" t="n">
        <v>35</v>
      </c>
      <c r="K258" s="6" t="inlineStr">
        <is>
          <t>low</t>
        </is>
      </c>
      <c r="L258" s="7" t="inlineStr">
        <is>
          <t>Estimated from the closest tested food; no direct measurement found in the pooled sources</t>
        </is>
      </c>
      <c r="M258" s="7" t="inlineStr">
        <is>
          <t>no direct match</t>
        </is>
      </c>
      <c r="N258" s="6" t="inlineStr"/>
      <c r="O25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8" s="7" t="inlineStr">
        <is>
          <t>USDA FoodData Central (SR Legacy / Foundation Foods), fdc.nal.usda.gov</t>
        </is>
      </c>
      <c r="Q258" s="6" t="inlineStr">
        <is>
          <t>2026-09-26</t>
        </is>
      </c>
    </row>
    <row r="259">
      <c r="A259" s="6" t="inlineStr">
        <is>
          <t>fish_sauce</t>
        </is>
      </c>
      <c r="B259" s="6" t="inlineStr">
        <is>
          <t>Fish sauce</t>
        </is>
      </c>
      <c r="C259" s="6" t="inlineStr">
        <is>
          <t>condiment</t>
        </is>
      </c>
      <c r="D259" s="6" t="n">
        <v>35</v>
      </c>
      <c r="E259" s="6" t="n">
        <v>5</v>
      </c>
      <c r="F259" s="6" t="n">
        <v>0</v>
      </c>
      <c r="G259" s="6" t="n">
        <v>4</v>
      </c>
      <c r="H259" s="6" t="n">
        <v>0</v>
      </c>
      <c r="I259" s="6" t="n">
        <v>4</v>
      </c>
      <c r="J259" s="6" t="n">
        <v>0</v>
      </c>
      <c r="K259" s="6" t="inlineStr">
        <is>
          <t>low</t>
        </is>
      </c>
      <c r="L259" s="7" t="inlineStr">
        <is>
          <t>Estimated from the closest tested food; no direct measurement found in the pooled sources</t>
        </is>
      </c>
      <c r="M259" s="7" t="inlineStr">
        <is>
          <t>no direct match</t>
        </is>
      </c>
      <c r="N259" s="6" t="inlineStr"/>
      <c r="O2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9" s="7" t="inlineStr">
        <is>
          <t>USDA FoodData Central (SR Legacy / Foundation Foods), fdc.nal.usda.gov</t>
        </is>
      </c>
      <c r="Q259" s="6" t="inlineStr">
        <is>
          <t>2026-09-26</t>
        </is>
      </c>
    </row>
    <row r="260">
      <c r="A260" s="6" t="inlineStr">
        <is>
          <t>rice_vinegar</t>
        </is>
      </c>
      <c r="B260" s="6" t="inlineStr">
        <is>
          <t>Rice vinegar, unseasoned</t>
        </is>
      </c>
      <c r="C260" s="6" t="inlineStr">
        <is>
          <t>condiment</t>
        </is>
      </c>
      <c r="D260" s="6" t="n">
        <v>18</v>
      </c>
      <c r="E260" s="6" t="n">
        <v>0</v>
      </c>
      <c r="F260" s="6" t="n">
        <v>0</v>
      </c>
      <c r="G260" s="6" t="n">
        <v>0.5</v>
      </c>
      <c r="H260" s="6" t="n">
        <v>0</v>
      </c>
      <c r="I260" s="6" t="n">
        <v>0.5</v>
      </c>
      <c r="J260" s="6" t="n">
        <v>0</v>
      </c>
      <c r="K260" s="6" t="inlineStr">
        <is>
          <t>definitional</t>
        </is>
      </c>
      <c r="L260" s="7" t="inlineStr">
        <is>
          <t>No available carbohydrate — GI is 0 by definition (protein / fat / water)</t>
        </is>
      </c>
      <c r="M260" s="7" t="inlineStr">
        <is>
          <t>n/a</t>
        </is>
      </c>
      <c r="N260" s="6" t="inlineStr"/>
      <c r="O260" s="7" t="inlineStr">
        <is>
          <t>ISO 26642:2010</t>
        </is>
      </c>
      <c r="P260" s="7" t="inlineStr">
        <is>
          <t>USDA FoodData Central (SR Legacy / Foundation Foods), fdc.nal.usda.gov</t>
        </is>
      </c>
      <c r="Q260" s="6" t="inlineStr">
        <is>
          <t>2026-09-26</t>
        </is>
      </c>
    </row>
    <row r="261">
      <c r="A261" s="6" t="inlineStr">
        <is>
          <t>apple_cider_vinegar</t>
        </is>
      </c>
      <c r="B261" s="6" t="inlineStr">
        <is>
          <t>Apple cider vinegar</t>
        </is>
      </c>
      <c r="C261" s="6" t="inlineStr">
        <is>
          <t>condiment</t>
        </is>
      </c>
      <c r="D261" s="6" t="n">
        <v>21</v>
      </c>
      <c r="E261" s="6" t="n">
        <v>0</v>
      </c>
      <c r="F261" s="6" t="n">
        <v>0</v>
      </c>
      <c r="G261" s="6" t="n">
        <v>0.9</v>
      </c>
      <c r="H261" s="6" t="n">
        <v>0</v>
      </c>
      <c r="I261" s="6" t="n">
        <v>0.9</v>
      </c>
      <c r="J261" s="6" t="n">
        <v>0</v>
      </c>
      <c r="K261" s="6" t="inlineStr">
        <is>
          <t>low</t>
        </is>
      </c>
      <c r="L261" s="7" t="inlineStr">
        <is>
          <t>Estimated from the closest tested food; no direct measurement found in the pooled sources</t>
        </is>
      </c>
      <c r="M261" s="7" t="inlineStr">
        <is>
          <t>no direct match</t>
        </is>
      </c>
      <c r="N261" s="6" t="inlineStr"/>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red_wine_vinegar</t>
        </is>
      </c>
      <c r="B262" s="6" t="inlineStr">
        <is>
          <t>Red wine vinegar</t>
        </is>
      </c>
      <c r="C262" s="6" t="inlineStr">
        <is>
          <t>condiment</t>
        </is>
      </c>
      <c r="D262" s="6" t="n">
        <v>19</v>
      </c>
      <c r="E262" s="6" t="n">
        <v>0</v>
      </c>
      <c r="F262" s="6" t="n">
        <v>0</v>
      </c>
      <c r="G262" s="6" t="n">
        <v>0.3</v>
      </c>
      <c r="H262" s="6" t="n">
        <v>0</v>
      </c>
      <c r="I262" s="6" t="n">
        <v>0.3</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white_wine_vinegar</t>
        </is>
      </c>
      <c r="B263" s="6" t="inlineStr">
        <is>
          <t>White wine vinegar</t>
        </is>
      </c>
      <c r="C263" s="6" t="inlineStr">
        <is>
          <t>condiment</t>
        </is>
      </c>
      <c r="D263" s="6" t="n">
        <v>19</v>
      </c>
      <c r="E263" s="6" t="n">
        <v>0</v>
      </c>
      <c r="F263" s="6" t="n">
        <v>0</v>
      </c>
      <c r="G263" s="6" t="n">
        <v>0.3</v>
      </c>
      <c r="H263" s="6" t="n">
        <v>0</v>
      </c>
      <c r="I263" s="6" t="n">
        <v>0.3</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balsamic_vinegar</t>
        </is>
      </c>
      <c r="B264" s="6" t="inlineStr">
        <is>
          <t>Balsamic vinegar</t>
        </is>
      </c>
      <c r="C264" s="6" t="inlineStr">
        <is>
          <t>condiment</t>
        </is>
      </c>
      <c r="D264" s="6" t="n">
        <v>88</v>
      </c>
      <c r="E264" s="6" t="n">
        <v>0.5</v>
      </c>
      <c r="F264" s="6" t="n">
        <v>0</v>
      </c>
      <c r="G264" s="6" t="n">
        <v>17</v>
      </c>
      <c r="H264" s="6" t="n">
        <v>0</v>
      </c>
      <c r="I264" s="6" t="n">
        <v>17</v>
      </c>
      <c r="J264" s="6" t="n">
        <v>35</v>
      </c>
      <c r="K264" s="6" t="inlineStr">
        <is>
          <t>low</t>
        </is>
      </c>
      <c r="L264" s="7" t="inlineStr">
        <is>
          <t>Estimated from the closest tested food; no direct measurement found in the pooled sources</t>
        </is>
      </c>
      <c r="M264" s="7" t="inlineStr">
        <is>
          <t>no direct match</t>
        </is>
      </c>
      <c r="N264" s="6" t="n">
        <v>35</v>
      </c>
      <c r="O2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4" s="7" t="inlineStr">
        <is>
          <t>USDA FoodData Central (SR Legacy / Foundation Foods), fdc.nal.usda.gov</t>
        </is>
      </c>
      <c r="Q264" s="6" t="inlineStr">
        <is>
          <t>2026-09-26</t>
        </is>
      </c>
    </row>
    <row r="265">
      <c r="A265" s="6" t="inlineStr">
        <is>
          <t>hot_sauce</t>
        </is>
      </c>
      <c r="B265" s="6" t="inlineStr">
        <is>
          <t>Hot sauce (Tabasco/Frank's)</t>
        </is>
      </c>
      <c r="C265" s="6" t="inlineStr">
        <is>
          <t>condiment</t>
        </is>
      </c>
      <c r="D265" s="6" t="n">
        <v>12</v>
      </c>
      <c r="E265" s="6" t="n">
        <v>0.5</v>
      </c>
      <c r="F265" s="6" t="n">
        <v>0.4</v>
      </c>
      <c r="G265" s="6" t="n">
        <v>1.8</v>
      </c>
      <c r="H265" s="6" t="n">
        <v>0.3</v>
      </c>
      <c r="I265" s="6" t="n">
        <v>1.5</v>
      </c>
      <c r="J265" s="6" t="n">
        <v>15</v>
      </c>
      <c r="K265" s="6" t="inlineStr">
        <is>
          <t>none (placeholder)</t>
        </is>
      </c>
      <c r="L265" s="7" t="inlineStr">
        <is>
          <t>Conventional placeholder for foods with too little carbohydrate to test (non-starchy vegetables, nuts, seeds, herbs); no published measurement exists</t>
        </is>
      </c>
      <c r="M265" s="7" t="inlineStr">
        <is>
          <t>not measurable</t>
        </is>
      </c>
      <c r="N265" s="6" t="inlineStr"/>
      <c r="O265" s="7" t="inlineStr">
        <is>
          <t>clinical convention</t>
        </is>
      </c>
      <c r="P265" s="7" t="inlineStr">
        <is>
          <t>USDA FoodData Central (SR Legacy / Foundation Foods), fdc.nal.usda.gov</t>
        </is>
      </c>
      <c r="Q265" s="6" t="inlineStr">
        <is>
          <t>2026-09-26</t>
        </is>
      </c>
    </row>
    <row r="266">
      <c r="A266" s="6" t="inlineStr">
        <is>
          <t>sriracha</t>
        </is>
      </c>
      <c r="B266" s="6" t="inlineStr">
        <is>
          <t>Sriracha</t>
        </is>
      </c>
      <c r="C266" s="6" t="inlineStr">
        <is>
          <t>condiment</t>
        </is>
      </c>
      <c r="D266" s="6" t="n">
        <v>93</v>
      </c>
      <c r="E266" s="6" t="n">
        <v>2</v>
      </c>
      <c r="F266" s="6" t="n">
        <v>1</v>
      </c>
      <c r="G266" s="6" t="n">
        <v>19</v>
      </c>
      <c r="H266" s="6" t="n">
        <v>2</v>
      </c>
      <c r="I266" s="6" t="n">
        <v>17</v>
      </c>
      <c r="J266" s="6" t="n">
        <v>35</v>
      </c>
      <c r="K266" s="6" t="inlineStr">
        <is>
          <t>low</t>
        </is>
      </c>
      <c r="L266" s="7" t="inlineStr">
        <is>
          <t>Estimated from the closest tested food; no direct measurement found in the pooled sources</t>
        </is>
      </c>
      <c r="M266" s="7" t="inlineStr">
        <is>
          <t>no direct match</t>
        </is>
      </c>
      <c r="N266" s="6" t="inlineStr"/>
      <c r="O2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6" s="7" t="inlineStr">
        <is>
          <t>USDA FoodData Central (SR Legacy / Foundation Foods), fdc.nal.usda.gov</t>
        </is>
      </c>
      <c r="Q266" s="6" t="inlineStr">
        <is>
          <t>2026-09-26</t>
        </is>
      </c>
    </row>
    <row r="267">
      <c r="A267" s="6" t="inlineStr">
        <is>
          <t>salsa</t>
        </is>
      </c>
      <c r="B267" s="6" t="inlineStr">
        <is>
          <t>Salsa, no sugar added</t>
        </is>
      </c>
      <c r="C267" s="6" t="inlineStr">
        <is>
          <t>condiment</t>
        </is>
      </c>
      <c r="D267" s="6" t="n">
        <v>36</v>
      </c>
      <c r="E267" s="6" t="n">
        <v>1.5</v>
      </c>
      <c r="F267" s="6" t="n">
        <v>0.2</v>
      </c>
      <c r="G267" s="6" t="n">
        <v>7</v>
      </c>
      <c r="H267" s="6" t="n">
        <v>1.5</v>
      </c>
      <c r="I267" s="6" t="n">
        <v>5.5</v>
      </c>
      <c r="J267" s="6" t="n">
        <v>30</v>
      </c>
      <c r="K267" s="6" t="inlineStr">
        <is>
          <t>low</t>
        </is>
      </c>
      <c r="L267" s="7" t="inlineStr">
        <is>
          <t>Estimated from the closest tested food; no direct measurement found in the pooled sources</t>
        </is>
      </c>
      <c r="M267" s="7" t="inlineStr">
        <is>
          <t>no direct match</t>
        </is>
      </c>
      <c r="N267" s="6" t="n">
        <v>30</v>
      </c>
      <c r="O2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7" s="7" t="inlineStr">
        <is>
          <t>USDA FoodData Central (SR Legacy / Foundation Foods), fdc.nal.usda.gov</t>
        </is>
      </c>
      <c r="Q267" s="6" t="inlineStr">
        <is>
          <t>2026-09-26</t>
        </is>
      </c>
    </row>
    <row r="268">
      <c r="A268" s="6" t="inlineStr">
        <is>
          <t>salsa_verde</t>
        </is>
      </c>
      <c r="B268" s="6" t="inlineStr">
        <is>
          <t>Salsa verde</t>
        </is>
      </c>
      <c r="C268" s="6" t="inlineStr">
        <is>
          <t>condiment</t>
        </is>
      </c>
      <c r="D268" s="6" t="n">
        <v>30</v>
      </c>
      <c r="E268" s="6" t="n">
        <v>1</v>
      </c>
      <c r="F268" s="6" t="n">
        <v>0.5</v>
      </c>
      <c r="G268" s="6" t="n">
        <v>6</v>
      </c>
      <c r="H268" s="6" t="n">
        <v>1.5</v>
      </c>
      <c r="I268" s="6" t="n">
        <v>4.5</v>
      </c>
      <c r="J268" s="6" t="n">
        <v>30</v>
      </c>
      <c r="K268" s="6" t="inlineStr">
        <is>
          <t>low</t>
        </is>
      </c>
      <c r="L268" s="7" t="inlineStr">
        <is>
          <t>Estimated from the closest tested food; no direct measurement found in the pooled sources</t>
        </is>
      </c>
      <c r="M268" s="7" t="inlineStr">
        <is>
          <t>no direct match</t>
        </is>
      </c>
      <c r="N268" s="6" t="inlineStr"/>
      <c r="O2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8" s="7" t="inlineStr">
        <is>
          <t>USDA FoodData Central (SR Legacy / Foundation Foods), fdc.nal.usda.gov</t>
        </is>
      </c>
      <c r="Q268" s="6" t="inlineStr">
        <is>
          <t>2026-09-26</t>
        </is>
      </c>
    </row>
    <row r="269">
      <c r="A269" s="6" t="inlineStr">
        <is>
          <t>pico_de_gallo</t>
        </is>
      </c>
      <c r="B269" s="6" t="inlineStr">
        <is>
          <t>Pico de gallo</t>
        </is>
      </c>
      <c r="C269" s="6" t="inlineStr">
        <is>
          <t>condiment</t>
        </is>
      </c>
      <c r="D269" s="6" t="n">
        <v>20</v>
      </c>
      <c r="E269" s="6" t="n">
        <v>0.9</v>
      </c>
      <c r="F269" s="6" t="n">
        <v>0.2</v>
      </c>
      <c r="G269" s="6" t="n">
        <v>4.5</v>
      </c>
      <c r="H269" s="6" t="n">
        <v>1.2</v>
      </c>
      <c r="I269" s="6" t="n">
        <v>3.3</v>
      </c>
      <c r="J269" s="6" t="n">
        <v>15</v>
      </c>
      <c r="K269" s="6" t="inlineStr">
        <is>
          <t>none (placeholder)</t>
        </is>
      </c>
      <c r="L269" s="7" t="inlineStr">
        <is>
          <t>Conventional placeholder for foods with too little carbohydrate to test (non-starchy vegetables, nuts, seeds, herbs); no published measurement exists</t>
        </is>
      </c>
      <c r="M269" s="7" t="inlineStr">
        <is>
          <t>not measurable</t>
        </is>
      </c>
      <c r="N269" s="6" t="inlineStr"/>
      <c r="O269" s="7" t="inlineStr">
        <is>
          <t>clinical convention</t>
        </is>
      </c>
      <c r="P269" s="7" t="inlineStr">
        <is>
          <t>USDA FoodData Central (SR Legacy / Foundation Foods), fdc.nal.usda.gov</t>
        </is>
      </c>
      <c r="Q269" s="6" t="inlineStr">
        <is>
          <t>2026-09-26</t>
        </is>
      </c>
    </row>
    <row r="270">
      <c r="A270" s="6" t="inlineStr">
        <is>
          <t>pesto</t>
        </is>
      </c>
      <c r="B270" s="6" t="inlineStr">
        <is>
          <t>Basil pesto</t>
        </is>
      </c>
      <c r="C270" s="6" t="inlineStr">
        <is>
          <t>condiment</t>
        </is>
      </c>
      <c r="D270" s="6" t="n">
        <v>400</v>
      </c>
      <c r="E270" s="6" t="n">
        <v>5</v>
      </c>
      <c r="F270" s="6" t="n">
        <v>40</v>
      </c>
      <c r="G270" s="6" t="n">
        <v>6</v>
      </c>
      <c r="H270" s="6" t="n">
        <v>2</v>
      </c>
      <c r="I270" s="6" t="n">
        <v>4</v>
      </c>
      <c r="J270" s="6" t="n">
        <v>15</v>
      </c>
      <c r="K270" s="6" t="inlineStr">
        <is>
          <t>none (placeholder)</t>
        </is>
      </c>
      <c r="L270" s="7" t="inlineStr">
        <is>
          <t>Conventional placeholder for foods with too little carbohydrate to test (non-starchy vegetables, nuts, seeds, herbs); no published measurement exists</t>
        </is>
      </c>
      <c r="M270" s="7" t="inlineStr">
        <is>
          <t>not measurable</t>
        </is>
      </c>
      <c r="N270" s="6" t="inlineStr"/>
      <c r="O270" s="7" t="inlineStr">
        <is>
          <t>clinical convention</t>
        </is>
      </c>
      <c r="P270" s="7" t="inlineStr">
        <is>
          <t>USDA FoodData Central (SR Legacy / Foundation Foods), fdc.nal.usda.gov</t>
        </is>
      </c>
      <c r="Q270" s="6" t="inlineStr">
        <is>
          <t>2026-09-26</t>
        </is>
      </c>
    </row>
    <row r="271">
      <c r="A271" s="6" t="inlineStr">
        <is>
          <t>marinara</t>
        </is>
      </c>
      <c r="B271" s="6" t="inlineStr">
        <is>
          <t>Marinara sauce, no sugar added</t>
        </is>
      </c>
      <c r="C271" s="6" t="inlineStr">
        <is>
          <t>condiment</t>
        </is>
      </c>
      <c r="D271" s="6" t="n">
        <v>45</v>
      </c>
      <c r="E271" s="6" t="n">
        <v>1.5</v>
      </c>
      <c r="F271" s="6" t="n">
        <v>2.5</v>
      </c>
      <c r="G271" s="6" t="n">
        <v>5</v>
      </c>
      <c r="H271" s="6" t="n">
        <v>1.5</v>
      </c>
      <c r="I271" s="6" t="n">
        <v>3.5</v>
      </c>
      <c r="J271" s="6" t="n">
        <v>35</v>
      </c>
      <c r="K271" s="6" t="inlineStr">
        <is>
          <t>medium</t>
        </is>
      </c>
      <c r="L271" s="7" t="inlineStr">
        <is>
          <t>2021 International Tables, Suppl. Tables 1+2 (incl. studies with method deviations)</t>
        </is>
      </c>
      <c r="M271" s="7" t="inlineStr">
        <is>
          <t>median of 1 tested foods, range 35-35</t>
        </is>
      </c>
      <c r="N271" s="6" t="n">
        <v>35</v>
      </c>
      <c r="O271" s="7" t="inlineStr">
        <is>
          <t>Atkinson FS, Brand-Miller JC, Foster-Powell K, Buyken AE, Goletzke J. International tables of glycemic index and glycemic load values 2021. Am J Clin Nutr 2021;114(5):1625-32. doi:10.1093/ajcn/nqab233</t>
        </is>
      </c>
      <c r="P271" s="7" t="inlineStr">
        <is>
          <t>USDA FoodData Central (SR Legacy / Foundation Foods), fdc.nal.usda.gov</t>
        </is>
      </c>
      <c r="Q271" s="6" t="inlineStr">
        <is>
          <t>2026-09-26</t>
        </is>
      </c>
    </row>
    <row r="272">
      <c r="A272" s="6" t="inlineStr">
        <is>
          <t>crushed_tomatoes</t>
        </is>
      </c>
      <c r="B272" s="6" t="inlineStr">
        <is>
          <t>Crushed tomatoes, canned</t>
        </is>
      </c>
      <c r="C272" s="6" t="inlineStr">
        <is>
          <t>condiment</t>
        </is>
      </c>
      <c r="D272" s="6" t="n">
        <v>32</v>
      </c>
      <c r="E272" s="6" t="n">
        <v>1.6</v>
      </c>
      <c r="F272" s="6" t="n">
        <v>0.3</v>
      </c>
      <c r="G272" s="6" t="n">
        <v>7</v>
      </c>
      <c r="H272" s="6" t="n">
        <v>1.9</v>
      </c>
      <c r="I272" s="6" t="n">
        <v>5.1</v>
      </c>
      <c r="J272" s="6" t="n">
        <v>35</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diced_tomatoes</t>
        </is>
      </c>
      <c r="B273" s="6" t="inlineStr">
        <is>
          <t>Diced tomatoes, canned</t>
        </is>
      </c>
      <c r="C273" s="6" t="inlineStr">
        <is>
          <t>condiment</t>
        </is>
      </c>
      <c r="D273" s="6" t="n">
        <v>24</v>
      </c>
      <c r="E273" s="6" t="n">
        <v>1.2</v>
      </c>
      <c r="F273" s="6" t="n">
        <v>0.2</v>
      </c>
      <c r="G273" s="6" t="n">
        <v>5</v>
      </c>
      <c r="H273" s="6" t="n">
        <v>1.5</v>
      </c>
      <c r="I273" s="6" t="n">
        <v>3.5</v>
      </c>
      <c r="J273" s="6" t="n">
        <v>35</v>
      </c>
      <c r="K273" s="6" t="inlineStr">
        <is>
          <t>low</t>
        </is>
      </c>
      <c r="L273" s="7" t="inlineStr">
        <is>
          <t>Estimated from the closest tested food; no direct measurement found in the pooled sources</t>
        </is>
      </c>
      <c r="M273" s="7" t="inlineStr">
        <is>
          <t>no direct match</t>
        </is>
      </c>
      <c r="N273" s="6" t="inlineStr"/>
      <c r="O2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3" s="7" t="inlineStr">
        <is>
          <t>USDA FoodData Central (SR Legacy / Foundation Foods), fdc.nal.usda.gov</t>
        </is>
      </c>
      <c r="Q273" s="6" t="inlineStr">
        <is>
          <t>2026-09-26</t>
        </is>
      </c>
    </row>
    <row r="274">
      <c r="A274" s="6" t="inlineStr">
        <is>
          <t>tomato_paste</t>
        </is>
      </c>
      <c r="B274" s="6" t="inlineStr">
        <is>
          <t>Tomato paste</t>
        </is>
      </c>
      <c r="C274" s="6" t="inlineStr">
        <is>
          <t>condiment</t>
        </is>
      </c>
      <c r="D274" s="6" t="n">
        <v>82</v>
      </c>
      <c r="E274" s="6" t="n">
        <v>4.3</v>
      </c>
      <c r="F274" s="6" t="n">
        <v>0.5</v>
      </c>
      <c r="G274" s="6" t="n">
        <v>19</v>
      </c>
      <c r="H274" s="6" t="n">
        <v>4</v>
      </c>
      <c r="I274" s="6" t="n">
        <v>15</v>
      </c>
      <c r="J274" s="6" t="n">
        <v>35</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tomato_sauce</t>
        </is>
      </c>
      <c r="B275" s="6" t="inlineStr">
        <is>
          <t>Tomato sauce, canned, no sugar added</t>
        </is>
      </c>
      <c r="C275" s="6" t="inlineStr">
        <is>
          <t>condiment</t>
        </is>
      </c>
      <c r="D275" s="6" t="n">
        <v>24</v>
      </c>
      <c r="E275" s="6" t="n">
        <v>1.3</v>
      </c>
      <c r="F275" s="6" t="n">
        <v>0.2</v>
      </c>
      <c r="G275" s="6" t="n">
        <v>5.3</v>
      </c>
      <c r="H275" s="6" t="n">
        <v>1.5</v>
      </c>
      <c r="I275" s="6" t="n">
        <v>3.8</v>
      </c>
      <c r="J275" s="6" t="n">
        <v>35</v>
      </c>
      <c r="K275" s="6" t="inlineStr">
        <is>
          <t>low</t>
        </is>
      </c>
      <c r="L275" s="7" t="inlineStr">
        <is>
          <t>Estimated from the closest tested food; no direct measurement found in the pooled sources</t>
        </is>
      </c>
      <c r="M275" s="7" t="inlineStr">
        <is>
          <t>no direct match</t>
        </is>
      </c>
      <c r="N275" s="6" t="n">
        <v>35</v>
      </c>
      <c r="O27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5" s="7" t="inlineStr">
        <is>
          <t>USDA FoodData Central (SR Legacy / Foundation Foods), fdc.nal.usda.gov</t>
        </is>
      </c>
      <c r="Q275" s="6" t="inlineStr">
        <is>
          <t>2026-09-26</t>
        </is>
      </c>
    </row>
    <row r="276">
      <c r="A276" s="6" t="inlineStr">
        <is>
          <t>chicken_broth</t>
        </is>
      </c>
      <c r="B276" s="6" t="inlineStr">
        <is>
          <t>Chicken broth, low sodium</t>
        </is>
      </c>
      <c r="C276" s="6" t="inlineStr">
        <is>
          <t>condiment</t>
        </is>
      </c>
      <c r="D276" s="6" t="n">
        <v>7</v>
      </c>
      <c r="E276" s="6" t="n">
        <v>1</v>
      </c>
      <c r="F276" s="6" t="n">
        <v>0.2</v>
      </c>
      <c r="G276" s="6" t="n">
        <v>0.5</v>
      </c>
      <c r="H276" s="6" t="n">
        <v>0</v>
      </c>
      <c r="I276" s="6" t="n">
        <v>0.5</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vegetable_broth</t>
        </is>
      </c>
      <c r="B277" s="6" t="inlineStr">
        <is>
          <t>Vegetable broth, low sodium</t>
        </is>
      </c>
      <c r="C277" s="6" t="inlineStr">
        <is>
          <t>condiment</t>
        </is>
      </c>
      <c r="D277" s="6" t="n">
        <v>8</v>
      </c>
      <c r="E277" s="6" t="n">
        <v>0.5</v>
      </c>
      <c r="F277" s="6" t="n">
        <v>0.2</v>
      </c>
      <c r="G277" s="6" t="n">
        <v>1.5</v>
      </c>
      <c r="H277" s="6" t="n">
        <v>0</v>
      </c>
      <c r="I277" s="6" t="n">
        <v>1.5</v>
      </c>
      <c r="J277" s="6" t="n">
        <v>0</v>
      </c>
      <c r="K277" s="6" t="inlineStr">
        <is>
          <t>low</t>
        </is>
      </c>
      <c r="L277" s="7" t="inlineStr">
        <is>
          <t>Estimated from the closest tested food; no direct measurement found in the pooled sources</t>
        </is>
      </c>
      <c r="M277" s="7" t="inlineStr">
        <is>
          <t>no direct match</t>
        </is>
      </c>
      <c r="N277" s="6" t="inlineStr"/>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beef_broth</t>
        </is>
      </c>
      <c r="B278" s="6" t="inlineStr">
        <is>
          <t>Beef broth, low sodium</t>
        </is>
      </c>
      <c r="C278" s="6" t="inlineStr">
        <is>
          <t>condiment</t>
        </is>
      </c>
      <c r="D278" s="6" t="n">
        <v>7</v>
      </c>
      <c r="E278" s="6" t="n">
        <v>1.3</v>
      </c>
      <c r="F278" s="6" t="n">
        <v>0.2</v>
      </c>
      <c r="G278" s="6" t="n">
        <v>0.4</v>
      </c>
      <c r="H278" s="6" t="n">
        <v>0</v>
      </c>
      <c r="I278" s="6" t="n">
        <v>0.4</v>
      </c>
      <c r="J278" s="6" t="n">
        <v>0</v>
      </c>
      <c r="K278" s="6" t="inlineStr">
        <is>
          <t>definitional</t>
        </is>
      </c>
      <c r="L278" s="7" t="inlineStr">
        <is>
          <t>No available carbohydrate — GI is 0 by definition (protein / fat / water)</t>
        </is>
      </c>
      <c r="M278" s="7" t="inlineStr">
        <is>
          <t>n/a</t>
        </is>
      </c>
      <c r="N278" s="6" t="inlineStr"/>
      <c r="O278" s="7" t="inlineStr">
        <is>
          <t>ISO 26642:2010</t>
        </is>
      </c>
      <c r="P278" s="7" t="inlineStr">
        <is>
          <t>USDA FoodData Central (SR Legacy / Foundation Foods), fdc.nal.usda.gov</t>
        </is>
      </c>
      <c r="Q278" s="6" t="inlineStr">
        <is>
          <t>2026-09-26</t>
        </is>
      </c>
    </row>
    <row r="279">
      <c r="A279" s="6" t="inlineStr">
        <is>
          <t>bone_broth</t>
        </is>
      </c>
      <c r="B279" s="6" t="inlineStr">
        <is>
          <t>Bone broth</t>
        </is>
      </c>
      <c r="C279" s="6" t="inlineStr">
        <is>
          <t>condiment</t>
        </is>
      </c>
      <c r="D279" s="6" t="n">
        <v>35</v>
      </c>
      <c r="E279" s="6" t="n">
        <v>8</v>
      </c>
      <c r="F279" s="6" t="n">
        <v>0.3</v>
      </c>
      <c r="G279" s="6" t="n">
        <v>0.5</v>
      </c>
      <c r="H279" s="6" t="n">
        <v>0</v>
      </c>
      <c r="I279" s="6" t="n">
        <v>0.5</v>
      </c>
      <c r="J279" s="6" t="n">
        <v>0</v>
      </c>
      <c r="K279" s="6" t="inlineStr">
        <is>
          <t>definitional</t>
        </is>
      </c>
      <c r="L279" s="7" t="inlineStr">
        <is>
          <t>No available carbohydrate — GI is 0 by definition (protein / fat / water)</t>
        </is>
      </c>
      <c r="M279" s="7" t="inlineStr">
        <is>
          <t>n/a</t>
        </is>
      </c>
      <c r="N279" s="6" t="inlineStr"/>
      <c r="O279" s="7" t="inlineStr">
        <is>
          <t>ISO 26642:2010</t>
        </is>
      </c>
      <c r="P279" s="7" t="inlineStr">
        <is>
          <t>USDA FoodData Central (SR Legacy / Foundation Foods), fdc.nal.usda.gov</t>
        </is>
      </c>
      <c r="Q279" s="6" t="inlineStr">
        <is>
          <t>2026-09-26</t>
        </is>
      </c>
    </row>
    <row r="280">
      <c r="A280" s="6" t="inlineStr">
        <is>
          <t>curry_paste</t>
        </is>
      </c>
      <c r="B280" s="6" t="inlineStr">
        <is>
          <t>Thai curry paste (red/green)</t>
        </is>
      </c>
      <c r="C280" s="6" t="inlineStr">
        <is>
          <t>condiment</t>
        </is>
      </c>
      <c r="D280" s="6" t="n">
        <v>95</v>
      </c>
      <c r="E280" s="6" t="n">
        <v>2</v>
      </c>
      <c r="F280" s="6" t="n">
        <v>4</v>
      </c>
      <c r="G280" s="6" t="n">
        <v>12</v>
      </c>
      <c r="H280" s="6" t="n">
        <v>3</v>
      </c>
      <c r="I280" s="6" t="n">
        <v>9</v>
      </c>
      <c r="J280" s="6" t="n">
        <v>30</v>
      </c>
      <c r="K280" s="6" t="inlineStr">
        <is>
          <t>low</t>
        </is>
      </c>
      <c r="L280" s="7" t="inlineStr">
        <is>
          <t>Estimated from the closest tested food; no direct measurement found in the pooled sources</t>
        </is>
      </c>
      <c r="M280" s="7" t="inlineStr">
        <is>
          <t>no direct match</t>
        </is>
      </c>
      <c r="N280" s="6" t="inlineStr"/>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miso</t>
        </is>
      </c>
      <c r="B281" s="6" t="inlineStr">
        <is>
          <t>White miso paste</t>
        </is>
      </c>
      <c r="C281" s="6" t="inlineStr">
        <is>
          <t>condiment</t>
        </is>
      </c>
      <c r="D281" s="6" t="n">
        <v>199</v>
      </c>
      <c r="E281" s="6" t="n">
        <v>12</v>
      </c>
      <c r="F281" s="6" t="n">
        <v>6</v>
      </c>
      <c r="G281" s="6" t="n">
        <v>26</v>
      </c>
      <c r="H281" s="6" t="n">
        <v>5</v>
      </c>
      <c r="I281" s="6" t="n">
        <v>21</v>
      </c>
      <c r="J281" s="6" t="n">
        <v>30</v>
      </c>
      <c r="K281" s="6" t="inlineStr">
        <is>
          <t>low</t>
        </is>
      </c>
      <c r="L281" s="7" t="inlineStr">
        <is>
          <t>Estimated from the closest tested food; no direct measurement found in the pooled sources</t>
        </is>
      </c>
      <c r="M281" s="7" t="inlineStr">
        <is>
          <t>no direct match</t>
        </is>
      </c>
      <c r="N281" s="6" t="n">
        <v>30</v>
      </c>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gochujang</t>
        </is>
      </c>
      <c r="B282" s="6" t="inlineStr">
        <is>
          <t>Gochujang (small amount)</t>
        </is>
      </c>
      <c r="C282" s="6" t="inlineStr">
        <is>
          <t>condiment</t>
        </is>
      </c>
      <c r="D282" s="6" t="n">
        <v>200</v>
      </c>
      <c r="E282" s="6" t="n">
        <v>4</v>
      </c>
      <c r="F282" s="6" t="n">
        <v>1</v>
      </c>
      <c r="G282" s="6" t="n">
        <v>45</v>
      </c>
      <c r="H282" s="6" t="n">
        <v>3</v>
      </c>
      <c r="I282" s="6" t="n">
        <v>42</v>
      </c>
      <c r="J282" s="6" t="n">
        <v>45</v>
      </c>
      <c r="K282" s="6" t="inlineStr">
        <is>
          <t>low</t>
        </is>
      </c>
      <c r="L282" s="7" t="inlineStr">
        <is>
          <t>Estimated from the closest tested food; no direct measurement found in the pooled sources</t>
        </is>
      </c>
      <c r="M282" s="7" t="inlineStr">
        <is>
          <t>no direct match</t>
        </is>
      </c>
      <c r="N282" s="6" t="inlineStr"/>
      <c r="O2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2" s="7" t="inlineStr">
        <is>
          <t>USDA FoodData Central (SR Legacy / Foundation Foods), fdc.nal.usda.gov</t>
        </is>
      </c>
      <c r="Q282" s="6" t="inlineStr">
        <is>
          <t>2026-09-26</t>
        </is>
      </c>
    </row>
    <row r="283">
      <c r="A283" s="6" t="inlineStr">
        <is>
          <t>harissa</t>
        </is>
      </c>
      <c r="B283" s="6" t="inlineStr">
        <is>
          <t>Harissa paste</t>
        </is>
      </c>
      <c r="C283" s="6" t="inlineStr">
        <is>
          <t>condiment</t>
        </is>
      </c>
      <c r="D283" s="6" t="n">
        <v>70</v>
      </c>
      <c r="E283" s="6" t="n">
        <v>2</v>
      </c>
      <c r="F283" s="6" t="n">
        <v>3</v>
      </c>
      <c r="G283" s="6" t="n">
        <v>9</v>
      </c>
      <c r="H283" s="6" t="n">
        <v>3</v>
      </c>
      <c r="I283" s="6" t="n">
        <v>6</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chipotle_adobo</t>
        </is>
      </c>
      <c r="B284" s="6" t="inlineStr">
        <is>
          <t>Chipotle peppers in adobo</t>
        </is>
      </c>
      <c r="C284" s="6" t="inlineStr">
        <is>
          <t>condiment</t>
        </is>
      </c>
      <c r="D284" s="6" t="n">
        <v>70</v>
      </c>
      <c r="E284" s="6" t="n">
        <v>2</v>
      </c>
      <c r="F284" s="6" t="n">
        <v>1</v>
      </c>
      <c r="G284" s="6" t="n">
        <v>14</v>
      </c>
      <c r="H284" s="6" t="n">
        <v>4</v>
      </c>
      <c r="I284" s="6" t="n">
        <v>10</v>
      </c>
      <c r="J284" s="6" t="n">
        <v>30</v>
      </c>
      <c r="K284" s="6" t="inlineStr">
        <is>
          <t>low</t>
        </is>
      </c>
      <c r="L284" s="7" t="inlineStr">
        <is>
          <t>Estimated from the closest tested food; no direct measurement found in the pooled sources</t>
        </is>
      </c>
      <c r="M284" s="7" t="inlineStr">
        <is>
          <t>no direct match</t>
        </is>
      </c>
      <c r="N284" s="6" t="inlineStr"/>
      <c r="O2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4" s="7" t="inlineStr">
        <is>
          <t>USDA FoodData Central (SR Legacy / Foundation Foods), fdc.nal.usda.gov</t>
        </is>
      </c>
      <c r="Q284" s="6" t="inlineStr">
        <is>
          <t>2026-09-26</t>
        </is>
      </c>
    </row>
    <row r="285">
      <c r="A285" s="6" t="inlineStr">
        <is>
          <t>green_chiles</t>
        </is>
      </c>
      <c r="B285" s="6" t="inlineStr">
        <is>
          <t>Diced green chiles, canned</t>
        </is>
      </c>
      <c r="C285" s="6" t="inlineStr">
        <is>
          <t>condiment</t>
        </is>
      </c>
      <c r="D285" s="6" t="n">
        <v>20</v>
      </c>
      <c r="E285" s="6" t="n">
        <v>0.8</v>
      </c>
      <c r="F285" s="6" t="n">
        <v>0.1</v>
      </c>
      <c r="G285" s="6" t="n">
        <v>4.5</v>
      </c>
      <c r="H285" s="6" t="n">
        <v>1.5</v>
      </c>
      <c r="I285" s="6" t="n">
        <v>3</v>
      </c>
      <c r="J285" s="6" t="n">
        <v>15</v>
      </c>
      <c r="K285" s="6" t="inlineStr">
        <is>
          <t>none (placeholder)</t>
        </is>
      </c>
      <c r="L285" s="7" t="inlineStr">
        <is>
          <t>Conventional placeholder for foods with too little carbohydrate to test (non-starchy vegetables, nuts, seeds, herbs); no published measurement exists</t>
        </is>
      </c>
      <c r="M285" s="7" t="inlineStr">
        <is>
          <t>not measurable</t>
        </is>
      </c>
      <c r="N285" s="6" t="inlineStr"/>
      <c r="O285" s="7" t="inlineStr">
        <is>
          <t>clinical convention</t>
        </is>
      </c>
      <c r="P285" s="7" t="inlineStr">
        <is>
          <t>USDA FoodData Central (SR Legacy / Foundation Foods), fdc.nal.usda.gov</t>
        </is>
      </c>
      <c r="Q285" s="6" t="inlineStr">
        <is>
          <t>2026-09-26</t>
        </is>
      </c>
    </row>
    <row r="286">
      <c r="A286" s="6" t="inlineStr">
        <is>
          <t>enchilada_sauce</t>
        </is>
      </c>
      <c r="B286" s="6" t="inlineStr">
        <is>
          <t>Red enchilada sauce, no sugar added</t>
        </is>
      </c>
      <c r="C286" s="6" t="inlineStr">
        <is>
          <t>condiment</t>
        </is>
      </c>
      <c r="D286" s="6" t="n">
        <v>40</v>
      </c>
      <c r="E286" s="6" t="n">
        <v>1</v>
      </c>
      <c r="F286" s="6" t="n">
        <v>2</v>
      </c>
      <c r="G286" s="6" t="n">
        <v>5</v>
      </c>
      <c r="H286" s="6" t="n">
        <v>1</v>
      </c>
      <c r="I286" s="6" t="n">
        <v>4</v>
      </c>
      <c r="J286" s="6" t="n">
        <v>30</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nutritional_yeast</t>
        </is>
      </c>
      <c r="B287" s="6" t="inlineStr">
        <is>
          <t>Nutritional yeast</t>
        </is>
      </c>
      <c r="C287" s="6" t="inlineStr">
        <is>
          <t>condiment</t>
        </is>
      </c>
      <c r="D287" s="6" t="n">
        <v>325</v>
      </c>
      <c r="E287" s="6" t="n">
        <v>50</v>
      </c>
      <c r="F287" s="6" t="n">
        <v>5</v>
      </c>
      <c r="G287" s="6" t="n">
        <v>35</v>
      </c>
      <c r="H287" s="6" t="n">
        <v>25</v>
      </c>
      <c r="I287" s="6" t="n">
        <v>10</v>
      </c>
      <c r="J287" s="6" t="n">
        <v>15</v>
      </c>
      <c r="K287" s="6" t="inlineStr">
        <is>
          <t>none (placeholder)</t>
        </is>
      </c>
      <c r="L287" s="7" t="inlineStr">
        <is>
          <t>Conventional placeholder for foods with too little carbohydrate to test (non-starchy vegetables, nuts, seeds, herbs); no published measurement exists</t>
        </is>
      </c>
      <c r="M287" s="7" t="inlineStr">
        <is>
          <t>not measurable</t>
        </is>
      </c>
      <c r="N287" s="6" t="inlineStr"/>
      <c r="O287" s="7" t="inlineStr">
        <is>
          <t>clinical convention</t>
        </is>
      </c>
      <c r="P287" s="7" t="inlineStr">
        <is>
          <t>USDA FoodData Central (SR Legacy / Foundation Foods), fdc.nal.usda.gov</t>
        </is>
      </c>
      <c r="Q287" s="6" t="inlineStr">
        <is>
          <t>2026-09-26</t>
        </is>
      </c>
    </row>
    <row r="288">
      <c r="A288" s="6" t="inlineStr">
        <is>
          <t>cocoa_powder</t>
        </is>
      </c>
      <c r="B288" s="6" t="inlineStr">
        <is>
          <t>Cocoa powder, unsweetened</t>
        </is>
      </c>
      <c r="C288" s="6" t="inlineStr">
        <is>
          <t>pantry</t>
        </is>
      </c>
      <c r="D288" s="6" t="n">
        <v>228</v>
      </c>
      <c r="E288" s="6" t="n">
        <v>20</v>
      </c>
      <c r="F288" s="6" t="n">
        <v>14</v>
      </c>
      <c r="G288" s="6" t="n">
        <v>58</v>
      </c>
      <c r="H288" s="6" t="n">
        <v>33</v>
      </c>
      <c r="I288" s="6" t="n">
        <v>25</v>
      </c>
      <c r="J288" s="6" t="n">
        <v>20</v>
      </c>
      <c r="K288" s="6" t="inlineStr">
        <is>
          <t>low</t>
        </is>
      </c>
      <c r="L288" s="7" t="inlineStr">
        <is>
          <t>Estimated from the closest tested food; no direct measurement found in the pooled sources</t>
        </is>
      </c>
      <c r="M288" s="7" t="inlineStr">
        <is>
          <t>no direct match</t>
        </is>
      </c>
      <c r="N288" s="6" t="n">
        <v>20</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dark_chocolate</t>
        </is>
      </c>
      <c r="B289" s="6" t="inlineStr">
        <is>
          <t>Dark chocolate 85%</t>
        </is>
      </c>
      <c r="C289" s="6" t="inlineStr">
        <is>
          <t>pantry</t>
        </is>
      </c>
      <c r="D289" s="6" t="n">
        <v>600</v>
      </c>
      <c r="E289" s="6" t="n">
        <v>12</v>
      </c>
      <c r="F289" s="6" t="n">
        <v>46</v>
      </c>
      <c r="G289" s="6" t="n">
        <v>30</v>
      </c>
      <c r="H289" s="6" t="n">
        <v>12</v>
      </c>
      <c r="I289" s="6" t="n">
        <v>18</v>
      </c>
      <c r="J289" s="6" t="n">
        <v>23</v>
      </c>
      <c r="K289" s="6" t="inlineStr">
        <is>
          <t>high</t>
        </is>
      </c>
      <c r="L289" s="7" t="inlineStr">
        <is>
          <t>2021 International Tables, Suppl. Table 1 (ISO 26642:2010-compliant studies)</t>
        </is>
      </c>
      <c r="M289" s="7" t="inlineStr">
        <is>
          <t>median of 2 tested foods, range 23-44</t>
        </is>
      </c>
      <c r="N289" s="6" t="n">
        <v>34</v>
      </c>
      <c r="O289" s="7" t="inlineStr">
        <is>
          <t>Atkinson FS, Brand-Miller JC, Foster-Powell K, Buyken AE, Goletzke J. International tables of glycemic index and glycemic load values 2021. Am J Clin Nutr 2021;114(5):1625-32. doi:10.1093/ajcn/nqab233</t>
        </is>
      </c>
      <c r="P289" s="7" t="inlineStr">
        <is>
          <t>USDA FoodData Central (SR Legacy / Foundation Foods), fdc.nal.usda.gov</t>
        </is>
      </c>
      <c r="Q289" s="6" t="inlineStr">
        <is>
          <t>2026-09-26</t>
        </is>
      </c>
    </row>
    <row r="290">
      <c r="A290" s="6" t="inlineStr">
        <is>
          <t>sugar_free_chocolate_chips</t>
        </is>
      </c>
      <c r="B290" s="6" t="inlineStr">
        <is>
          <t>Stevia-sweetened dark chocolate chips</t>
        </is>
      </c>
      <c r="C290" s="6" t="inlineStr">
        <is>
          <t>pantry</t>
        </is>
      </c>
      <c r="D290" s="6" t="n">
        <v>470</v>
      </c>
      <c r="E290" s="6" t="n">
        <v>6</v>
      </c>
      <c r="F290" s="6" t="n">
        <v>42</v>
      </c>
      <c r="G290" s="6" t="n">
        <v>20</v>
      </c>
      <c r="H290" s="6" t="n">
        <v>12</v>
      </c>
      <c r="I290" s="6" t="n">
        <v>8</v>
      </c>
      <c r="J290" s="6" t="n">
        <v>20</v>
      </c>
      <c r="K290" s="6" t="inlineStr">
        <is>
          <t>medium</t>
        </is>
      </c>
      <c r="L290" s="7" t="inlineStr">
        <is>
          <t>University of Sydney online GI database</t>
        </is>
      </c>
      <c r="M290" s="7" t="inlineStr">
        <is>
          <t>median of 1 tested foods, range 23-23</t>
        </is>
      </c>
      <c r="N290" s="6" t="n">
        <v>23</v>
      </c>
      <c r="O290" s="7" t="inlineStr">
        <is>
          <t>University of Sydney GI database, glycemicindex.com/gi-search (accessed 2026-09-16)</t>
        </is>
      </c>
      <c r="P290" s="7" t="inlineStr">
        <is>
          <t>USDA FoodData Central (SR Legacy / Foundation Foods), fdc.nal.usda.gov</t>
        </is>
      </c>
      <c r="Q290" s="6" t="inlineStr">
        <is>
          <t>2026-09-26</t>
        </is>
      </c>
    </row>
    <row r="291">
      <c r="A291" s="6" t="inlineStr">
        <is>
          <t>monk_fruit_sweetener</t>
        </is>
      </c>
      <c r="B291" s="6" t="inlineStr">
        <is>
          <t>Monk fruit/erythritol sweetener</t>
        </is>
      </c>
      <c r="C291" s="6" t="inlineStr">
        <is>
          <t>pantry</t>
        </is>
      </c>
      <c r="D291" s="6" t="n">
        <v>0</v>
      </c>
      <c r="E291" s="6" t="n">
        <v>0</v>
      </c>
      <c r="F291" s="6" t="n">
        <v>0</v>
      </c>
      <c r="G291" s="6" t="n">
        <v>0</v>
      </c>
      <c r="H291" s="6" t="n">
        <v>0</v>
      </c>
      <c r="I291" s="6" t="n">
        <v>0</v>
      </c>
      <c r="J291" s="6" t="n">
        <v>0</v>
      </c>
      <c r="K291" s="6" t="inlineStr">
        <is>
          <t>definitional</t>
        </is>
      </c>
      <c r="L291" s="7" t="inlineStr">
        <is>
          <t>No available carbohydrate — GI is 0 by definition (protein / fat / water)</t>
        </is>
      </c>
      <c r="M291" s="7" t="inlineStr">
        <is>
          <t>n/a</t>
        </is>
      </c>
      <c r="N291" s="6" t="n">
        <v>15</v>
      </c>
      <c r="O291" s="7" t="inlineStr">
        <is>
          <t>ISO 26642:2010</t>
        </is>
      </c>
      <c r="P291" s="7" t="inlineStr">
        <is>
          <t>USDA FoodData Central (SR Legacy / Foundation Foods), fdc.nal.usda.gov</t>
        </is>
      </c>
      <c r="Q291" s="6" t="inlineStr">
        <is>
          <t>2026-09-26</t>
        </is>
      </c>
    </row>
    <row r="292">
      <c r="A292" s="6" t="inlineStr">
        <is>
          <t>stevia</t>
        </is>
      </c>
      <c r="B292" s="6" t="inlineStr">
        <is>
          <t>Stevia (liquid)</t>
        </is>
      </c>
      <c r="C292" s="6" t="inlineStr">
        <is>
          <t>pantry</t>
        </is>
      </c>
      <c r="D292" s="6" t="n">
        <v>0</v>
      </c>
      <c r="E292" s="6" t="n">
        <v>0</v>
      </c>
      <c r="F292" s="6" t="n">
        <v>0</v>
      </c>
      <c r="G292" s="6" t="n">
        <v>0</v>
      </c>
      <c r="H292" s="6" t="n">
        <v>0</v>
      </c>
      <c r="I292" s="6" t="n">
        <v>0</v>
      </c>
      <c r="J292" s="6" t="n">
        <v>0</v>
      </c>
      <c r="K292" s="6" t="inlineStr">
        <is>
          <t>definitional</t>
        </is>
      </c>
      <c r="L292" s="7" t="inlineStr">
        <is>
          <t>No available carbohydrate — GI is 0 by definition (protein / fat / water)</t>
        </is>
      </c>
      <c r="M292" s="7" t="inlineStr">
        <is>
          <t>n/a</t>
        </is>
      </c>
      <c r="N292" s="6" t="n">
        <v>0</v>
      </c>
      <c r="O292" s="7" t="inlineStr">
        <is>
          <t>ISO 26642:2010</t>
        </is>
      </c>
      <c r="P292" s="7" t="inlineStr">
        <is>
          <t>USDA FoodData Central (SR Legacy / Foundation Foods), fdc.nal.usda.gov</t>
        </is>
      </c>
      <c r="Q292" s="6" t="inlineStr">
        <is>
          <t>2026-09-26</t>
        </is>
      </c>
    </row>
    <row r="293">
      <c r="A293" s="6" t="inlineStr">
        <is>
          <t>honey</t>
        </is>
      </c>
      <c r="B293" s="6" t="inlineStr">
        <is>
          <t>Honey (small amount)</t>
        </is>
      </c>
      <c r="C293" s="6" t="inlineStr">
        <is>
          <t>pantry</t>
        </is>
      </c>
      <c r="D293" s="6" t="n">
        <v>304</v>
      </c>
      <c r="E293" s="6" t="n">
        <v>0.3</v>
      </c>
      <c r="F293" s="6" t="n">
        <v>0</v>
      </c>
      <c r="G293" s="6" t="n">
        <v>82</v>
      </c>
      <c r="H293" s="6" t="n">
        <v>0.2</v>
      </c>
      <c r="I293" s="6" t="n">
        <v>81.8</v>
      </c>
      <c r="J293" s="6" t="n">
        <v>54</v>
      </c>
      <c r="K293" s="6" t="inlineStr">
        <is>
          <t>high</t>
        </is>
      </c>
      <c r="L293" s="7" t="inlineStr">
        <is>
          <t>2021 International Tables, Suppl. Table 1 (ISO 26642:2010-compliant studies)</t>
        </is>
      </c>
      <c r="M293" s="7" t="inlineStr">
        <is>
          <t>median of 2 tested foods, range 35-74</t>
        </is>
      </c>
      <c r="N293" s="6" t="n">
        <v>54</v>
      </c>
      <c r="O293" s="7" t="inlineStr">
        <is>
          <t>Atkinson FS, Brand-Miller JC, Foster-Powell K, Buyken AE, Goletzke J. International tables of glycemic index and glycemic load values 2021. Am J Clin Nutr 2021;114(5):1625-32. doi:10.1093/ajcn/nqab233</t>
        </is>
      </c>
      <c r="P293" s="7" t="inlineStr">
        <is>
          <t>USDA FoodData Central (SR Legacy / Foundation Foods), fdc.nal.usda.gov</t>
        </is>
      </c>
      <c r="Q293" s="6" t="inlineStr">
        <is>
          <t>2026-09-26</t>
        </is>
      </c>
    </row>
    <row r="294">
      <c r="A294" s="6" t="inlineStr">
        <is>
          <t>maple_syrup</t>
        </is>
      </c>
      <c r="B294" s="6" t="inlineStr">
        <is>
          <t>Pure maple syrup (small amount)</t>
        </is>
      </c>
      <c r="C294" s="6" t="inlineStr">
        <is>
          <t>pantry</t>
        </is>
      </c>
      <c r="D294" s="6" t="n">
        <v>260</v>
      </c>
      <c r="E294" s="6" t="n">
        <v>0</v>
      </c>
      <c r="F294" s="6" t="n">
        <v>0</v>
      </c>
      <c r="G294" s="6" t="n">
        <v>67</v>
      </c>
      <c r="H294" s="6" t="n">
        <v>0</v>
      </c>
      <c r="I294" s="6" t="n">
        <v>67</v>
      </c>
      <c r="J294" s="6" t="n">
        <v>54</v>
      </c>
      <c r="K294" s="6" t="inlineStr">
        <is>
          <t>medium</t>
        </is>
      </c>
      <c r="L294" s="7" t="inlineStr">
        <is>
          <t>2021 International Tables, Suppl. Tables 1+2 (incl. studies with method deviations)</t>
        </is>
      </c>
      <c r="M294" s="7" t="inlineStr">
        <is>
          <t>median of 1 tested foods, range 54-54</t>
        </is>
      </c>
      <c r="N294" s="6" t="n">
        <v>54</v>
      </c>
      <c r="O294" s="7" t="inlineStr">
        <is>
          <t>Atkinson FS, Brand-Miller JC, Foster-Powell K, Buyken AE, Goletzke J. International tables of glycemic index and glycemic load values 2021. Am J Clin Nutr 2021;114(5):1625-32. doi:10.1093/ajcn/nqab233</t>
        </is>
      </c>
      <c r="P294" s="7" t="inlineStr">
        <is>
          <t>USDA FoodData Central (SR Legacy / Foundation Foods), fdc.nal.usda.gov</t>
        </is>
      </c>
      <c r="Q294" s="6" t="inlineStr">
        <is>
          <t>2026-09-26</t>
        </is>
      </c>
    </row>
    <row r="295">
      <c r="A295" s="6" t="inlineStr">
        <is>
          <t>vanilla_extract</t>
        </is>
      </c>
      <c r="B295" s="6" t="inlineStr">
        <is>
          <t>Vanilla extract</t>
        </is>
      </c>
      <c r="C295" s="6" t="inlineStr">
        <is>
          <t>pantry</t>
        </is>
      </c>
      <c r="D295" s="6" t="n">
        <v>288</v>
      </c>
      <c r="E295" s="6" t="n">
        <v>0</v>
      </c>
      <c r="F295" s="6" t="n">
        <v>0</v>
      </c>
      <c r="G295" s="6" t="n">
        <v>12.7</v>
      </c>
      <c r="H295" s="6" t="n">
        <v>0</v>
      </c>
      <c r="I295" s="6" t="n">
        <v>12.7</v>
      </c>
      <c r="J295" s="6" t="n">
        <v>0</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gelatin</t>
        </is>
      </c>
      <c r="B296" s="6" t="inlineStr">
        <is>
          <t>Unflavored gelatin</t>
        </is>
      </c>
      <c r="C296" s="6" t="inlineStr">
        <is>
          <t>pantry</t>
        </is>
      </c>
      <c r="D296" s="6" t="n">
        <v>335</v>
      </c>
      <c r="E296" s="6" t="n">
        <v>85</v>
      </c>
      <c r="F296" s="6" t="n">
        <v>0</v>
      </c>
      <c r="G296" s="6" t="n">
        <v>0</v>
      </c>
      <c r="H296" s="6" t="n">
        <v>0</v>
      </c>
      <c r="I296" s="6" t="n">
        <v>0</v>
      </c>
      <c r="J296" s="6" t="n">
        <v>0</v>
      </c>
      <c r="K296" s="6" t="inlineStr">
        <is>
          <t>definitional</t>
        </is>
      </c>
      <c r="L296" s="7" t="inlineStr">
        <is>
          <t>No available carbohydrate — GI is 0 by definition (protein / fat / water)</t>
        </is>
      </c>
      <c r="M296" s="7" t="inlineStr">
        <is>
          <t>n/a</t>
        </is>
      </c>
      <c r="N296" s="6" t="inlineStr"/>
      <c r="O296" s="7" t="inlineStr">
        <is>
          <t>ISO 26642:2010</t>
        </is>
      </c>
      <c r="P296" s="7" t="inlineStr">
        <is>
          <t>USDA FoodData Central (SR Legacy / Foundation Foods), fdc.nal.usda.gov</t>
        </is>
      </c>
      <c r="Q296" s="6" t="inlineStr">
        <is>
          <t>2026-09-26</t>
        </is>
      </c>
    </row>
    <row r="297">
      <c r="A297" s="6" t="inlineStr">
        <is>
          <t>baking_powder</t>
        </is>
      </c>
      <c r="B297" s="6" t="inlineStr">
        <is>
          <t>Baking powder</t>
        </is>
      </c>
      <c r="C297" s="6" t="inlineStr">
        <is>
          <t>pantry</t>
        </is>
      </c>
      <c r="D297" s="6" t="n">
        <v>53</v>
      </c>
      <c r="E297" s="6" t="n">
        <v>0</v>
      </c>
      <c r="F297" s="6" t="n">
        <v>0</v>
      </c>
      <c r="G297" s="6" t="n">
        <v>28</v>
      </c>
      <c r="H297" s="6" t="n">
        <v>0</v>
      </c>
      <c r="I297" s="6" t="n">
        <v>28</v>
      </c>
      <c r="J297" s="6" t="n">
        <v>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baking_soda</t>
        </is>
      </c>
      <c r="B298" s="6" t="inlineStr">
        <is>
          <t>Baking soda</t>
        </is>
      </c>
      <c r="C298" s="6" t="inlineStr">
        <is>
          <t>pantry</t>
        </is>
      </c>
      <c r="D298" s="6" t="n">
        <v>0</v>
      </c>
      <c r="E298" s="6" t="n">
        <v>0</v>
      </c>
      <c r="F298" s="6" t="n">
        <v>0</v>
      </c>
      <c r="G298" s="6" t="n">
        <v>0</v>
      </c>
      <c r="H298" s="6" t="n">
        <v>0</v>
      </c>
      <c r="I298" s="6" t="n">
        <v>0</v>
      </c>
      <c r="J298" s="6" t="n">
        <v>0</v>
      </c>
      <c r="K298" s="6" t="inlineStr">
        <is>
          <t>definitional</t>
        </is>
      </c>
      <c r="L298" s="7" t="inlineStr">
        <is>
          <t>No available carbohydrate — GI is 0 by definition (protein / fat / water)</t>
        </is>
      </c>
      <c r="M298" s="7" t="inlineStr">
        <is>
          <t>n/a</t>
        </is>
      </c>
      <c r="N298" s="6" t="inlineStr"/>
      <c r="O298" s="7" t="inlineStr">
        <is>
          <t>ISO 26642:2010</t>
        </is>
      </c>
      <c r="P298" s="7" t="inlineStr">
        <is>
          <t>USDA FoodData Central (SR Legacy / Foundation Foods), fdc.nal.usda.gov</t>
        </is>
      </c>
      <c r="Q298" s="6" t="inlineStr">
        <is>
          <t>2026-09-26</t>
        </is>
      </c>
    </row>
    <row r="299">
      <c r="A299" s="6" t="inlineStr">
        <is>
          <t>coffee</t>
        </is>
      </c>
      <c r="B299" s="6" t="inlineStr">
        <is>
          <t>Brewed coffee / espresso</t>
        </is>
      </c>
      <c r="C299" s="6" t="inlineStr">
        <is>
          <t>drink</t>
        </is>
      </c>
      <c r="D299" s="6" t="n">
        <v>1</v>
      </c>
      <c r="E299" s="6" t="n">
        <v>0.1</v>
      </c>
      <c r="F299" s="6" t="n">
        <v>0</v>
      </c>
      <c r="G299" s="6" t="n">
        <v>0</v>
      </c>
      <c r="H299" s="6" t="n">
        <v>0</v>
      </c>
      <c r="I299" s="6" t="n">
        <v>0</v>
      </c>
      <c r="J299" s="6" t="n">
        <v>0</v>
      </c>
      <c r="K299" s="6" t="inlineStr">
        <is>
          <t>definitional</t>
        </is>
      </c>
      <c r="L299" s="7" t="inlineStr">
        <is>
          <t>No available carbohydrate — GI is 0 by definition (protein / fat / water)</t>
        </is>
      </c>
      <c r="M299" s="7" t="inlineStr">
        <is>
          <t>n/a</t>
        </is>
      </c>
      <c r="N299" s="6" t="inlineStr"/>
      <c r="O299" s="7" t="inlineStr">
        <is>
          <t>ISO 26642:2010</t>
        </is>
      </c>
      <c r="P299" s="7" t="inlineStr">
        <is>
          <t>USDA FoodData Central (SR Legacy / Foundation Foods), fdc.nal.usda.gov</t>
        </is>
      </c>
      <c r="Q299" s="6" t="inlineStr">
        <is>
          <t>2026-09-26</t>
        </is>
      </c>
    </row>
    <row r="300">
      <c r="A300" s="6" t="inlineStr">
        <is>
          <t>green_tea</t>
        </is>
      </c>
      <c r="B300" s="6" t="inlineStr">
        <is>
          <t>Brewed green tea</t>
        </is>
      </c>
      <c r="C300" s="6" t="inlineStr">
        <is>
          <t>drink</t>
        </is>
      </c>
      <c r="D300" s="6" t="n">
        <v>0</v>
      </c>
      <c r="E300" s="6" t="n">
        <v>0</v>
      </c>
      <c r="F300" s="6" t="n">
        <v>0</v>
      </c>
      <c r="G300" s="6" t="n">
        <v>0</v>
      </c>
      <c r="H300" s="6" t="n">
        <v>0</v>
      </c>
      <c r="I300" s="6" t="n">
        <v>0</v>
      </c>
      <c r="J300" s="6" t="n">
        <v>0</v>
      </c>
      <c r="K300" s="6" t="inlineStr">
        <is>
          <t>definitional</t>
        </is>
      </c>
      <c r="L300" s="7" t="inlineStr">
        <is>
          <t>No available carbohydrate — GI is 0 by definition (protein / fat / water)</t>
        </is>
      </c>
      <c r="M300" s="7" t="inlineStr">
        <is>
          <t>n/a</t>
        </is>
      </c>
      <c r="N300" s="6" t="inlineStr"/>
      <c r="O300" s="7" t="inlineStr">
        <is>
          <t>ISO 26642:2010</t>
        </is>
      </c>
      <c r="P300" s="7" t="inlineStr">
        <is>
          <t>USDA FoodData Central (SR Legacy / Foundation Foods), fdc.nal.usda.gov</t>
        </is>
      </c>
      <c r="Q300" s="6" t="inlineStr">
        <is>
          <t>2026-09-26</t>
        </is>
      </c>
    </row>
    <row r="301">
      <c r="A301" s="6" t="inlineStr">
        <is>
          <t>water</t>
        </is>
      </c>
      <c r="B301" s="6" t="inlineStr">
        <is>
          <t>Water / ice</t>
        </is>
      </c>
      <c r="C301" s="6" t="inlineStr">
        <is>
          <t>drink</t>
        </is>
      </c>
      <c r="D301" s="6" t="n">
        <v>0</v>
      </c>
      <c r="E301" s="6" t="n">
        <v>0</v>
      </c>
      <c r="F301" s="6" t="n">
        <v>0</v>
      </c>
      <c r="G301" s="6" t="n">
        <v>0</v>
      </c>
      <c r="H301" s="6" t="n">
        <v>0</v>
      </c>
      <c r="I301" s="6" t="n">
        <v>0</v>
      </c>
      <c r="J301" s="6" t="n">
        <v>0</v>
      </c>
      <c r="K301" s="6" t="inlineStr">
        <is>
          <t>definitional</t>
        </is>
      </c>
      <c r="L301" s="7" t="inlineStr">
        <is>
          <t>No available carbohydrate — GI is 0 by definition (protein / fat / water)</t>
        </is>
      </c>
      <c r="M301" s="7" t="inlineStr">
        <is>
          <t>n/a</t>
        </is>
      </c>
      <c r="N301" s="6" t="inlineStr"/>
      <c r="O301" s="7" t="inlineStr">
        <is>
          <t>ISO 26642:2010</t>
        </is>
      </c>
      <c r="P301" s="7" t="inlineStr">
        <is>
          <t>USDA FoodData Central (SR Legacy / Foundation Foods), fdc.nal.usda.gov</t>
        </is>
      </c>
      <c r="Q301" s="6" t="inlineStr">
        <is>
          <t>2026-09-26</t>
        </is>
      </c>
    </row>
    <row r="302">
      <c r="A302" s="6" t="inlineStr">
        <is>
          <t>sparkling_water</t>
        </is>
      </c>
      <c r="B302" s="6" t="inlineStr">
        <is>
          <t>Sparkling water</t>
        </is>
      </c>
      <c r="C302" s="6" t="inlineStr">
        <is>
          <t>drink</t>
        </is>
      </c>
      <c r="D302" s="6" t="n">
        <v>0</v>
      </c>
      <c r="E302" s="6" t="n">
        <v>0</v>
      </c>
      <c r="F302" s="6" t="n">
        <v>0</v>
      </c>
      <c r="G302" s="6" t="n">
        <v>0</v>
      </c>
      <c r="H302" s="6" t="n">
        <v>0</v>
      </c>
      <c r="I302" s="6" t="n">
        <v>0</v>
      </c>
      <c r="J302" s="6" t="n">
        <v>0</v>
      </c>
      <c r="K302" s="6" t="inlineStr">
        <is>
          <t>definitional</t>
        </is>
      </c>
      <c r="L302" s="7" t="inlineStr">
        <is>
          <t>No available carbohydrate — GI is 0 by definition (protein / fat / water)</t>
        </is>
      </c>
      <c r="M302" s="7" t="inlineStr">
        <is>
          <t>n/a</t>
        </is>
      </c>
      <c r="N302" s="6" t="inlineStr"/>
      <c r="O302" s="7" t="inlineStr">
        <is>
          <t>ISO 26642:2010</t>
        </is>
      </c>
      <c r="P302" s="7" t="inlineStr">
        <is>
          <t>USDA FoodData Central (SR Legacy / Foundation Foods), fdc.nal.usda.gov</t>
        </is>
      </c>
      <c r="Q302" s="6" t="inlineStr">
        <is>
          <t>2026-09-26</t>
        </is>
      </c>
    </row>
    <row r="303">
      <c r="A303" s="6" t="inlineStr">
        <is>
          <t>red_wine</t>
        </is>
      </c>
      <c r="B303" s="6" t="inlineStr">
        <is>
          <t>Dry red wine (cooking)</t>
        </is>
      </c>
      <c r="C303" s="6" t="inlineStr">
        <is>
          <t>pantry</t>
        </is>
      </c>
      <c r="D303" s="6" t="n">
        <v>85</v>
      </c>
      <c r="E303" s="6" t="n">
        <v>0</v>
      </c>
      <c r="F303" s="6" t="n">
        <v>0</v>
      </c>
      <c r="G303" s="6" t="n">
        <v>2.6</v>
      </c>
      <c r="H303" s="6" t="n">
        <v>0</v>
      </c>
      <c r="I303" s="6" t="n">
        <v>2.6</v>
      </c>
      <c r="J303" s="6" t="n">
        <v>0</v>
      </c>
      <c r="K303" s="6" t="inlineStr">
        <is>
          <t>low</t>
        </is>
      </c>
      <c r="L303" s="7" t="inlineStr">
        <is>
          <t>Estimated from the closest tested food; no direct measurement found in the pooled sources</t>
        </is>
      </c>
      <c r="M303" s="7" t="inlineStr">
        <is>
          <t>no direct match</t>
        </is>
      </c>
      <c r="N303" s="6" t="inlineStr"/>
      <c r="O30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3" s="7" t="inlineStr">
        <is>
          <t>USDA FoodData Central (SR Legacy / Foundation Foods), fdc.nal.usda.gov</t>
        </is>
      </c>
      <c r="Q303" s="6" t="inlineStr">
        <is>
          <t>2026-09-26</t>
        </is>
      </c>
    </row>
    <row r="304">
      <c r="A304" s="6" t="inlineStr">
        <is>
          <t>white_wine</t>
        </is>
      </c>
      <c r="B304" s="6" t="inlineStr">
        <is>
          <t>Dry white wine (cooking)</t>
        </is>
      </c>
      <c r="C304" s="6" t="inlineStr">
        <is>
          <t>pantry</t>
        </is>
      </c>
      <c r="D304" s="6" t="n">
        <v>82</v>
      </c>
      <c r="E304" s="6" t="n">
        <v>0</v>
      </c>
      <c r="F304" s="6" t="n">
        <v>0</v>
      </c>
      <c r="G304" s="6" t="n">
        <v>2.6</v>
      </c>
      <c r="H304" s="6" t="n">
        <v>0</v>
      </c>
      <c r="I304" s="6" t="n">
        <v>2.6</v>
      </c>
      <c r="J304" s="6" t="n">
        <v>0</v>
      </c>
      <c r="K304" s="6" t="inlineStr">
        <is>
          <t>low</t>
        </is>
      </c>
      <c r="L304" s="7" t="inlineStr">
        <is>
          <t>Estimated from the closest tested food; no direct measurement found in the pooled sources</t>
        </is>
      </c>
      <c r="M304" s="7" t="inlineStr">
        <is>
          <t>no direct match</t>
        </is>
      </c>
      <c r="N304" s="6" t="inlineStr"/>
      <c r="O30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4" s="7" t="inlineStr">
        <is>
          <t>USDA FoodData Central (SR Legacy / Foundation Foods), fdc.nal.usda.gov</t>
        </is>
      </c>
      <c r="Q304" s="6" t="inlineStr">
        <is>
          <t>2026-09-26</t>
        </is>
      </c>
    </row>
    <row r="305">
      <c r="A305" s="6" t="inlineStr">
        <is>
          <t>pork_rinds</t>
        </is>
      </c>
      <c r="B305" s="6" t="inlineStr">
        <is>
          <t>Pork rinds, crushed</t>
        </is>
      </c>
      <c r="C305" s="6" t="inlineStr">
        <is>
          <t>protein</t>
        </is>
      </c>
      <c r="D305" s="6" t="n">
        <v>544</v>
      </c>
      <c r="E305" s="6" t="n">
        <v>61</v>
      </c>
      <c r="F305" s="6" t="n">
        <v>31</v>
      </c>
      <c r="G305" s="6" t="n">
        <v>0</v>
      </c>
      <c r="H305" s="6" t="n">
        <v>0</v>
      </c>
      <c r="I305" s="6" t="n">
        <v>0</v>
      </c>
      <c r="J305" s="6" t="n">
        <v>0</v>
      </c>
      <c r="K305" s="6" t="inlineStr">
        <is>
          <t>definitional</t>
        </is>
      </c>
      <c r="L305" s="7" t="inlineStr">
        <is>
          <t>No available carbohydrate — GI is 0 by definition (protein / fat / water)</t>
        </is>
      </c>
      <c r="M305" s="7" t="inlineStr">
        <is>
          <t>n/a</t>
        </is>
      </c>
      <c r="N305" s="6" t="inlineStr"/>
      <c r="O305" s="7" t="inlineStr">
        <is>
          <t>ISO 26642:2010</t>
        </is>
      </c>
      <c r="P305" s="7" t="inlineStr">
        <is>
          <t>USDA FoodData Central (SR Legacy / Foundation Foods), fdc.nal.usda.gov</t>
        </is>
      </c>
      <c r="Q305" s="6" t="inlineStr">
        <is>
          <t>2026-09-26</t>
        </is>
      </c>
    </row>
    <row r="306">
      <c r="A306" s="6" t="inlineStr">
        <is>
          <t>basil</t>
        </is>
      </c>
      <c r="B306" s="6" t="inlineStr">
        <is>
          <t>Fresh basil</t>
        </is>
      </c>
      <c r="C306" s="6" t="inlineStr">
        <is>
          <t>herb</t>
        </is>
      </c>
      <c r="D306" s="6" t="n">
        <v>23</v>
      </c>
      <c r="E306" s="6" t="n">
        <v>3.2</v>
      </c>
      <c r="F306" s="6" t="n">
        <v>0.6</v>
      </c>
      <c r="G306" s="6" t="n">
        <v>2.7</v>
      </c>
      <c r="H306" s="6" t="n">
        <v>1.6</v>
      </c>
      <c r="I306" s="6" t="n">
        <v>1.1</v>
      </c>
      <c r="J306" s="6" t="n">
        <v>15</v>
      </c>
      <c r="K306" s="6" t="inlineStr">
        <is>
          <t>none (placeholder)</t>
        </is>
      </c>
      <c r="L306" s="7" t="inlineStr">
        <is>
          <t>Conventional placeholder for foods with too little carbohydrate to test (non-starchy vegetables, nuts, seeds, herbs); no published measurement exists</t>
        </is>
      </c>
      <c r="M306" s="7" t="inlineStr">
        <is>
          <t>not measurable</t>
        </is>
      </c>
      <c r="N306" s="6" t="inlineStr"/>
      <c r="O306" s="7" t="inlineStr">
        <is>
          <t>clinical convention</t>
        </is>
      </c>
      <c r="P306" s="7" t="inlineStr">
        <is>
          <t>USDA FoodData Central (SR Legacy / Foundation Foods), fdc.nal.usda.gov</t>
        </is>
      </c>
      <c r="Q306" s="6" t="inlineStr">
        <is>
          <t>2026-09-26</t>
        </is>
      </c>
    </row>
    <row r="307">
      <c r="A307" s="6" t="inlineStr">
        <is>
          <t>cilantro</t>
        </is>
      </c>
      <c r="B307" s="6" t="inlineStr">
        <is>
          <t>Fresh cilantro</t>
        </is>
      </c>
      <c r="C307" s="6" t="inlineStr">
        <is>
          <t>herb</t>
        </is>
      </c>
      <c r="D307" s="6" t="n">
        <v>23</v>
      </c>
      <c r="E307" s="6" t="n">
        <v>2.1</v>
      </c>
      <c r="F307" s="6" t="n">
        <v>0.5</v>
      </c>
      <c r="G307" s="6" t="n">
        <v>3.7</v>
      </c>
      <c r="H307" s="6" t="n">
        <v>2.8</v>
      </c>
      <c r="I307" s="6" t="n">
        <v>0.9</v>
      </c>
      <c r="J307" s="6" t="n">
        <v>15</v>
      </c>
      <c r="K307" s="6" t="inlineStr">
        <is>
          <t>none (placeholder)</t>
        </is>
      </c>
      <c r="L307" s="7" t="inlineStr">
        <is>
          <t>Conventional placeholder for foods with too little carbohydrate to test (non-starchy vegetables, nuts, seeds, herbs); no published measurement exists</t>
        </is>
      </c>
      <c r="M307" s="7" t="inlineStr">
        <is>
          <t>not measurable</t>
        </is>
      </c>
      <c r="N307" s="6" t="inlineStr"/>
      <c r="O307" s="7" t="inlineStr">
        <is>
          <t>clinical convention</t>
        </is>
      </c>
      <c r="P307" s="7" t="inlineStr">
        <is>
          <t>USDA FoodData Central (SR Legacy / Foundation Foods), fdc.nal.usda.gov</t>
        </is>
      </c>
      <c r="Q307" s="6" t="inlineStr">
        <is>
          <t>2026-09-26</t>
        </is>
      </c>
    </row>
    <row r="308">
      <c r="A308" s="6" t="inlineStr">
        <is>
          <t>parsley</t>
        </is>
      </c>
      <c r="B308" s="6" t="inlineStr">
        <is>
          <t>Fresh parsley</t>
        </is>
      </c>
      <c r="C308" s="6" t="inlineStr">
        <is>
          <t>herb</t>
        </is>
      </c>
      <c r="D308" s="6" t="n">
        <v>36</v>
      </c>
      <c r="E308" s="6" t="n">
        <v>3</v>
      </c>
      <c r="F308" s="6" t="n">
        <v>0.8</v>
      </c>
      <c r="G308" s="6" t="n">
        <v>6.3</v>
      </c>
      <c r="H308" s="6" t="n">
        <v>3.3</v>
      </c>
      <c r="I308" s="6" t="n">
        <v>3</v>
      </c>
      <c r="J308" s="6" t="n">
        <v>15</v>
      </c>
      <c r="K308" s="6" t="inlineStr">
        <is>
          <t>none (placeholder)</t>
        </is>
      </c>
      <c r="L308" s="7" t="inlineStr">
        <is>
          <t>Conventional placeholder for foods with too little carbohydrate to test (non-starchy vegetables, nuts, seeds, herbs); no published measurement exists</t>
        </is>
      </c>
      <c r="M308" s="7" t="inlineStr">
        <is>
          <t>not measurable</t>
        </is>
      </c>
      <c r="N308" s="6" t="inlineStr"/>
      <c r="O308" s="7" t="inlineStr">
        <is>
          <t>clinical convention</t>
        </is>
      </c>
      <c r="P308" s="7" t="inlineStr">
        <is>
          <t>USDA FoodData Central (SR Legacy / Foundation Foods), fdc.nal.usda.gov</t>
        </is>
      </c>
      <c r="Q308" s="6" t="inlineStr">
        <is>
          <t>2026-09-26</t>
        </is>
      </c>
    </row>
    <row r="309">
      <c r="A309" s="6" t="inlineStr">
        <is>
          <t>dill</t>
        </is>
      </c>
      <c r="B309" s="6" t="inlineStr">
        <is>
          <t>Fresh dill</t>
        </is>
      </c>
      <c r="C309" s="6" t="inlineStr">
        <is>
          <t>herb</t>
        </is>
      </c>
      <c r="D309" s="6" t="n">
        <v>43</v>
      </c>
      <c r="E309" s="6" t="n">
        <v>3.5</v>
      </c>
      <c r="F309" s="6" t="n">
        <v>1.1</v>
      </c>
      <c r="G309" s="6" t="n">
        <v>7</v>
      </c>
      <c r="H309" s="6" t="n">
        <v>2.1</v>
      </c>
      <c r="I309" s="6" t="n">
        <v>4.9</v>
      </c>
      <c r="J309" s="6" t="n">
        <v>15</v>
      </c>
      <c r="K309" s="6" t="inlineStr">
        <is>
          <t>none (placeholder)</t>
        </is>
      </c>
      <c r="L309" s="7" t="inlineStr">
        <is>
          <t>Conventional placeholder for foods with too little carbohydrate to test (non-starchy vegetables, nuts, seeds, herbs); no published measurement exists</t>
        </is>
      </c>
      <c r="M309" s="7" t="inlineStr">
        <is>
          <t>not measurable</t>
        </is>
      </c>
      <c r="N309" s="6" t="inlineStr"/>
      <c r="O309" s="7" t="inlineStr">
        <is>
          <t>clinical convention</t>
        </is>
      </c>
      <c r="P309" s="7" t="inlineStr">
        <is>
          <t>USDA FoodData Central (SR Legacy / Foundation Foods), fdc.nal.usda.gov</t>
        </is>
      </c>
      <c r="Q309" s="6" t="inlineStr">
        <is>
          <t>2026-09-26</t>
        </is>
      </c>
    </row>
    <row r="310">
      <c r="A310" s="6" t="inlineStr">
        <is>
          <t>mint</t>
        </is>
      </c>
      <c r="B310" s="6" t="inlineStr">
        <is>
          <t>Fresh mint</t>
        </is>
      </c>
      <c r="C310" s="6" t="inlineStr">
        <is>
          <t>herb</t>
        </is>
      </c>
      <c r="D310" s="6" t="n">
        <v>44</v>
      </c>
      <c r="E310" s="6" t="n">
        <v>3.3</v>
      </c>
      <c r="F310" s="6" t="n">
        <v>0.7</v>
      </c>
      <c r="G310" s="6" t="n">
        <v>8.4</v>
      </c>
      <c r="H310" s="6" t="n">
        <v>6.8</v>
      </c>
      <c r="I310" s="6" t="n">
        <v>1.6</v>
      </c>
      <c r="J310" s="6" t="n">
        <v>15</v>
      </c>
      <c r="K310" s="6" t="inlineStr">
        <is>
          <t>none (placeholder)</t>
        </is>
      </c>
      <c r="L310" s="7" t="inlineStr">
        <is>
          <t>Conventional placeholder for foods with too little carbohydrate to test (non-starchy vegetables, nuts, seeds, herbs); no published measurement exists</t>
        </is>
      </c>
      <c r="M310" s="7" t="inlineStr">
        <is>
          <t>not measurable</t>
        </is>
      </c>
      <c r="N310" s="6" t="inlineStr"/>
      <c r="O310" s="7" t="inlineStr">
        <is>
          <t>clinical convention</t>
        </is>
      </c>
      <c r="P310" s="7" t="inlineStr">
        <is>
          <t>USDA FoodData Central (SR Legacy / Foundation Foods), fdc.nal.usda.gov</t>
        </is>
      </c>
      <c r="Q310" s="6" t="inlineStr">
        <is>
          <t>2026-09-26</t>
        </is>
      </c>
    </row>
    <row r="311">
      <c r="A311" s="6" t="inlineStr">
        <is>
          <t>chives</t>
        </is>
      </c>
      <c r="B311" s="6" t="inlineStr">
        <is>
          <t>Fresh chives</t>
        </is>
      </c>
      <c r="C311" s="6" t="inlineStr">
        <is>
          <t>herb</t>
        </is>
      </c>
      <c r="D311" s="6" t="n">
        <v>30</v>
      </c>
      <c r="E311" s="6" t="n">
        <v>3.3</v>
      </c>
      <c r="F311" s="6" t="n">
        <v>0.7</v>
      </c>
      <c r="G311" s="6" t="n">
        <v>4.4</v>
      </c>
      <c r="H311" s="6" t="n">
        <v>2.5</v>
      </c>
      <c r="I311" s="6" t="n">
        <v>1.9</v>
      </c>
      <c r="J311" s="6" t="n">
        <v>15</v>
      </c>
      <c r="K311" s="6" t="inlineStr">
        <is>
          <t>none (placeholder)</t>
        </is>
      </c>
      <c r="L311" s="7" t="inlineStr">
        <is>
          <t>Conventional placeholder for foods with too little carbohydrate to test (non-starchy vegetables, nuts, seeds, herbs); no published measurement exists</t>
        </is>
      </c>
      <c r="M311" s="7" t="inlineStr">
        <is>
          <t>not measurable</t>
        </is>
      </c>
      <c r="N311" s="6" t="inlineStr"/>
      <c r="O311" s="7" t="inlineStr">
        <is>
          <t>clinical convention</t>
        </is>
      </c>
      <c r="P311" s="7" t="inlineStr">
        <is>
          <t>USDA FoodData Central (SR Legacy / Foundation Foods), fdc.nal.usda.gov</t>
        </is>
      </c>
      <c r="Q311" s="6" t="inlineStr">
        <is>
          <t>2026-09-26</t>
        </is>
      </c>
    </row>
    <row r="312">
      <c r="A312" s="6" t="inlineStr">
        <is>
          <t>rosemary</t>
        </is>
      </c>
      <c r="B312" s="6" t="inlineStr">
        <is>
          <t>Fresh rosemary</t>
        </is>
      </c>
      <c r="C312" s="6" t="inlineStr">
        <is>
          <t>herb</t>
        </is>
      </c>
      <c r="D312" s="6" t="n">
        <v>131</v>
      </c>
      <c r="E312" s="6" t="n">
        <v>3.3</v>
      </c>
      <c r="F312" s="6" t="n">
        <v>5.9</v>
      </c>
      <c r="G312" s="6" t="n">
        <v>20.7</v>
      </c>
      <c r="H312" s="6" t="n">
        <v>14.1</v>
      </c>
      <c r="I312" s="6" t="n">
        <v>6.6</v>
      </c>
      <c r="J312" s="6" t="n">
        <v>15</v>
      </c>
      <c r="K312" s="6" t="inlineStr">
        <is>
          <t>none (placeholder)</t>
        </is>
      </c>
      <c r="L312" s="7" t="inlineStr">
        <is>
          <t>Conventional placeholder for foods with too little carbohydrate to test (non-starchy vegetables, nuts, seeds, herbs); no published measurement exists</t>
        </is>
      </c>
      <c r="M312" s="7" t="inlineStr">
        <is>
          <t>not measurable</t>
        </is>
      </c>
      <c r="N312" s="6" t="inlineStr"/>
      <c r="O312" s="7" t="inlineStr">
        <is>
          <t>clinical convention</t>
        </is>
      </c>
      <c r="P312" s="7" t="inlineStr">
        <is>
          <t>USDA FoodData Central (SR Legacy / Foundation Foods), fdc.nal.usda.gov</t>
        </is>
      </c>
      <c r="Q312" s="6" t="inlineStr">
        <is>
          <t>2026-09-26</t>
        </is>
      </c>
    </row>
    <row r="313">
      <c r="A313" s="6" t="inlineStr">
        <is>
          <t>thyme</t>
        </is>
      </c>
      <c r="B313" s="6" t="inlineStr">
        <is>
          <t>Fresh thyme</t>
        </is>
      </c>
      <c r="C313" s="6" t="inlineStr">
        <is>
          <t>herb</t>
        </is>
      </c>
      <c r="D313" s="6" t="n">
        <v>101</v>
      </c>
      <c r="E313" s="6" t="n">
        <v>5.6</v>
      </c>
      <c r="F313" s="6" t="n">
        <v>1.7</v>
      </c>
      <c r="G313" s="6" t="n">
        <v>24</v>
      </c>
      <c r="H313" s="6" t="n">
        <v>14</v>
      </c>
      <c r="I313" s="6" t="n">
        <v>10</v>
      </c>
      <c r="J313" s="6" t="n">
        <v>15</v>
      </c>
      <c r="K313" s="6" t="inlineStr">
        <is>
          <t>none (placeholder)</t>
        </is>
      </c>
      <c r="L313" s="7" t="inlineStr">
        <is>
          <t>Conventional placeholder for foods with too little carbohydrate to test (non-starchy vegetables, nuts, seeds, herbs); no published measurement exists</t>
        </is>
      </c>
      <c r="M313" s="7" t="inlineStr">
        <is>
          <t>not measurable</t>
        </is>
      </c>
      <c r="N313" s="6" t="inlineStr"/>
      <c r="O313" s="7" t="inlineStr">
        <is>
          <t>clinical convention</t>
        </is>
      </c>
      <c r="P313" s="7" t="inlineStr">
        <is>
          <t>USDA FoodData Central (SR Legacy / Foundation Foods), fdc.nal.usda.gov</t>
        </is>
      </c>
      <c r="Q313" s="6" t="inlineStr">
        <is>
          <t>2026-09-26</t>
        </is>
      </c>
    </row>
    <row r="314">
      <c r="A314" s="6" t="inlineStr">
        <is>
          <t>oregano_fresh</t>
        </is>
      </c>
      <c r="B314" s="6" t="inlineStr">
        <is>
          <t>Fresh oregano</t>
        </is>
      </c>
      <c r="C314" s="6" t="inlineStr">
        <is>
          <t>herb</t>
        </is>
      </c>
      <c r="D314" s="6" t="n">
        <v>66</v>
      </c>
      <c r="E314" s="6" t="n">
        <v>2.2</v>
      </c>
      <c r="F314" s="6" t="n">
        <v>1.4</v>
      </c>
      <c r="G314" s="6" t="n">
        <v>15</v>
      </c>
      <c r="H314" s="6" t="n">
        <v>8.6</v>
      </c>
      <c r="I314" s="6" t="n">
        <v>6.4</v>
      </c>
      <c r="J314" s="6" t="n">
        <v>15</v>
      </c>
      <c r="K314" s="6" t="inlineStr">
        <is>
          <t>none (placeholder)</t>
        </is>
      </c>
      <c r="L314" s="7" t="inlineStr">
        <is>
          <t>Conventional placeholder for foods with too little carbohydrate to test (non-starchy vegetables, nuts, seeds, herbs); no published measurement exists</t>
        </is>
      </c>
      <c r="M314" s="7" t="inlineStr">
        <is>
          <t>not measurable</t>
        </is>
      </c>
      <c r="N314" s="6" t="inlineStr"/>
      <c r="O314" s="7" t="inlineStr">
        <is>
          <t>clinical convention</t>
        </is>
      </c>
      <c r="P314" s="7" t="inlineStr">
        <is>
          <t>USDA FoodData Central (SR Legacy / Foundation Foods), fdc.nal.usda.gov</t>
        </is>
      </c>
      <c r="Q314" s="6" t="inlineStr">
        <is>
          <t>2026-09-26</t>
        </is>
      </c>
    </row>
    <row r="315">
      <c r="A315" s="6" t="inlineStr">
        <is>
          <t>sage</t>
        </is>
      </c>
      <c r="B315" s="6" t="inlineStr">
        <is>
          <t>Fresh sage</t>
        </is>
      </c>
      <c r="C315" s="6" t="inlineStr">
        <is>
          <t>herb</t>
        </is>
      </c>
      <c r="D315" s="6" t="n">
        <v>315</v>
      </c>
      <c r="E315" s="6" t="n">
        <v>10.6</v>
      </c>
      <c r="F315" s="6" t="n">
        <v>12.7</v>
      </c>
      <c r="G315" s="6" t="n">
        <v>60</v>
      </c>
      <c r="H315" s="6" t="n">
        <v>40</v>
      </c>
      <c r="I315" s="6" t="n">
        <v>20</v>
      </c>
      <c r="J315" s="6" t="n">
        <v>15</v>
      </c>
      <c r="K315" s="6" t="inlineStr">
        <is>
          <t>none (placeholder)</t>
        </is>
      </c>
      <c r="L315" s="7" t="inlineStr">
        <is>
          <t>Conventional placeholder for foods with too little carbohydrate to test (non-starchy vegetables, nuts, seeds, herbs); no published measurement exists</t>
        </is>
      </c>
      <c r="M315" s="7" t="inlineStr">
        <is>
          <t>not measurable</t>
        </is>
      </c>
      <c r="N315" s="6" t="inlineStr"/>
      <c r="O315" s="7" t="inlineStr">
        <is>
          <t>clinical convention</t>
        </is>
      </c>
      <c r="P315" s="7" t="inlineStr">
        <is>
          <t>USDA FoodData Central (SR Legacy / Foundation Foods), fdc.nal.usda.gov</t>
        </is>
      </c>
      <c r="Q315" s="6" t="inlineStr">
        <is>
          <t>2026-09-26</t>
        </is>
      </c>
    </row>
    <row r="316">
      <c r="A316" s="6" t="inlineStr">
        <is>
          <t>lemongrass</t>
        </is>
      </c>
      <c r="B316" s="6" t="inlineStr">
        <is>
          <t>Lemongrass</t>
        </is>
      </c>
      <c r="C316" s="6" t="inlineStr">
        <is>
          <t>herb</t>
        </is>
      </c>
      <c r="D316" s="6" t="n">
        <v>99</v>
      </c>
      <c r="E316" s="6" t="n">
        <v>1.8</v>
      </c>
      <c r="F316" s="6" t="n">
        <v>0.5</v>
      </c>
      <c r="G316" s="6" t="n">
        <v>25</v>
      </c>
      <c r="H316" s="6" t="n">
        <v>0</v>
      </c>
      <c r="I316" s="6" t="n">
        <v>25</v>
      </c>
      <c r="J316" s="6" t="n">
        <v>15</v>
      </c>
      <c r="K316" s="6" t="inlineStr">
        <is>
          <t>none (placeholder)</t>
        </is>
      </c>
      <c r="L316" s="7" t="inlineStr">
        <is>
          <t>Conventional placeholder for foods with too little carbohydrate to test (non-starchy vegetables, nuts, seeds, herbs); no published measurement exists</t>
        </is>
      </c>
      <c r="M316" s="7" t="inlineStr">
        <is>
          <t>not measurable</t>
        </is>
      </c>
      <c r="N316" s="6" t="inlineStr"/>
      <c r="O316" s="7" t="inlineStr">
        <is>
          <t>clinical convention</t>
        </is>
      </c>
      <c r="P316" s="7" t="inlineStr">
        <is>
          <t>USDA FoodData Central (SR Legacy / Foundation Foods), fdc.nal.usda.gov</t>
        </is>
      </c>
      <c r="Q316" s="6" t="inlineStr">
        <is>
          <t>2026-09-26</t>
        </is>
      </c>
    </row>
    <row r="317">
      <c r="A317" s="6" t="inlineStr">
        <is>
          <t>salt</t>
        </is>
      </c>
      <c r="B317" s="6" t="inlineStr">
        <is>
          <t>Salt</t>
        </is>
      </c>
      <c r="C317" s="6" t="inlineStr">
        <is>
          <t>spice</t>
        </is>
      </c>
      <c r="D317" s="6" t="n">
        <v>0</v>
      </c>
      <c r="E317" s="6" t="n">
        <v>0</v>
      </c>
      <c r="F317" s="6" t="n">
        <v>0</v>
      </c>
      <c r="G317" s="6" t="n">
        <v>0</v>
      </c>
      <c r="H317" s="6" t="n">
        <v>0</v>
      </c>
      <c r="I317" s="6" t="n">
        <v>0</v>
      </c>
      <c r="J317" s="6" t="n">
        <v>0</v>
      </c>
      <c r="K317" s="6" t="inlineStr">
        <is>
          <t>definitional</t>
        </is>
      </c>
      <c r="L317" s="7" t="inlineStr">
        <is>
          <t>No available carbohydrate — GI is 0 by definition (protein / fat / water)</t>
        </is>
      </c>
      <c r="M317" s="7" t="inlineStr">
        <is>
          <t>n/a</t>
        </is>
      </c>
      <c r="N317" s="6" t="inlineStr"/>
      <c r="O317" s="7" t="inlineStr">
        <is>
          <t>ISO 26642:2010</t>
        </is>
      </c>
      <c r="P317" s="7" t="inlineStr">
        <is>
          <t>USDA FoodData Central (SR Legacy / Foundation Foods), fdc.nal.usda.gov</t>
        </is>
      </c>
      <c r="Q317" s="6" t="inlineStr">
        <is>
          <t>2026-09-26</t>
        </is>
      </c>
    </row>
    <row r="318">
      <c r="A318" s="6" t="inlineStr">
        <is>
          <t>black_pepper</t>
        </is>
      </c>
      <c r="B318" s="6" t="inlineStr">
        <is>
          <t>Black pepper</t>
        </is>
      </c>
      <c r="C318" s="6" t="inlineStr">
        <is>
          <t>spice</t>
        </is>
      </c>
      <c r="D318" s="6" t="n">
        <v>251</v>
      </c>
      <c r="E318" s="6" t="n">
        <v>10</v>
      </c>
      <c r="F318" s="6" t="n">
        <v>3.3</v>
      </c>
      <c r="G318" s="6" t="n">
        <v>64</v>
      </c>
      <c r="H318" s="6" t="n">
        <v>25</v>
      </c>
      <c r="I318" s="6" t="n">
        <v>39</v>
      </c>
      <c r="J318" s="6" t="n">
        <v>15</v>
      </c>
      <c r="K318" s="6" t="inlineStr">
        <is>
          <t>none (placeholder)</t>
        </is>
      </c>
      <c r="L318" s="7" t="inlineStr">
        <is>
          <t>Conventional placeholder for foods with too little carbohydrate to test (non-starchy vegetables, nuts, seeds, herbs); no published measurement exists</t>
        </is>
      </c>
      <c r="M318" s="7" t="inlineStr">
        <is>
          <t>not measurable</t>
        </is>
      </c>
      <c r="N318" s="6" t="inlineStr"/>
      <c r="O318" s="7" t="inlineStr">
        <is>
          <t>clinical convention</t>
        </is>
      </c>
      <c r="P318" s="7" t="inlineStr">
        <is>
          <t>USDA FoodData Central (SR Legacy / Foundation Foods), fdc.nal.usda.gov</t>
        </is>
      </c>
      <c r="Q318" s="6" t="inlineStr">
        <is>
          <t>2026-09-26</t>
        </is>
      </c>
    </row>
    <row r="319">
      <c r="A319" s="6" t="inlineStr">
        <is>
          <t>spice</t>
        </is>
      </c>
      <c r="B319" s="6" t="inlineStr">
        <is>
          <t>Dried spices/herbs (generic)</t>
        </is>
      </c>
      <c r="C319" s="6" t="inlineStr">
        <is>
          <t>spice</t>
        </is>
      </c>
      <c r="D319" s="6" t="n">
        <v>300</v>
      </c>
      <c r="E319" s="6" t="n">
        <v>10</v>
      </c>
      <c r="F319" s="6" t="n">
        <v>8</v>
      </c>
      <c r="G319" s="6" t="n">
        <v>55</v>
      </c>
      <c r="H319" s="6" t="n">
        <v>25</v>
      </c>
      <c r="I319" s="6" t="n">
        <v>30</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cumin</t>
        </is>
      </c>
      <c r="B320" s="6" t="inlineStr">
        <is>
          <t>Ground cumin</t>
        </is>
      </c>
      <c r="C320" s="6" t="inlineStr">
        <is>
          <t>spice</t>
        </is>
      </c>
      <c r="D320" s="6" t="n">
        <v>375</v>
      </c>
      <c r="E320" s="6" t="n">
        <v>18</v>
      </c>
      <c r="F320" s="6" t="n">
        <v>22</v>
      </c>
      <c r="G320" s="6" t="n">
        <v>44</v>
      </c>
      <c r="H320" s="6" t="n">
        <v>10.5</v>
      </c>
      <c r="I320" s="6" t="n">
        <v>33.5</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chili_powder</t>
        </is>
      </c>
      <c r="B321" s="6" t="inlineStr">
        <is>
          <t>Chili powder</t>
        </is>
      </c>
      <c r="C321" s="6" t="inlineStr">
        <is>
          <t>spice</t>
        </is>
      </c>
      <c r="D321" s="6" t="n">
        <v>282</v>
      </c>
      <c r="E321" s="6" t="n">
        <v>13.5</v>
      </c>
      <c r="F321" s="6" t="n">
        <v>14</v>
      </c>
      <c r="G321" s="6" t="n">
        <v>50</v>
      </c>
      <c r="H321" s="6" t="n">
        <v>35</v>
      </c>
      <c r="I321" s="6" t="n">
        <v>15</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smoked_paprika</t>
        </is>
      </c>
      <c r="B322" s="6" t="inlineStr">
        <is>
          <t>Smoked paprika</t>
        </is>
      </c>
      <c r="C322" s="6" t="inlineStr">
        <is>
          <t>spice</t>
        </is>
      </c>
      <c r="D322" s="6" t="n">
        <v>282</v>
      </c>
      <c r="E322" s="6" t="n">
        <v>14</v>
      </c>
      <c r="F322" s="6" t="n">
        <v>13</v>
      </c>
      <c r="G322" s="6" t="n">
        <v>54</v>
      </c>
      <c r="H322" s="6" t="n">
        <v>35</v>
      </c>
      <c r="I322" s="6" t="n">
        <v>19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paprika</t>
        </is>
      </c>
      <c r="B323" s="6" t="inlineStr">
        <is>
          <t>Paprika</t>
        </is>
      </c>
      <c r="C323" s="6" t="inlineStr">
        <is>
          <t>spice</t>
        </is>
      </c>
      <c r="D323" s="6" t="n">
        <v>282</v>
      </c>
      <c r="E323" s="6" t="n">
        <v>14</v>
      </c>
      <c r="F323" s="6" t="n">
        <v>13</v>
      </c>
      <c r="G323" s="6" t="n">
        <v>54</v>
      </c>
      <c r="H323" s="6" t="n">
        <v>35</v>
      </c>
      <c r="I323" s="6" t="n">
        <v>19</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turmeric</t>
        </is>
      </c>
      <c r="B324" s="6" t="inlineStr">
        <is>
          <t>Ground turmeric</t>
        </is>
      </c>
      <c r="C324" s="6" t="inlineStr">
        <is>
          <t>spice</t>
        </is>
      </c>
      <c r="D324" s="6" t="n">
        <v>312</v>
      </c>
      <c r="E324" s="6" t="n">
        <v>9.699999999999999</v>
      </c>
      <c r="F324" s="6" t="n">
        <v>3.3</v>
      </c>
      <c r="G324" s="6" t="n">
        <v>67</v>
      </c>
      <c r="H324" s="6" t="n">
        <v>22.7</v>
      </c>
      <c r="I324" s="6" t="n">
        <v>44.3</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cinnamon</t>
        </is>
      </c>
      <c r="B325" s="6" t="inlineStr">
        <is>
          <t>Ground cinnamon</t>
        </is>
      </c>
      <c r="C325" s="6" t="inlineStr">
        <is>
          <t>spice</t>
        </is>
      </c>
      <c r="D325" s="6" t="n">
        <v>247</v>
      </c>
      <c r="E325" s="6" t="n">
        <v>4</v>
      </c>
      <c r="F325" s="6" t="n">
        <v>1.2</v>
      </c>
      <c r="G325" s="6" t="n">
        <v>81</v>
      </c>
      <c r="H325" s="6" t="n">
        <v>53</v>
      </c>
      <c r="I325" s="6" t="n">
        <v>28</v>
      </c>
      <c r="J325" s="6" t="n">
        <v>5</v>
      </c>
      <c r="K325" s="6" t="inlineStr">
        <is>
          <t>low</t>
        </is>
      </c>
      <c r="L325" s="7" t="inlineStr">
        <is>
          <t>Estimated from the closest tested food; no direct measurement found in the pooled sources</t>
        </is>
      </c>
      <c r="M325" s="7" t="inlineStr">
        <is>
          <t>no direct match</t>
        </is>
      </c>
      <c r="N325" s="6" t="inlineStr"/>
      <c r="O3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25" s="7" t="inlineStr">
        <is>
          <t>USDA FoodData Central (SR Legacy / Foundation Foods), fdc.nal.usda.gov</t>
        </is>
      </c>
      <c r="Q325" s="6" t="inlineStr">
        <is>
          <t>2026-09-26</t>
        </is>
      </c>
    </row>
    <row r="326">
      <c r="A326" s="6" t="inlineStr">
        <is>
          <t>nutmeg</t>
        </is>
      </c>
      <c r="B326" s="6" t="inlineStr">
        <is>
          <t>Ground nutmeg</t>
        </is>
      </c>
      <c r="C326" s="6" t="inlineStr">
        <is>
          <t>spice</t>
        </is>
      </c>
      <c r="D326" s="6" t="n">
        <v>525</v>
      </c>
      <c r="E326" s="6" t="n">
        <v>6</v>
      </c>
      <c r="F326" s="6" t="n">
        <v>36</v>
      </c>
      <c r="G326" s="6" t="n">
        <v>49</v>
      </c>
      <c r="H326" s="6" t="n">
        <v>21</v>
      </c>
      <c r="I326" s="6" t="n">
        <v>28</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cardamom</t>
        </is>
      </c>
      <c r="B327" s="6" t="inlineStr">
        <is>
          <t>Ground cardamom</t>
        </is>
      </c>
      <c r="C327" s="6" t="inlineStr">
        <is>
          <t>spice</t>
        </is>
      </c>
      <c r="D327" s="6" t="n">
        <v>311</v>
      </c>
      <c r="E327" s="6" t="n">
        <v>11</v>
      </c>
      <c r="F327" s="6" t="n">
        <v>7</v>
      </c>
      <c r="G327" s="6" t="n">
        <v>68</v>
      </c>
      <c r="H327" s="6" t="n">
        <v>28</v>
      </c>
      <c r="I327" s="6" t="n">
        <v>40</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cayenne</t>
        </is>
      </c>
      <c r="B328" s="6" t="inlineStr">
        <is>
          <t>Cayenne pepper</t>
        </is>
      </c>
      <c r="C328" s="6" t="inlineStr">
        <is>
          <t>spice</t>
        </is>
      </c>
      <c r="D328" s="6" t="n">
        <v>318</v>
      </c>
      <c r="E328" s="6" t="n">
        <v>12</v>
      </c>
      <c r="F328" s="6" t="n">
        <v>17</v>
      </c>
      <c r="G328" s="6" t="n">
        <v>57</v>
      </c>
      <c r="H328" s="6" t="n">
        <v>27</v>
      </c>
      <c r="I328" s="6" t="n">
        <v>30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red_pepper_flakes</t>
        </is>
      </c>
      <c r="B329" s="6" t="inlineStr">
        <is>
          <t>Red pepper flakes</t>
        </is>
      </c>
      <c r="C329" s="6" t="inlineStr">
        <is>
          <t>spice</t>
        </is>
      </c>
      <c r="D329" s="6" t="n">
        <v>318</v>
      </c>
      <c r="E329" s="6" t="n">
        <v>12</v>
      </c>
      <c r="F329" s="6" t="n">
        <v>17</v>
      </c>
      <c r="G329" s="6" t="n">
        <v>57</v>
      </c>
      <c r="H329" s="6" t="n">
        <v>27</v>
      </c>
      <c r="I329" s="6" t="n">
        <v>30</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garlic_powder</t>
        </is>
      </c>
      <c r="B330" s="6" t="inlineStr">
        <is>
          <t>Garlic powder</t>
        </is>
      </c>
      <c r="C330" s="6" t="inlineStr">
        <is>
          <t>spice</t>
        </is>
      </c>
      <c r="D330" s="6" t="n">
        <v>331</v>
      </c>
      <c r="E330" s="6" t="n">
        <v>16.5</v>
      </c>
      <c r="F330" s="6" t="n">
        <v>0.7</v>
      </c>
      <c r="G330" s="6" t="n">
        <v>72.7</v>
      </c>
      <c r="H330" s="6" t="n">
        <v>9</v>
      </c>
      <c r="I330" s="6" t="n">
        <v>63.7</v>
      </c>
      <c r="J330" s="6" t="n">
        <v>15</v>
      </c>
      <c r="K330" s="6" t="inlineStr">
        <is>
          <t>none (placeholder)</t>
        </is>
      </c>
      <c r="L330" s="7" t="inlineStr">
        <is>
          <t>Conventional placeholder for foods with too little carbohydrate to test (non-starchy vegetables, nuts, seeds, herbs); no published measurement exists</t>
        </is>
      </c>
      <c r="M330" s="7" t="inlineStr">
        <is>
          <t>not measurable</t>
        </is>
      </c>
      <c r="N330" s="6" t="inlineStr"/>
      <c r="O330" s="7" t="inlineStr">
        <is>
          <t>clinical convention</t>
        </is>
      </c>
      <c r="P330" s="7" t="inlineStr">
        <is>
          <t>USDA FoodData Central (SR Legacy / Foundation Foods), fdc.nal.usda.gov</t>
        </is>
      </c>
      <c r="Q330" s="6" t="inlineStr">
        <is>
          <t>2026-09-26</t>
        </is>
      </c>
    </row>
    <row r="331">
      <c r="A331" s="6" t="inlineStr">
        <is>
          <t>onion_powder</t>
        </is>
      </c>
      <c r="B331" s="6" t="inlineStr">
        <is>
          <t>Onion powder</t>
        </is>
      </c>
      <c r="C331" s="6" t="inlineStr">
        <is>
          <t>spice</t>
        </is>
      </c>
      <c r="D331" s="6" t="n">
        <v>341</v>
      </c>
      <c r="E331" s="6" t="n">
        <v>10</v>
      </c>
      <c r="F331" s="6" t="n">
        <v>1</v>
      </c>
      <c r="G331" s="6" t="n">
        <v>79</v>
      </c>
      <c r="H331" s="6" t="n">
        <v>15</v>
      </c>
      <c r="I331" s="6" t="n">
        <v>64</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oregano</t>
        </is>
      </c>
      <c r="B332" s="6" t="inlineStr">
        <is>
          <t>Dried oregano</t>
        </is>
      </c>
      <c r="C332" s="6" t="inlineStr">
        <is>
          <t>spice</t>
        </is>
      </c>
      <c r="D332" s="6" t="n">
        <v>265</v>
      </c>
      <c r="E332" s="6" t="n">
        <v>9</v>
      </c>
      <c r="F332" s="6" t="n">
        <v>4.3</v>
      </c>
      <c r="G332" s="6" t="n">
        <v>69</v>
      </c>
      <c r="H332" s="6" t="n">
        <v>42.5</v>
      </c>
      <c r="I332" s="6" t="n">
        <v>26.5</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italian_seasoning</t>
        </is>
      </c>
      <c r="B333" s="6" t="inlineStr">
        <is>
          <t>Italian seasoning</t>
        </is>
      </c>
      <c r="C333" s="6" t="inlineStr">
        <is>
          <t>spice</t>
        </is>
      </c>
      <c r="D333" s="6" t="n">
        <v>265</v>
      </c>
      <c r="E333" s="6" t="n">
        <v>9</v>
      </c>
      <c r="F333" s="6" t="n">
        <v>4.3</v>
      </c>
      <c r="G333" s="6" t="n">
        <v>69</v>
      </c>
      <c r="H333" s="6" t="n">
        <v>42.5</v>
      </c>
      <c r="I333" s="6" t="n">
        <v>26.5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taco_seasoning</t>
        </is>
      </c>
      <c r="B334" s="6" t="inlineStr">
        <is>
          <t>Taco seasoning, low sodium</t>
        </is>
      </c>
      <c r="C334" s="6" t="inlineStr">
        <is>
          <t>spice</t>
        </is>
      </c>
      <c r="D334" s="6" t="n">
        <v>300</v>
      </c>
      <c r="E334" s="6" t="n">
        <v>10</v>
      </c>
      <c r="F334" s="6" t="n">
        <v>8</v>
      </c>
      <c r="G334" s="6" t="n">
        <v>55</v>
      </c>
      <c r="H334" s="6" t="n">
        <v>25</v>
      </c>
      <c r="I334" s="6" t="n">
        <v>30</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curry_powder</t>
        </is>
      </c>
      <c r="B335" s="6" t="inlineStr">
        <is>
          <t>Curry powder</t>
        </is>
      </c>
      <c r="C335" s="6" t="inlineStr">
        <is>
          <t>spice</t>
        </is>
      </c>
      <c r="D335" s="6" t="n">
        <v>325</v>
      </c>
      <c r="E335" s="6" t="n">
        <v>14</v>
      </c>
      <c r="F335" s="6" t="n">
        <v>14</v>
      </c>
      <c r="G335" s="6" t="n">
        <v>58</v>
      </c>
      <c r="H335" s="6" t="n">
        <v>53</v>
      </c>
      <c r="I335" s="6" t="n">
        <v>5</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garam_masala</t>
        </is>
      </c>
      <c r="B336" s="6" t="inlineStr">
        <is>
          <t>Garam masala</t>
        </is>
      </c>
      <c r="C336" s="6" t="inlineStr">
        <is>
          <t>spice</t>
        </is>
      </c>
      <c r="D336" s="6" t="n">
        <v>325</v>
      </c>
      <c r="E336" s="6" t="n">
        <v>14</v>
      </c>
      <c r="F336" s="6" t="n">
        <v>14</v>
      </c>
      <c r="G336" s="6" t="n">
        <v>58</v>
      </c>
      <c r="H336" s="6" t="n">
        <v>53</v>
      </c>
      <c r="I336" s="6" t="n">
        <v>5</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zaatar</t>
        </is>
      </c>
      <c r="B337" s="6" t="inlineStr">
        <is>
          <t>Za'atar</t>
        </is>
      </c>
      <c r="C337" s="6" t="inlineStr">
        <is>
          <t>spice</t>
        </is>
      </c>
      <c r="D337" s="6" t="n">
        <v>300</v>
      </c>
      <c r="E337" s="6" t="n">
        <v>10</v>
      </c>
      <c r="F337" s="6" t="n">
        <v>8</v>
      </c>
      <c r="G337" s="6" t="n">
        <v>55</v>
      </c>
      <c r="H337" s="6" t="n">
        <v>25</v>
      </c>
      <c r="I337" s="6" t="n">
        <v>30</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everything_seasoning</t>
        </is>
      </c>
      <c r="B338" s="6" t="inlineStr">
        <is>
          <t>Everything bagel seasoning</t>
        </is>
      </c>
      <c r="C338" s="6" t="inlineStr">
        <is>
          <t>spice</t>
        </is>
      </c>
      <c r="D338" s="6" t="n">
        <v>350</v>
      </c>
      <c r="E338" s="6" t="n">
        <v>15</v>
      </c>
      <c r="F338" s="6" t="n">
        <v>20</v>
      </c>
      <c r="G338" s="6" t="n">
        <v>30</v>
      </c>
      <c r="H338" s="6" t="n">
        <v>10</v>
      </c>
      <c r="I338" s="6" t="n">
        <v>20</v>
      </c>
      <c r="J338" s="6" t="n">
        <v>15</v>
      </c>
      <c r="K338" s="6" t="inlineStr">
        <is>
          <t>none (placeholder)</t>
        </is>
      </c>
      <c r="L338" s="7" t="inlineStr">
        <is>
          <t>Conventional placeholder for foods with too little carbohydrate to test (non-starchy vegetables, nuts, seeds, herbs); no published measurement exists</t>
        </is>
      </c>
      <c r="M338" s="7" t="inlineStr">
        <is>
          <t>not measurable</t>
        </is>
      </c>
      <c r="N338" s="6" t="inlineStr"/>
      <c r="O338" s="7" t="inlineStr">
        <is>
          <t>clinical convention</t>
        </is>
      </c>
      <c r="P338" s="7" t="inlineStr">
        <is>
          <t>USDA FoodData Central (SR Legacy / Foundation Foods), fdc.nal.usda.gov</t>
        </is>
      </c>
      <c r="Q338" s="6" t="inlineStr">
        <is>
          <t>2026-09-26</t>
        </is>
      </c>
    </row>
    <row r="339">
      <c r="A339" s="6" t="inlineStr">
        <is>
          <t>old_bay</t>
        </is>
      </c>
      <c r="B339" s="6" t="inlineStr">
        <is>
          <t>Old Bay seasoning</t>
        </is>
      </c>
      <c r="C339" s="6" t="inlineStr">
        <is>
          <t>spice</t>
        </is>
      </c>
      <c r="D339" s="6" t="n">
        <v>300</v>
      </c>
      <c r="E339" s="6" t="n">
        <v>10</v>
      </c>
      <c r="F339" s="6" t="n">
        <v>8</v>
      </c>
      <c r="G339" s="6" t="n">
        <v>55</v>
      </c>
      <c r="H339" s="6" t="n">
        <v>25</v>
      </c>
      <c r="I339" s="6" t="n">
        <v>30</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cajun_seasoning</t>
        </is>
      </c>
      <c r="B340" s="6" t="inlineStr">
        <is>
          <t>Cajun seasoning</t>
        </is>
      </c>
      <c r="C340" s="6" t="inlineStr">
        <is>
          <t>spice</t>
        </is>
      </c>
      <c r="D340" s="6" t="n">
        <v>300</v>
      </c>
      <c r="E340" s="6" t="n">
        <v>10</v>
      </c>
      <c r="F340" s="6" t="n">
        <v>8</v>
      </c>
      <c r="G340" s="6" t="n">
        <v>55</v>
      </c>
      <c r="H340" s="6" t="n">
        <v>25</v>
      </c>
      <c r="I340" s="6" t="n">
        <v>30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ranch_seasoning</t>
        </is>
      </c>
      <c r="B341" s="6" t="inlineStr">
        <is>
          <t>Ranch seasoning (dry)</t>
        </is>
      </c>
      <c r="C341" s="6" t="inlineStr">
        <is>
          <t>spice</t>
        </is>
      </c>
      <c r="D341" s="6" t="n">
        <v>300</v>
      </c>
      <c r="E341" s="6" t="n">
        <v>10</v>
      </c>
      <c r="F341" s="6" t="n">
        <v>8</v>
      </c>
      <c r="G341" s="6" t="n">
        <v>55</v>
      </c>
      <c r="H341" s="6" t="n">
        <v>25</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bay_leaf</t>
        </is>
      </c>
      <c r="B342" s="6" t="inlineStr">
        <is>
          <t>Bay leaves</t>
        </is>
      </c>
      <c r="C342" s="6" t="inlineStr">
        <is>
          <t>spice</t>
        </is>
      </c>
      <c r="D342" s="6" t="n">
        <v>313</v>
      </c>
      <c r="E342" s="6" t="n">
        <v>7.6</v>
      </c>
      <c r="F342" s="6" t="n">
        <v>8.4</v>
      </c>
      <c r="G342" s="6" t="n">
        <v>75</v>
      </c>
      <c r="H342" s="6" t="n">
        <v>26</v>
      </c>
      <c r="I342" s="6" t="n">
        <v>49</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dried_dill</t>
        </is>
      </c>
      <c r="B343" s="6" t="inlineStr">
        <is>
          <t>Dried dill</t>
        </is>
      </c>
      <c r="C343" s="6" t="inlineStr">
        <is>
          <t>spice</t>
        </is>
      </c>
      <c r="D343" s="6" t="n">
        <v>253</v>
      </c>
      <c r="E343" s="6" t="n">
        <v>20</v>
      </c>
      <c r="F343" s="6" t="n">
        <v>4.4</v>
      </c>
      <c r="G343" s="6" t="n">
        <v>56</v>
      </c>
      <c r="H343" s="6" t="n">
        <v>14</v>
      </c>
      <c r="I343" s="6" t="n">
        <v>42</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dried_thyme</t>
        </is>
      </c>
      <c r="B344" s="6" t="inlineStr">
        <is>
          <t>Dried thyme</t>
        </is>
      </c>
      <c r="C344" s="6" t="inlineStr">
        <is>
          <t>spice</t>
        </is>
      </c>
      <c r="D344" s="6" t="n">
        <v>276</v>
      </c>
      <c r="E344" s="6" t="n">
        <v>9</v>
      </c>
      <c r="F344" s="6" t="n">
        <v>7.4</v>
      </c>
      <c r="G344" s="6" t="n">
        <v>64</v>
      </c>
      <c r="H344" s="6" t="n">
        <v>37</v>
      </c>
      <c r="I344" s="6" t="n">
        <v>27</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dried_rosemary</t>
        </is>
      </c>
      <c r="B345" s="6" t="inlineStr">
        <is>
          <t>Dried rosemary</t>
        </is>
      </c>
      <c r="C345" s="6" t="inlineStr">
        <is>
          <t>spice</t>
        </is>
      </c>
      <c r="D345" s="6" t="n">
        <v>331</v>
      </c>
      <c r="E345" s="6" t="n">
        <v>5</v>
      </c>
      <c r="F345" s="6" t="n">
        <v>15</v>
      </c>
      <c r="G345" s="6" t="n">
        <v>64</v>
      </c>
      <c r="H345" s="6" t="n">
        <v>43</v>
      </c>
      <c r="I345" s="6" t="n">
        <v>21</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coriander</t>
        </is>
      </c>
      <c r="B346" s="6" t="inlineStr">
        <is>
          <t>Ground coriander</t>
        </is>
      </c>
      <c r="C346" s="6" t="inlineStr">
        <is>
          <t>spice</t>
        </is>
      </c>
      <c r="D346" s="6" t="n">
        <v>298</v>
      </c>
      <c r="E346" s="6" t="n">
        <v>12</v>
      </c>
      <c r="F346" s="6" t="n">
        <v>18</v>
      </c>
      <c r="G346" s="6" t="n">
        <v>55</v>
      </c>
      <c r="H346" s="6" t="n">
        <v>42</v>
      </c>
      <c r="I346" s="6" t="n">
        <v>13</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mustard_seed</t>
        </is>
      </c>
      <c r="B347" s="6" t="inlineStr">
        <is>
          <t>Mustard seeds</t>
        </is>
      </c>
      <c r="C347" s="6" t="inlineStr">
        <is>
          <t>spice</t>
        </is>
      </c>
      <c r="D347" s="6" t="n">
        <v>508</v>
      </c>
      <c r="E347" s="6" t="n">
        <v>26</v>
      </c>
      <c r="F347" s="6" t="n">
        <v>36</v>
      </c>
      <c r="G347" s="6" t="n">
        <v>28</v>
      </c>
      <c r="H347" s="6" t="n">
        <v>12</v>
      </c>
      <c r="I347" s="6" t="n">
        <v>16</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pumpkin_pie_spice</t>
        </is>
      </c>
      <c r="B348" s="6" t="inlineStr">
        <is>
          <t>Pumpkin pie spice</t>
        </is>
      </c>
      <c r="C348" s="6" t="inlineStr">
        <is>
          <t>spice</t>
        </is>
      </c>
      <c r="D348" s="6" t="n">
        <v>342</v>
      </c>
      <c r="E348" s="6" t="n">
        <v>4</v>
      </c>
      <c r="F348" s="6" t="n">
        <v>5</v>
      </c>
      <c r="G348" s="6" t="n">
        <v>74</v>
      </c>
      <c r="H348" s="6" t="n">
        <v>25</v>
      </c>
      <c r="I348" s="6" t="n">
        <v>49</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five_spice</t>
        </is>
      </c>
      <c r="B349" s="6" t="inlineStr">
        <is>
          <t>Chinese five-spice</t>
        </is>
      </c>
      <c r="C349" s="6" t="inlineStr">
        <is>
          <t>spice</t>
        </is>
      </c>
      <c r="D349" s="6" t="n">
        <v>300</v>
      </c>
      <c r="E349" s="6" t="n">
        <v>10</v>
      </c>
      <c r="F349" s="6" t="n">
        <v>8</v>
      </c>
      <c r="G349" s="6" t="n">
        <v>55</v>
      </c>
      <c r="H349" s="6" t="n">
        <v>25</v>
      </c>
      <c r="I349" s="6" t="n">
        <v>30</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sumac</t>
        </is>
      </c>
      <c r="B350" s="6" t="inlineStr">
        <is>
          <t>Sumac</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star_anise</t>
        </is>
      </c>
      <c r="B351" s="6" t="inlineStr">
        <is>
          <t>Star anise</t>
        </is>
      </c>
      <c r="C351" s="6" t="inlineStr">
        <is>
          <t>spice</t>
        </is>
      </c>
      <c r="D351" s="6" t="n">
        <v>337</v>
      </c>
      <c r="E351" s="6" t="n">
        <v>18</v>
      </c>
      <c r="F351" s="6" t="n">
        <v>16</v>
      </c>
      <c r="G351" s="6" t="n">
        <v>50</v>
      </c>
      <c r="H351" s="6" t="n">
        <v>15</v>
      </c>
      <c r="I351" s="6" t="n">
        <v>35</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chili_crisp</t>
        </is>
      </c>
      <c r="B352" s="6" t="inlineStr">
        <is>
          <t>Chili crisp (small amount)</t>
        </is>
      </c>
      <c r="C352" s="6" t="inlineStr">
        <is>
          <t>condiment</t>
        </is>
      </c>
      <c r="D352" s="6" t="n">
        <v>500</v>
      </c>
      <c r="E352" s="6" t="n">
        <v>5</v>
      </c>
      <c r="F352" s="6" t="n">
        <v>50</v>
      </c>
      <c r="G352" s="6" t="n">
        <v>10</v>
      </c>
      <c r="H352" s="6" t="n">
        <v>3</v>
      </c>
      <c r="I352" s="6" t="n">
        <v>7</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sheetData>
  <autoFilter ref="A1:Q352"/>
  <conditionalFormatting sqref="K2:K352">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COUNTIF(Recipes!$C$2:$C$1112,A2)</f>
        <v/>
      </c>
      <c r="C2" s="12">
        <f>AVERAGEIF(Recipes!$C$2:$C$1112,A2,Recipes!$N$2:$N$1112)</f>
        <v/>
      </c>
      <c r="D2" s="13">
        <f>AVERAGEIF(Recipes!$C$2:$C$1112,A2,Recipes!$S$2:$S$1112)</f>
        <v/>
      </c>
      <c r="E2" s="12">
        <f>AVERAGEIF(Recipes!$C$2:$C$1112,A2,Recipes!$T$2:$T$1112)</f>
        <v/>
      </c>
      <c r="F2" s="13">
        <f>AVERAGEIF(Recipes!$C$2:$C$1112,A2,Recipes!$V$2:$V$1112)</f>
        <v/>
      </c>
      <c r="G2" s="14">
        <f>COUNTIFS(Recipes!$C$2:$C$1112,A2,Recipes!$U$2:$U$1112,"low")/B2</f>
        <v/>
      </c>
    </row>
    <row r="3">
      <c r="A3" s="11" t="inlineStr">
        <is>
          <t>Breakfast</t>
        </is>
      </c>
      <c r="B3" s="11">
        <f>COUNTIF(Recipes!$C$2:$C$1112,A3)</f>
        <v/>
      </c>
      <c r="C3" s="12">
        <f>AVERAGEIF(Recipes!$C$2:$C$1112,A3,Recipes!$N$2:$N$1112)</f>
        <v/>
      </c>
      <c r="D3" s="13">
        <f>AVERAGEIF(Recipes!$C$2:$C$1112,A3,Recipes!$S$2:$S$1112)</f>
        <v/>
      </c>
      <c r="E3" s="12">
        <f>AVERAGEIF(Recipes!$C$2:$C$1112,A3,Recipes!$T$2:$T$1112)</f>
        <v/>
      </c>
      <c r="F3" s="13">
        <f>AVERAGEIF(Recipes!$C$2:$C$1112,A3,Recipes!$V$2:$V$1112)</f>
        <v/>
      </c>
      <c r="G3" s="14">
        <f>COUNTIFS(Recipes!$C$2:$C$1112,A3,Recipes!$U$2:$U$1112,"low")/B3</f>
        <v/>
      </c>
    </row>
    <row r="4">
      <c r="A4" s="11" t="inlineStr">
        <is>
          <t>Dessert</t>
        </is>
      </c>
      <c r="B4" s="11">
        <f>COUNTIF(Recipes!$C$2:$C$1112,A4)</f>
        <v/>
      </c>
      <c r="C4" s="12">
        <f>AVERAGEIF(Recipes!$C$2:$C$1112,A4,Recipes!$N$2:$N$1112)</f>
        <v/>
      </c>
      <c r="D4" s="13">
        <f>AVERAGEIF(Recipes!$C$2:$C$1112,A4,Recipes!$S$2:$S$1112)</f>
        <v/>
      </c>
      <c r="E4" s="12">
        <f>AVERAGEIF(Recipes!$C$2:$C$1112,A4,Recipes!$T$2:$T$1112)</f>
        <v/>
      </c>
      <c r="F4" s="13">
        <f>AVERAGEIF(Recipes!$C$2:$C$1112,A4,Recipes!$V$2:$V$1112)</f>
        <v/>
      </c>
      <c r="G4" s="14">
        <f>COUNTIFS(Recipes!$C$2:$C$1112,A4,Recipes!$U$2:$U$1112,"low")/B4</f>
        <v/>
      </c>
    </row>
    <row r="5">
      <c r="A5" s="11" t="inlineStr">
        <is>
          <t>Drinks &amp; Smoothies</t>
        </is>
      </c>
      <c r="B5" s="11">
        <f>COUNTIF(Recipes!$C$2:$C$1112,A5)</f>
        <v/>
      </c>
      <c r="C5" s="12">
        <f>AVERAGEIF(Recipes!$C$2:$C$1112,A5,Recipes!$N$2:$N$1112)</f>
        <v/>
      </c>
      <c r="D5" s="13">
        <f>AVERAGEIF(Recipes!$C$2:$C$1112,A5,Recipes!$S$2:$S$1112)</f>
        <v/>
      </c>
      <c r="E5" s="12">
        <f>AVERAGEIF(Recipes!$C$2:$C$1112,A5,Recipes!$T$2:$T$1112)</f>
        <v/>
      </c>
      <c r="F5" s="13">
        <f>AVERAGEIF(Recipes!$C$2:$C$1112,A5,Recipes!$V$2:$V$1112)</f>
        <v/>
      </c>
      <c r="G5" s="14">
        <f>COUNTIFS(Recipes!$C$2:$C$1112,A5,Recipes!$U$2:$U$1112,"low")/B5</f>
        <v/>
      </c>
    </row>
    <row r="6">
      <c r="A6" s="11" t="inlineStr">
        <is>
          <t>Poultry</t>
        </is>
      </c>
      <c r="B6" s="11">
        <f>COUNTIF(Recipes!$C$2:$C$1112,A6)</f>
        <v/>
      </c>
      <c r="C6" s="12">
        <f>AVERAGEIF(Recipes!$C$2:$C$1112,A6,Recipes!$N$2:$N$1112)</f>
        <v/>
      </c>
      <c r="D6" s="13">
        <f>AVERAGEIF(Recipes!$C$2:$C$1112,A6,Recipes!$S$2:$S$1112)</f>
        <v/>
      </c>
      <c r="E6" s="12">
        <f>AVERAGEIF(Recipes!$C$2:$C$1112,A6,Recipes!$T$2:$T$1112)</f>
        <v/>
      </c>
      <c r="F6" s="13">
        <f>AVERAGEIF(Recipes!$C$2:$C$1112,A6,Recipes!$V$2:$V$1112)</f>
        <v/>
      </c>
      <c r="G6" s="14">
        <f>COUNTIFS(Recipes!$C$2:$C$1112,A6,Recipes!$U$2:$U$1112,"low")/B6</f>
        <v/>
      </c>
    </row>
    <row r="7">
      <c r="A7" s="11" t="inlineStr">
        <is>
          <t>Salad</t>
        </is>
      </c>
      <c r="B7" s="11">
        <f>COUNTIF(Recipes!$C$2:$C$1112,A7)</f>
        <v/>
      </c>
      <c r="C7" s="12">
        <f>AVERAGEIF(Recipes!$C$2:$C$1112,A7,Recipes!$N$2:$N$1112)</f>
        <v/>
      </c>
      <c r="D7" s="13">
        <f>AVERAGEIF(Recipes!$C$2:$C$1112,A7,Recipes!$S$2:$S$1112)</f>
        <v/>
      </c>
      <c r="E7" s="12">
        <f>AVERAGEIF(Recipes!$C$2:$C$1112,A7,Recipes!$T$2:$T$1112)</f>
        <v/>
      </c>
      <c r="F7" s="13">
        <f>AVERAGEIF(Recipes!$C$2:$C$1112,A7,Recipes!$V$2:$V$1112)</f>
        <v/>
      </c>
      <c r="G7" s="14">
        <f>COUNTIFS(Recipes!$C$2:$C$1112,A7,Recipes!$U$2:$U$1112,"low")/B7</f>
        <v/>
      </c>
    </row>
    <row r="8">
      <c r="A8" s="11" t="inlineStr">
        <is>
          <t>Sandwiches &amp; Wraps</t>
        </is>
      </c>
      <c r="B8" s="11">
        <f>COUNTIF(Recipes!$C$2:$C$1112,A8)</f>
        <v/>
      </c>
      <c r="C8" s="12">
        <f>AVERAGEIF(Recipes!$C$2:$C$1112,A8,Recipes!$N$2:$N$1112)</f>
        <v/>
      </c>
      <c r="D8" s="13">
        <f>AVERAGEIF(Recipes!$C$2:$C$1112,A8,Recipes!$S$2:$S$1112)</f>
        <v/>
      </c>
      <c r="E8" s="12">
        <f>AVERAGEIF(Recipes!$C$2:$C$1112,A8,Recipes!$T$2:$T$1112)</f>
        <v/>
      </c>
      <c r="F8" s="13">
        <f>AVERAGEIF(Recipes!$C$2:$C$1112,A8,Recipes!$V$2:$V$1112)</f>
        <v/>
      </c>
      <c r="G8" s="14">
        <f>COUNTIFS(Recipes!$C$2:$C$1112,A8,Recipes!$U$2:$U$1112,"low")/B8</f>
        <v/>
      </c>
    </row>
    <row r="9">
      <c r="A9" s="11" t="inlineStr">
        <is>
          <t>Seafood</t>
        </is>
      </c>
      <c r="B9" s="11">
        <f>COUNTIF(Recipes!$C$2:$C$1112,A9)</f>
        <v/>
      </c>
      <c r="C9" s="12">
        <f>AVERAGEIF(Recipes!$C$2:$C$1112,A9,Recipes!$N$2:$N$1112)</f>
        <v/>
      </c>
      <c r="D9" s="13">
        <f>AVERAGEIF(Recipes!$C$2:$C$1112,A9,Recipes!$S$2:$S$1112)</f>
        <v/>
      </c>
      <c r="E9" s="12">
        <f>AVERAGEIF(Recipes!$C$2:$C$1112,A9,Recipes!$T$2:$T$1112)</f>
        <v/>
      </c>
      <c r="F9" s="13">
        <f>AVERAGEIF(Recipes!$C$2:$C$1112,A9,Recipes!$V$2:$V$1112)</f>
        <v/>
      </c>
      <c r="G9" s="14">
        <f>COUNTIFS(Recipes!$C$2:$C$1112,A9,Recipes!$U$2:$U$1112,"low")/B9</f>
        <v/>
      </c>
    </row>
    <row r="10">
      <c r="A10" s="11" t="inlineStr">
        <is>
          <t>Side Dish</t>
        </is>
      </c>
      <c r="B10" s="11">
        <f>COUNTIF(Recipes!$C$2:$C$1112,A10)</f>
        <v/>
      </c>
      <c r="C10" s="12">
        <f>AVERAGEIF(Recipes!$C$2:$C$1112,A10,Recipes!$N$2:$N$1112)</f>
        <v/>
      </c>
      <c r="D10" s="13">
        <f>AVERAGEIF(Recipes!$C$2:$C$1112,A10,Recipes!$S$2:$S$1112)</f>
        <v/>
      </c>
      <c r="E10" s="12">
        <f>AVERAGEIF(Recipes!$C$2:$C$1112,A10,Recipes!$T$2:$T$1112)</f>
        <v/>
      </c>
      <c r="F10" s="13">
        <f>AVERAGEIF(Recipes!$C$2:$C$1112,A10,Recipes!$V$2:$V$1112)</f>
        <v/>
      </c>
      <c r="G10" s="14">
        <f>COUNTIFS(Recipes!$C$2:$C$1112,A10,Recipes!$U$2:$U$1112,"low")/B10</f>
        <v/>
      </c>
    </row>
    <row r="11">
      <c r="A11" s="11" t="inlineStr">
        <is>
          <t>Snack &amp; Appetizer</t>
        </is>
      </c>
      <c r="B11" s="11">
        <f>COUNTIF(Recipes!$C$2:$C$1112,A11)</f>
        <v/>
      </c>
      <c r="C11" s="12">
        <f>AVERAGEIF(Recipes!$C$2:$C$1112,A11,Recipes!$N$2:$N$1112)</f>
        <v/>
      </c>
      <c r="D11" s="13">
        <f>AVERAGEIF(Recipes!$C$2:$C$1112,A11,Recipes!$S$2:$S$1112)</f>
        <v/>
      </c>
      <c r="E11" s="12">
        <f>AVERAGEIF(Recipes!$C$2:$C$1112,A11,Recipes!$T$2:$T$1112)</f>
        <v/>
      </c>
      <c r="F11" s="13">
        <f>AVERAGEIF(Recipes!$C$2:$C$1112,A11,Recipes!$V$2:$V$1112)</f>
        <v/>
      </c>
      <c r="G11" s="14">
        <f>COUNTIFS(Recipes!$C$2:$C$1112,A11,Recipes!$U$2:$U$1112,"low")/B11</f>
        <v/>
      </c>
    </row>
    <row r="12">
      <c r="A12" s="11" t="inlineStr">
        <is>
          <t>Soup &amp; Stew</t>
        </is>
      </c>
      <c r="B12" s="11">
        <f>COUNTIF(Recipes!$C$2:$C$1112,A12)</f>
        <v/>
      </c>
      <c r="C12" s="12">
        <f>AVERAGEIF(Recipes!$C$2:$C$1112,A12,Recipes!$N$2:$N$1112)</f>
        <v/>
      </c>
      <c r="D12" s="13">
        <f>AVERAGEIF(Recipes!$C$2:$C$1112,A12,Recipes!$S$2:$S$1112)</f>
        <v/>
      </c>
      <c r="E12" s="12">
        <f>AVERAGEIF(Recipes!$C$2:$C$1112,A12,Recipes!$T$2:$T$1112)</f>
        <v/>
      </c>
      <c r="F12" s="13">
        <f>AVERAGEIF(Recipes!$C$2:$C$1112,A12,Recipes!$V$2:$V$1112)</f>
        <v/>
      </c>
      <c r="G12" s="14">
        <f>COUNTIFS(Recipes!$C$2:$C$1112,A12,Recipes!$U$2:$U$1112,"low")/B12</f>
        <v/>
      </c>
    </row>
    <row r="13">
      <c r="A13" s="11" t="inlineStr">
        <is>
          <t>Vegetarian &amp; Vegan</t>
        </is>
      </c>
      <c r="B13" s="11">
        <f>COUNTIF(Recipes!$C$2:$C$1112,A13)</f>
        <v/>
      </c>
      <c r="C13" s="12">
        <f>AVERAGEIF(Recipes!$C$2:$C$1112,A13,Recipes!$N$2:$N$1112)</f>
        <v/>
      </c>
      <c r="D13" s="13">
        <f>AVERAGEIF(Recipes!$C$2:$C$1112,A13,Recipes!$S$2:$S$1112)</f>
        <v/>
      </c>
      <c r="E13" s="12">
        <f>AVERAGEIF(Recipes!$C$2:$C$1112,A13,Recipes!$T$2:$T$1112)</f>
        <v/>
      </c>
      <c r="F13" s="13">
        <f>AVERAGEIF(Recipes!$C$2:$C$1112,A13,Recipes!$V$2:$V$1112)</f>
        <v/>
      </c>
      <c r="G13" s="14">
        <f>COUNTIFS(Recipes!$C$2:$C$1112,A13,Recipes!$U$2:$U$1112,"low")/B13</f>
        <v/>
      </c>
    </row>
    <row r="14">
      <c r="A14" s="15" t="inlineStr">
        <is>
          <t>TOTAL</t>
        </is>
      </c>
      <c r="B14" s="15">
        <f>SUM(B2:B13)</f>
        <v/>
      </c>
      <c r="G14" s="16">
        <f>COUNTIF(Recipes!$U$2:$U$1112,"low")/B14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2026-10-11T18:51:45Z</dcterms:created>
  <dcterms:modified xsi:type="dcterms:W3CDTF">2026-10-11T18:51:46Z</dcterms:modified>
</cp:coreProperties>
</file>