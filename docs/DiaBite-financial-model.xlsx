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Assumptions" sheetId="3" state="visible" r:id="rId3"/>
    <sheet name="Team" sheetId="4" state="visible" r:id="rId4"/>
    <sheet name="Base" sheetId="5" state="visible" r:id="rId5"/>
    <sheet name="Conservative" sheetId="6" state="visible" r:id="rId6"/>
    <sheet name="Upside" sheetId="7" state="visible" r:id="rId7"/>
    <sheet name="Unit Econom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$#,##0.00;($#,##0.00);-"/>
    <numFmt numFmtId="166" formatCode="0.0%;(0.0%);-"/>
    <numFmt numFmtId="167" formatCode="$#,##0.0000;($#,##0.0000);-"/>
    <numFmt numFmtId="168" formatCode="#,##0;(#,##0);-"/>
    <numFmt numFmtId="169" formatCode="$#,##0;($#,##0);-"/>
    <numFmt numFmtId="170" formatCode="#,##0.0;(#,##0.0);-"/>
    <numFmt numFmtId="171" formatCode="0.00&quot;x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7655E"/>
      <sz val="9"/>
    </font>
    <font>
      <name val="Arial"/>
      <b val="1"/>
      <color rgb="001C6B49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1C6B49"/>
      <sz val="10"/>
    </font>
    <font>
      <name val="Arial"/>
      <b val="1"/>
      <color rgb="00000000"/>
      <sz val="10"/>
    </font>
    <font>
      <name val="Arial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AF0EC"/>
      </patternFill>
    </fill>
    <fill>
      <patternFill patternType="solid">
        <fgColor rgb="00E2EFE8"/>
      </patternFill>
    </fill>
  </fills>
  <borders count="2">
    <border>
      <left/>
      <right/>
      <top/>
      <bottom/>
      <diagonal/>
    </border>
    <border>
      <bottom style="thin">
        <color rgb="00D9E1DD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5" fillId="2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8" fontId="6" fillId="2" borderId="0" pivotButton="0" quotePrefix="0" xfId="0"/>
    <xf numFmtId="166" fontId="6" fillId="2" borderId="0" pivotButton="0" quotePrefix="0" xfId="0"/>
    <xf numFmtId="169" fontId="6" fillId="0" borderId="0" pivotButton="0" quotePrefix="0" xfId="0"/>
    <xf numFmtId="168" fontId="4" fillId="3" borderId="1" applyAlignment="1" pivotButton="0" quotePrefix="0" xfId="0">
      <alignment horizontal="center"/>
    </xf>
    <xf numFmtId="169" fontId="5" fillId="0" borderId="0" pivotButton="0" quotePrefix="0" xfId="0"/>
    <xf numFmtId="0" fontId="4" fillId="0" borderId="1" pivotButton="0" quotePrefix="0" xfId="0"/>
    <xf numFmtId="169" fontId="4" fillId="0" borderId="1" pivotButton="0" quotePrefix="0" xfId="0"/>
    <xf numFmtId="168" fontId="4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8" fillId="0" borderId="1" pivotButton="0" quotePrefix="0" xfId="0"/>
    <xf numFmtId="168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8" fontId="9" fillId="0" borderId="0" pivotButton="0" quotePrefix="0" xfId="0"/>
    <xf numFmtId="169" fontId="9" fillId="0" borderId="0" pivotButton="0" quotePrefix="0" xfId="0"/>
    <xf numFmtId="169" fontId="7" fillId="0" borderId="0" pivotButton="0" quotePrefix="0" xfId="0"/>
    <xf numFmtId="168" fontId="7" fillId="0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4" fillId="4" borderId="1" applyAlignment="1" pivotButton="0" quotePrefix="0" xfId="0">
      <alignment horizontal="center"/>
    </xf>
    <xf numFmtId="168" fontId="7" fillId="4" borderId="0" pivotButton="0" quotePrefix="0" xfId="0"/>
    <xf numFmtId="169" fontId="10" fillId="0" borderId="0" pivotButton="0" quotePrefix="0" xfId="0"/>
    <xf numFmtId="169" fontId="10" fillId="4" borderId="0" pivotButton="0" quotePrefix="0" xfId="0"/>
    <xf numFmtId="169" fontId="7" fillId="4" borderId="0" pivotButton="0" quotePrefix="0" xfId="0"/>
    <xf numFmtId="166" fontId="7" fillId="0" borderId="0" pivotButton="0" quotePrefix="0" xfId="0"/>
    <xf numFmtId="166" fontId="7" fillId="4" borderId="0" pivotButton="0" quotePrefix="0" xfId="0"/>
    <xf numFmtId="169" fontId="7" fillId="0" borderId="0" applyAlignment="1" pivotButton="0" quotePrefix="0" xfId="0">
      <alignment horizontal="center"/>
    </xf>
    <xf numFmtId="169" fontId="7" fillId="4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168" fontId="7" fillId="4" borderId="0" applyAlignment="1" pivotButton="0" quotePrefix="0" xfId="0">
      <alignment horizontal="center"/>
    </xf>
    <xf numFmtId="168" fontId="2" fillId="0" borderId="0" pivotButton="0" quotePrefix="0" xfId="0"/>
    <xf numFmtId="0" fontId="0" fillId="3" borderId="1" pivotButton="0" quotePrefix="0" xfId="0"/>
    <xf numFmtId="165" fontId="5" fillId="4" borderId="0" pivotButton="0" quotePrefix="0" xfId="0"/>
    <xf numFmtId="165" fontId="4" fillId="0" borderId="0" pivotButton="0" quotePrefix="0" xfId="0"/>
    <xf numFmtId="165" fontId="4" fillId="4" borderId="0" pivotButton="0" quotePrefix="0" xfId="0"/>
    <xf numFmtId="166" fontId="4" fillId="0" borderId="0" pivotButton="0" quotePrefix="0" xfId="0"/>
    <xf numFmtId="166" fontId="4" fillId="4" borderId="0" pivotButton="0" quotePrefix="0" xfId="0"/>
    <xf numFmtId="170" fontId="5" fillId="0" borderId="0" pivotButton="0" quotePrefix="0" xfId="0"/>
    <xf numFmtId="170" fontId="5" fillId="4" borderId="0" pivotButton="0" quotePrefix="0" xfId="0"/>
    <xf numFmtId="166" fontId="5" fillId="4" borderId="0" pivotButton="0" quotePrefix="0" xfId="0"/>
    <xf numFmtId="169" fontId="4" fillId="0" borderId="0" pivotButton="0" quotePrefix="0" xfId="0"/>
    <xf numFmtId="169" fontId="4" fillId="4" borderId="0" pivotButton="0" quotePrefix="0" xfId="0"/>
    <xf numFmtId="169" fontId="5" fillId="4" borderId="0" pivotButton="0" quotePrefix="0" xfId="0"/>
    <xf numFmtId="171" fontId="5" fillId="0" borderId="0" pivotButton="0" quotePrefix="0" xfId="0"/>
    <xf numFmtId="171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Exit ARR by quarter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'Summary'!C32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'Summary'!$B$33:$B$44</f>
            </numRef>
          </cat>
          <val>
            <numRef>
              <f>'Summary'!$C$33:$C$44</f>
            </numRef>
          </val>
        </ser>
        <ser>
          <idx val="1"/>
          <order val="1"/>
          <tx>
            <strRef>
              <f>'Summary'!D32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'Summary'!$B$33:$B$44</f>
            </numRef>
          </cat>
          <val>
            <numRef>
              <f>'Summary'!$D$33:$D$44</f>
            </numRef>
          </val>
        </ser>
        <ser>
          <idx val="2"/>
          <order val="2"/>
          <tx>
            <strRef>
              <f>'Summary'!E32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'Summary'!$B$33:$B$44</f>
            </numRef>
          </cat>
          <val>
            <numRef>
              <f>'Summary'!$E$33:$E$44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ARR</a:t>
                </a:r>
              </a:p>
            </rich>
          </tx>
        </title>
        <numFmt formatCode="$#,##0,,&quot;M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Cash on hand — base case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'Summary'!C47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'Summary'!$B$48:$B$83</f>
            </numRef>
          </cat>
          <val>
            <numRef>
              <f>'Summary'!$C$48:$C$83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46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6" customWidth="1" min="3" max="3"/>
  </cols>
  <sheetData>
    <row r="2">
      <c r="B2" s="1" t="inlineStr">
        <is>
          <t>DiaBite — Financial Model</t>
        </is>
      </c>
    </row>
    <row r="3">
      <c r="B3" s="2" t="inlineStr">
        <is>
          <t>Three-year operating model · seed round · 20 October 2026</t>
        </is>
      </c>
    </row>
    <row r="5">
      <c r="B5" s="3" t="inlineStr">
        <is>
          <t>How to use this workbook</t>
        </is>
      </c>
      <c r="C5" s="4" t="n"/>
    </row>
    <row r="6" ht="28" customHeight="1">
      <c r="B6" s="5" t="inlineStr">
        <is>
          <t>Edit only the blue cells</t>
        </is>
      </c>
      <c r="C6" s="6" t="inlineStr">
        <is>
          <t>All blue figures on the Assumptions and Team tabs are inputs. Everything in black is a formula and will update.</t>
        </is>
      </c>
    </row>
    <row r="7" ht="28" customHeight="1">
      <c r="B7" s="5" t="inlineStr">
        <is>
          <t>Three live scenarios</t>
        </is>
      </c>
      <c r="C7" s="6" t="inlineStr">
        <is>
          <t>Conservative, Base and Upside each have their own monthly tab, each reading its own column of Assumptions. All three recalculate; none is hardcoded.</t>
        </is>
      </c>
    </row>
    <row r="8" ht="28" customHeight="1">
      <c r="B8" s="5" t="inlineStr">
        <is>
          <t>Yellow fill</t>
        </is>
      </c>
      <c r="C8" s="6" t="inlineStr">
        <is>
          <t>The assumptions that move the outcome most. Change these first.</t>
        </is>
      </c>
    </row>
    <row r="9" ht="28" customHeight="1">
      <c r="B9" s="5" t="inlineStr">
        <is>
          <t>Currency</t>
        </is>
      </c>
      <c r="C9" s="6" t="inlineStr">
        <is>
          <t>US dollars. Costs are incurred in euros and converted at the rate on the Assumptions tab.</t>
        </is>
      </c>
    </row>
    <row r="11">
      <c r="B11" s="3" t="inlineStr">
        <is>
          <t>Tabs</t>
        </is>
      </c>
      <c r="C11" s="4" t="n"/>
    </row>
    <row r="12" ht="28" customHeight="1">
      <c r="B12" s="5" t="inlineStr">
        <is>
          <t>Assumptions</t>
        </is>
      </c>
      <c r="C12" s="6" t="inlineStr">
        <is>
          <t>Every driver, with its provenance. Three scenario columns.</t>
        </is>
      </c>
    </row>
    <row r="13" ht="28" customHeight="1">
      <c r="B13" s="5" t="inlineStr">
        <is>
          <t>Team</t>
        </is>
      </c>
      <c r="C13" s="6" t="inlineStr">
        <is>
          <t>The hiring plan. Loaded monthly cost per role, with start months and raises.</t>
        </is>
      </c>
    </row>
    <row r="14" ht="28" customHeight="1">
      <c r="B14" s="5" t="inlineStr">
        <is>
          <t>Base / Conservative / Upside</t>
        </is>
      </c>
      <c r="C14" s="6" t="inlineStr">
        <is>
          <t>The monthly model, 36 months. Identical structure, different assumption column.</t>
        </is>
      </c>
    </row>
    <row r="15" ht="28" customHeight="1">
      <c r="B15" s="5" t="inlineStr">
        <is>
          <t>Summary</t>
        </is>
      </c>
      <c r="C15" s="6" t="inlineStr">
        <is>
          <t>Annual P&amp;L for all three scenarios, funding, cash, and the charts.</t>
        </is>
      </c>
    </row>
    <row r="16" ht="28" customHeight="1">
      <c r="B16" s="5" t="inlineStr">
        <is>
          <t>Unit Economics</t>
        </is>
      </c>
      <c r="C16" s="6" t="inlineStr">
        <is>
          <t>Per-subscriber economics, LTV, CAC and payback, by scenario.</t>
        </is>
      </c>
    </row>
    <row r="18">
      <c r="B18" s="3" t="inlineStr">
        <is>
          <t>Provenance — read this before trusting a number</t>
        </is>
      </c>
      <c r="C18" s="4" t="n"/>
    </row>
    <row r="19" ht="28" customHeight="1">
      <c r="B19" s="5" t="inlineStr">
        <is>
          <t>MEASURED</t>
        </is>
      </c>
      <c r="C19" s="6" t="inlineStr">
        <is>
          <t>From Azure Cost Management and production traces over 1,941 live agent questions, 27 September to 8 October 2026. The cost of goods is measured, not forecast.</t>
        </is>
      </c>
    </row>
    <row r="20" ht="28" customHeight="1">
      <c r="B20" s="5" t="inlineStr">
        <is>
          <t>SCOPED</t>
        </is>
      </c>
      <c r="C20" s="6" t="inlineStr">
        <is>
          <t>A size in working days from docs/PRD-post-course.md.</t>
        </is>
      </c>
    </row>
    <row r="21" ht="28" customHeight="1">
      <c r="B21" s="5" t="inlineStr">
        <is>
          <t>ASSUMED</t>
        </is>
      </c>
      <c r="C21" s="6" t="inlineStr">
        <is>
          <t>No measurement behind it. THERE ARE NO USERS YET, so every growth figure is assumed. The two that matter most — free-to-paid conversion and monthly churn — are marked in yellow.</t>
        </is>
      </c>
    </row>
    <row r="22" ht="28" customHeight="1">
      <c r="B22" s="5" t="inlineStr">
        <is>
          <t>TO VERIFY</t>
        </is>
      </c>
      <c r="C22" s="6" t="inlineStr">
        <is>
          <t>Market figures recalled from CDC and ADA publications, not yet re-checked against the primary source.</t>
        </is>
      </c>
    </row>
    <row r="24">
      <c r="B24" s="3" t="inlineStr">
        <is>
          <t>What this model deliberately excludes</t>
        </is>
      </c>
      <c r="C24" s="4" t="n"/>
    </row>
    <row r="25" ht="30" customHeight="1">
      <c r="C25" s="6" t="inlineStr">
        <is>
          <t>Photo and voice logging · branded-food licensing · app-store fees (the product is web-first at 2.9%) · corporate taxes · any revenue from payer, employer or clinician-facing channels. Each is a credible expansion; none is underwritten here.</t>
        </is>
      </c>
    </row>
    <row r="27" ht="30" customHeight="1">
      <c r="C27" s="6" t="inlineStr">
        <is>
          <t>Source documents: docs/FINANCIAL_PLAN.md (the narrative), docs/COST-post-course.md and docs/monitoring.md (the measured costs), docs/PRD-post-course.md (the scope).</t>
        </is>
      </c>
    </row>
    <row r="29">
      <c r="B29" s="5" t="inlineStr">
        <is>
          <t>Legend</t>
        </is>
      </c>
    </row>
    <row r="30">
      <c r="B30" s="7" t="inlineStr">
        <is>
          <t>Blue</t>
        </is>
      </c>
      <c r="C30" s="8" t="inlineStr">
        <is>
          <t>hardcoded input — edit these</t>
        </is>
      </c>
    </row>
    <row r="31">
      <c r="B31" s="8" t="inlineStr">
        <is>
          <t>Black</t>
        </is>
      </c>
      <c r="C31" s="8" t="inlineStr">
        <is>
          <t>formula — do not overwrite</t>
        </is>
      </c>
    </row>
    <row r="32">
      <c r="B32" s="9" t="inlineStr">
        <is>
          <t>Green</t>
        </is>
      </c>
      <c r="C32" s="8" t="inlineStr">
        <is>
          <t>link to another tab</t>
        </is>
      </c>
    </row>
    <row r="33">
      <c r="B33" s="10" t="inlineStr">
        <is>
          <t>Yellow fill</t>
        </is>
      </c>
      <c r="C33" s="8" t="inlineStr">
        <is>
          <t>the assumptions that decide the outcome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3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1" t="inlineStr">
        <is>
          <t>DiaBite — Summary</t>
        </is>
      </c>
    </row>
    <row r="3">
      <c r="B3" s="2" t="inlineStr">
        <is>
          <t>All three scenarios are live. Every figure below is a formula over the monthly tabs; change an assumption and this page follows.</t>
        </is>
      </c>
    </row>
    <row r="5">
      <c r="C5" s="36" t="inlineStr">
        <is>
          <t>Conservative</t>
        </is>
      </c>
      <c r="D5" s="37" t="n"/>
      <c r="E5" s="37" t="n"/>
      <c r="F5" s="38" t="inlineStr">
        <is>
          <t>Base</t>
        </is>
      </c>
      <c r="G5" s="39" t="n"/>
      <c r="H5" s="39" t="n"/>
      <c r="I5" s="36" t="inlineStr">
        <is>
          <t>Upside</t>
        </is>
      </c>
      <c r="J5" s="37" t="n"/>
      <c r="K5" s="37" t="n"/>
    </row>
    <row r="6">
      <c r="B6" s="12" t="inlineStr">
        <is>
          <t>Three-year P&amp;L</t>
        </is>
      </c>
      <c r="C6" s="11" t="inlineStr">
        <is>
          <t>Year 1</t>
        </is>
      </c>
      <c r="D6" s="11" t="inlineStr">
        <is>
          <t>Year 2</t>
        </is>
      </c>
      <c r="E6" s="11" t="inlineStr">
        <is>
          <t>Year 3</t>
        </is>
      </c>
      <c r="F6" s="40" t="inlineStr">
        <is>
          <t>Year 1</t>
        </is>
      </c>
      <c r="G6" s="40" t="inlineStr">
        <is>
          <t>Year 2</t>
        </is>
      </c>
      <c r="H6" s="40" t="inlineStr">
        <is>
          <t>Year 3</t>
        </is>
      </c>
      <c r="I6" s="11" t="inlineStr">
        <is>
          <t>Year 1</t>
        </is>
      </c>
      <c r="J6" s="11" t="inlineStr">
        <is>
          <t>Year 2</t>
        </is>
      </c>
      <c r="K6" s="11" t="inlineStr">
        <is>
          <t>Year 3</t>
        </is>
      </c>
    </row>
    <row r="7">
      <c r="B7" s="8" t="inlineStr">
        <is>
          <t>Paying subscribers, exit</t>
        </is>
      </c>
      <c r="C7" s="35">
        <f>'Conservative'!N22</f>
        <v/>
      </c>
      <c r="D7" s="35">
        <f>'Conservative'!Z22</f>
        <v/>
      </c>
      <c r="E7" s="35">
        <f>'Conservative'!AL22</f>
        <v/>
      </c>
      <c r="F7" s="41">
        <f>'Base'!N22</f>
        <v/>
      </c>
      <c r="G7" s="41">
        <f>'Base'!Z22</f>
        <v/>
      </c>
      <c r="H7" s="41">
        <f>'Base'!AL22</f>
        <v/>
      </c>
      <c r="I7" s="35">
        <f>'Upside'!N22</f>
        <v/>
      </c>
      <c r="J7" s="35">
        <f>'Upside'!Z22</f>
        <v/>
      </c>
      <c r="K7" s="35">
        <f>'Upside'!AL22</f>
        <v/>
      </c>
    </row>
    <row r="8">
      <c r="B8" s="8" t="inlineStr">
        <is>
          <t>Free users, exit</t>
        </is>
      </c>
      <c r="C8" s="35">
        <f>'Conservative'!N19</f>
        <v/>
      </c>
      <c r="D8" s="35">
        <f>'Conservative'!Z19</f>
        <v/>
      </c>
      <c r="E8" s="35">
        <f>'Conservative'!AL19</f>
        <v/>
      </c>
      <c r="F8" s="41">
        <f>'Base'!N19</f>
        <v/>
      </c>
      <c r="G8" s="41">
        <f>'Base'!Z19</f>
        <v/>
      </c>
      <c r="H8" s="41">
        <f>'Base'!AL19</f>
        <v/>
      </c>
      <c r="I8" s="35">
        <f>'Upside'!N19</f>
        <v/>
      </c>
      <c r="J8" s="35">
        <f>'Upside'!Z19</f>
        <v/>
      </c>
      <c r="K8" s="35">
        <f>'Upside'!AL19</f>
        <v/>
      </c>
    </row>
    <row r="9">
      <c r="B9" s="5" t="inlineStr">
        <is>
          <t>Exit ARR</t>
        </is>
      </c>
      <c r="C9" s="42">
        <f>'Conservative'!N23</f>
        <v/>
      </c>
      <c r="D9" s="42">
        <f>'Conservative'!Z23</f>
        <v/>
      </c>
      <c r="E9" s="42">
        <f>'Conservative'!AL23</f>
        <v/>
      </c>
      <c r="F9" s="43">
        <f>'Base'!N23</f>
        <v/>
      </c>
      <c r="G9" s="43">
        <f>'Base'!Z23</f>
        <v/>
      </c>
      <c r="H9" s="43">
        <f>'Base'!AL23</f>
        <v/>
      </c>
      <c r="I9" s="42">
        <f>'Upside'!N23</f>
        <v/>
      </c>
      <c r="J9" s="42">
        <f>'Upside'!Z23</f>
        <v/>
      </c>
      <c r="K9" s="42">
        <f>'Upside'!AL23</f>
        <v/>
      </c>
    </row>
    <row r="10">
      <c r="B10" s="5" t="inlineStr">
        <is>
          <t>Revenue</t>
        </is>
      </c>
      <c r="C10" s="42">
        <f>SUM('Conservative'!C26:N26)</f>
        <v/>
      </c>
      <c r="D10" s="42">
        <f>SUM('Conservative'!O26:Z26)</f>
        <v/>
      </c>
      <c r="E10" s="42">
        <f>SUM('Conservative'!AA26:AL26)</f>
        <v/>
      </c>
      <c r="F10" s="43">
        <f>SUM('Base'!C26:N26)</f>
        <v/>
      </c>
      <c r="G10" s="43">
        <f>SUM('Base'!O26:Z26)</f>
        <v/>
      </c>
      <c r="H10" s="43">
        <f>SUM('Base'!AA26:AL26)</f>
        <v/>
      </c>
      <c r="I10" s="42">
        <f>SUM('Upside'!C26:N26)</f>
        <v/>
      </c>
      <c r="J10" s="42">
        <f>SUM('Upside'!O26:Z26)</f>
        <v/>
      </c>
      <c r="K10" s="42">
        <f>SUM('Upside'!AA26:AL26)</f>
        <v/>
      </c>
    </row>
    <row r="11">
      <c r="B11" s="8" t="inlineStr">
        <is>
          <t>Cost of goods</t>
        </is>
      </c>
      <c r="C11" s="34">
        <f>SUM('Conservative'!C32:N32)</f>
        <v/>
      </c>
      <c r="D11" s="34">
        <f>SUM('Conservative'!O32:Z32)</f>
        <v/>
      </c>
      <c r="E11" s="34">
        <f>SUM('Conservative'!AA32:AL32)</f>
        <v/>
      </c>
      <c r="F11" s="44">
        <f>SUM('Base'!C32:N32)</f>
        <v/>
      </c>
      <c r="G11" s="44">
        <f>SUM('Base'!O32:Z32)</f>
        <v/>
      </c>
      <c r="H11" s="44">
        <f>SUM('Base'!AA32:AL32)</f>
        <v/>
      </c>
      <c r="I11" s="34">
        <f>SUM('Upside'!C32:N32)</f>
        <v/>
      </c>
      <c r="J11" s="34">
        <f>SUM('Upside'!O32:Z32)</f>
        <v/>
      </c>
      <c r="K11" s="34">
        <f>SUM('Upside'!AA32:AL32)</f>
        <v/>
      </c>
    </row>
    <row r="12">
      <c r="B12" s="5" t="inlineStr">
        <is>
          <t>Gross profit</t>
        </is>
      </c>
      <c r="C12" s="42">
        <f>SUM('Conservative'!C33:N33)</f>
        <v/>
      </c>
      <c r="D12" s="42">
        <f>SUM('Conservative'!O33:Z33)</f>
        <v/>
      </c>
      <c r="E12" s="42">
        <f>SUM('Conservative'!AA33:AL33)</f>
        <v/>
      </c>
      <c r="F12" s="43">
        <f>SUM('Base'!C33:N33)</f>
        <v/>
      </c>
      <c r="G12" s="43">
        <f>SUM('Base'!O33:Z33)</f>
        <v/>
      </c>
      <c r="H12" s="43">
        <f>SUM('Base'!AA33:AL33)</f>
        <v/>
      </c>
      <c r="I12" s="42">
        <f>SUM('Upside'!C33:N33)</f>
        <v/>
      </c>
      <c r="J12" s="42">
        <f>SUM('Upside'!O33:Z33)</f>
        <v/>
      </c>
      <c r="K12" s="42">
        <f>SUM('Upside'!AA33:AL33)</f>
        <v/>
      </c>
    </row>
    <row r="13">
      <c r="B13" s="8" t="inlineStr">
        <is>
          <t>Gross margin</t>
        </is>
      </c>
      <c r="C13" s="45">
        <f>IFERROR(SUM('Conservative'!C33:N33)/SUM('Conservative'!C26:N26),0)</f>
        <v/>
      </c>
      <c r="D13" s="45">
        <f>IFERROR(SUM('Conservative'!O33:Z33)/SUM('Conservative'!O26:Z26),0)</f>
        <v/>
      </c>
      <c r="E13" s="45">
        <f>IFERROR(SUM('Conservative'!AA33:AL33)/SUM('Conservative'!AA26:AL26),0)</f>
        <v/>
      </c>
      <c r="F13" s="46">
        <f>IFERROR(SUM('Base'!C33:N33)/SUM('Base'!C26:N26),0)</f>
        <v/>
      </c>
      <c r="G13" s="46">
        <f>IFERROR(SUM('Base'!O33:Z33)/SUM('Base'!O26:Z26),0)</f>
        <v/>
      </c>
      <c r="H13" s="46">
        <f>IFERROR(SUM('Base'!AA33:AL33)/SUM('Base'!AA26:AL26),0)</f>
        <v/>
      </c>
      <c r="I13" s="45">
        <f>IFERROR(SUM('Upside'!C33:N33)/SUM('Upside'!C26:N26),0)</f>
        <v/>
      </c>
      <c r="J13" s="45">
        <f>IFERROR(SUM('Upside'!O33:Z33)/SUM('Upside'!O26:Z26),0)</f>
        <v/>
      </c>
      <c r="K13" s="45">
        <f>IFERROR(SUM('Upside'!AA33:AL33)/SUM('Upside'!AA26:AL26),0)</f>
        <v/>
      </c>
    </row>
    <row r="14">
      <c r="B14" s="8" t="inlineStr">
        <is>
          <t>Personnel</t>
        </is>
      </c>
      <c r="C14" s="34">
        <f>SUM('Conservative'!C37:N37)</f>
        <v/>
      </c>
      <c r="D14" s="34">
        <f>SUM('Conservative'!O37:Z37)</f>
        <v/>
      </c>
      <c r="E14" s="34">
        <f>SUM('Conservative'!AA37:AL37)</f>
        <v/>
      </c>
      <c r="F14" s="44">
        <f>SUM('Base'!C37:N37)</f>
        <v/>
      </c>
      <c r="G14" s="44">
        <f>SUM('Base'!O37:Z37)</f>
        <v/>
      </c>
      <c r="H14" s="44">
        <f>SUM('Base'!AA37:AL37)</f>
        <v/>
      </c>
      <c r="I14" s="34">
        <f>SUM('Upside'!C37:N37)</f>
        <v/>
      </c>
      <c r="J14" s="34">
        <f>SUM('Upside'!O37:Z37)</f>
        <v/>
      </c>
      <c r="K14" s="34">
        <f>SUM('Upside'!AA37:AL37)</f>
        <v/>
      </c>
    </row>
    <row r="15">
      <c r="B15" s="8" t="inlineStr">
        <is>
          <t>Sales and marketing</t>
        </is>
      </c>
      <c r="C15" s="34">
        <f>SUM('Conservative'!C38:N38)</f>
        <v/>
      </c>
      <c r="D15" s="34">
        <f>SUM('Conservative'!O38:Z38)</f>
        <v/>
      </c>
      <c r="E15" s="34">
        <f>SUM('Conservative'!AA38:AL38)</f>
        <v/>
      </c>
      <c r="F15" s="44">
        <f>SUM('Base'!C38:N38)</f>
        <v/>
      </c>
      <c r="G15" s="44">
        <f>SUM('Base'!O38:Z38)</f>
        <v/>
      </c>
      <c r="H15" s="44">
        <f>SUM('Base'!AA38:AL38)</f>
        <v/>
      </c>
      <c r="I15" s="34">
        <f>SUM('Upside'!C38:N38)</f>
        <v/>
      </c>
      <c r="J15" s="34">
        <f>SUM('Upside'!O38:Z38)</f>
        <v/>
      </c>
      <c r="K15" s="34">
        <f>SUM('Upside'!AA38:AL38)</f>
        <v/>
      </c>
    </row>
    <row r="16">
      <c r="B16" s="8" t="inlineStr">
        <is>
          <t>G&amp;A, legal, compliance, data</t>
        </is>
      </c>
      <c r="C16" s="34">
        <f>SUM('Conservative'!C39:N39)+SUM('Conservative'!C40:N40)</f>
        <v/>
      </c>
      <c r="D16" s="34">
        <f>SUM('Conservative'!O39:Z39)+SUM('Conservative'!O40:Z40)</f>
        <v/>
      </c>
      <c r="E16" s="34">
        <f>SUM('Conservative'!AA39:AL39)+SUM('Conservative'!AA40:AL40)</f>
        <v/>
      </c>
      <c r="F16" s="44">
        <f>SUM('Base'!C39:N39)+SUM('Base'!C40:N40)</f>
        <v/>
      </c>
      <c r="G16" s="44">
        <f>SUM('Base'!O39:Z39)+SUM('Base'!O40:Z40)</f>
        <v/>
      </c>
      <c r="H16" s="44">
        <f>SUM('Base'!AA39:AL39)+SUM('Base'!AA40:AL40)</f>
        <v/>
      </c>
      <c r="I16" s="34">
        <f>SUM('Upside'!C39:N39)+SUM('Upside'!C40:N40)</f>
        <v/>
      </c>
      <c r="J16" s="34">
        <f>SUM('Upside'!O39:Z39)+SUM('Upside'!O40:Z40)</f>
        <v/>
      </c>
      <c r="K16" s="34">
        <f>SUM('Upside'!AA39:AL39)+SUM('Upside'!AA40:AL40)</f>
        <v/>
      </c>
    </row>
    <row r="17">
      <c r="B17" s="8" t="inlineStr">
        <is>
          <t>Fixed infrastructure</t>
        </is>
      </c>
      <c r="C17" s="34">
        <f>SUM('Conservative'!C41:N41)</f>
        <v/>
      </c>
      <c r="D17" s="34">
        <f>SUM('Conservative'!O41:Z41)</f>
        <v/>
      </c>
      <c r="E17" s="34">
        <f>SUM('Conservative'!AA41:AL41)</f>
        <v/>
      </c>
      <c r="F17" s="44">
        <f>SUM('Base'!C41:N41)</f>
        <v/>
      </c>
      <c r="G17" s="44">
        <f>SUM('Base'!O41:Z41)</f>
        <v/>
      </c>
      <c r="H17" s="44">
        <f>SUM('Base'!AA41:AL41)</f>
        <v/>
      </c>
      <c r="I17" s="34">
        <f>SUM('Upside'!C41:N41)</f>
        <v/>
      </c>
      <c r="J17" s="34">
        <f>SUM('Upside'!O41:Z41)</f>
        <v/>
      </c>
      <c r="K17" s="34">
        <f>SUM('Upside'!AA41:AL41)</f>
        <v/>
      </c>
    </row>
    <row r="18">
      <c r="B18" s="5" t="inlineStr">
        <is>
          <t>Total operating expense</t>
        </is>
      </c>
      <c r="C18" s="42">
        <f>SUM('Conservative'!C42:N42)</f>
        <v/>
      </c>
      <c r="D18" s="42">
        <f>SUM('Conservative'!O42:Z42)</f>
        <v/>
      </c>
      <c r="E18" s="42">
        <f>SUM('Conservative'!AA42:AL42)</f>
        <v/>
      </c>
      <c r="F18" s="43">
        <f>SUM('Base'!C42:N42)</f>
        <v/>
      </c>
      <c r="G18" s="43">
        <f>SUM('Base'!O42:Z42)</f>
        <v/>
      </c>
      <c r="H18" s="43">
        <f>SUM('Base'!AA42:AL42)</f>
        <v/>
      </c>
      <c r="I18" s="42">
        <f>SUM('Upside'!C42:N42)</f>
        <v/>
      </c>
      <c r="J18" s="42">
        <f>SUM('Upside'!O42:Z42)</f>
        <v/>
      </c>
      <c r="K18" s="42">
        <f>SUM('Upside'!AA42:AL42)</f>
        <v/>
      </c>
    </row>
    <row r="19">
      <c r="B19" s="5" t="inlineStr">
        <is>
          <t>EBITDA</t>
        </is>
      </c>
      <c r="C19" s="42">
        <f>SUM('Conservative'!C45:N45)</f>
        <v/>
      </c>
      <c r="D19" s="42">
        <f>SUM('Conservative'!O45:Z45)</f>
        <v/>
      </c>
      <c r="E19" s="42">
        <f>SUM('Conservative'!AA45:AL45)</f>
        <v/>
      </c>
      <c r="F19" s="43">
        <f>SUM('Base'!C45:N45)</f>
        <v/>
      </c>
      <c r="G19" s="43">
        <f>SUM('Base'!O45:Z45)</f>
        <v/>
      </c>
      <c r="H19" s="43">
        <f>SUM('Base'!AA45:AL45)</f>
        <v/>
      </c>
      <c r="I19" s="42">
        <f>SUM('Upside'!C45:N45)</f>
        <v/>
      </c>
      <c r="J19" s="42">
        <f>SUM('Upside'!O45:Z45)</f>
        <v/>
      </c>
      <c r="K19" s="42">
        <f>SUM('Upside'!AA45:AL45)</f>
        <v/>
      </c>
    </row>
    <row r="20">
      <c r="B20" s="8" t="inlineStr">
        <is>
          <t>Headcount, exit</t>
        </is>
      </c>
      <c r="C20" s="35">
        <f>'Conservative'!N49</f>
        <v/>
      </c>
      <c r="D20" s="35">
        <f>'Conservative'!Z49</f>
        <v/>
      </c>
      <c r="E20" s="35">
        <f>'Conservative'!AL49</f>
        <v/>
      </c>
      <c r="F20" s="41">
        <f>'Base'!N49</f>
        <v/>
      </c>
      <c r="G20" s="41">
        <f>'Base'!Z49</f>
        <v/>
      </c>
      <c r="H20" s="41">
        <f>'Base'!AL49</f>
        <v/>
      </c>
      <c r="I20" s="35">
        <f>'Upside'!N49</f>
        <v/>
      </c>
      <c r="J20" s="35">
        <f>'Upside'!Z49</f>
        <v/>
      </c>
      <c r="K20" s="35">
        <f>'Upside'!AL49</f>
        <v/>
      </c>
    </row>
    <row r="22">
      <c r="B22" s="3" t="inlineStr">
        <is>
          <t>Funding and cash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B23" s="8" t="inlineStr">
        <is>
          <t>Seed raised</t>
        </is>
      </c>
      <c r="C23" s="47">
        <f>Assumptions!$C$63</f>
        <v/>
      </c>
      <c r="F23" s="48">
        <f>Assumptions!$D$63</f>
        <v/>
      </c>
      <c r="G23" s="39" t="n"/>
      <c r="H23" s="39" t="n"/>
      <c r="I23" s="47">
        <f>Assumptions!$E$63</f>
        <v/>
      </c>
    </row>
    <row r="24">
      <c r="B24" s="8" t="inlineStr">
        <is>
          <t>Series A raised</t>
        </is>
      </c>
      <c r="C24" s="47">
        <f>Assumptions!$C$65</f>
        <v/>
      </c>
      <c r="F24" s="48">
        <f>Assumptions!$D$65</f>
        <v/>
      </c>
      <c r="G24" s="39" t="n"/>
      <c r="H24" s="39" t="n"/>
      <c r="I24" s="47">
        <f>Assumptions!$E$65</f>
        <v/>
      </c>
    </row>
    <row r="25">
      <c r="B25" s="8" t="inlineStr">
        <is>
          <t>Peak cumulative cash requirement</t>
        </is>
      </c>
      <c r="C25" s="47">
        <f>-MIN('Conservative'!C46:AL46)</f>
        <v/>
      </c>
      <c r="F25" s="48">
        <f>-MIN('Base'!C46:AL46)</f>
        <v/>
      </c>
      <c r="G25" s="39" t="n"/>
      <c r="H25" s="39" t="n"/>
      <c r="I25" s="47">
        <f>-MIN('Upside'!C46:AL46)</f>
        <v/>
      </c>
    </row>
    <row r="26">
      <c r="B26" s="8" t="inlineStr">
        <is>
          <t>Cash at the Series A, before it closes</t>
        </is>
      </c>
      <c r="C26" s="47">
        <f>INDEX('Conservative'!C48:AL48,Assumptions!$C$66-1)</f>
        <v/>
      </c>
      <c r="F26" s="48">
        <f>INDEX('Base'!C48:AL48,Assumptions!$D$66-1)</f>
        <v/>
      </c>
      <c r="G26" s="39" t="n"/>
      <c r="H26" s="39" t="n"/>
      <c r="I26" s="47">
        <f>INDEX('Upside'!C48:AL48,Assumptions!$E$66-1)</f>
        <v/>
      </c>
    </row>
    <row r="27">
      <c r="B27" s="8" t="inlineStr">
        <is>
          <t>First EBITDA-positive month</t>
        </is>
      </c>
      <c r="C27" s="49">
        <f>IF(MIN('Conservative'!C51:AL51)=999,"beyond 36",MIN('Conservative'!C51:AL51))</f>
        <v/>
      </c>
      <c r="F27" s="50">
        <f>IF(MIN('Base'!C51:AL51)=999,"beyond 36",MIN('Base'!C51:AL51))</f>
        <v/>
      </c>
      <c r="G27" s="39" t="n"/>
      <c r="H27" s="39" t="n"/>
      <c r="I27" s="49">
        <f>IF(MIN('Upside'!C51:AL51)=999,"beyond 36",MIN('Upside'!C51:AL51))</f>
        <v/>
      </c>
    </row>
    <row r="28">
      <c r="B28" s="8" t="inlineStr">
        <is>
          <t>Cash on hand, month 36</t>
        </is>
      </c>
      <c r="C28" s="47">
        <f>'Conservative'!AL48</f>
        <v/>
      </c>
      <c r="F28" s="48">
        <f>'Base'!AL48</f>
        <v/>
      </c>
      <c r="G28" s="39" t="n"/>
      <c r="H28" s="39" t="n"/>
      <c r="I28" s="47">
        <f>'Upside'!AL48</f>
        <v/>
      </c>
    </row>
    <row r="31">
      <c r="B31" s="3" t="inlineStr">
        <is>
          <t>Exit ARR by quarter</t>
        </is>
      </c>
      <c r="C31" s="4" t="n"/>
      <c r="D31" s="4" t="n"/>
      <c r="E31" s="4" t="n"/>
    </row>
    <row r="32">
      <c r="B32" s="5" t="inlineStr">
        <is>
          <t>Quarter</t>
        </is>
      </c>
      <c r="C32" s="5" t="inlineStr">
        <is>
          <t>Conservative</t>
        </is>
      </c>
      <c r="D32" s="5" t="inlineStr">
        <is>
          <t>Base</t>
        </is>
      </c>
      <c r="E32" s="5" t="inlineStr">
        <is>
          <t>Upside</t>
        </is>
      </c>
    </row>
    <row r="33">
      <c r="B33" s="8" t="inlineStr">
        <is>
          <t>Q1</t>
        </is>
      </c>
      <c r="C33" s="34">
        <f>'Conservative'!E23</f>
        <v/>
      </c>
      <c r="D33" s="34">
        <f>'Base'!E23</f>
        <v/>
      </c>
      <c r="E33" s="34">
        <f>'Upside'!E23</f>
        <v/>
      </c>
    </row>
    <row r="34">
      <c r="B34" s="8" t="inlineStr">
        <is>
          <t>Q2</t>
        </is>
      </c>
      <c r="C34" s="34">
        <f>'Conservative'!H23</f>
        <v/>
      </c>
      <c r="D34" s="34">
        <f>'Base'!H23</f>
        <v/>
      </c>
      <c r="E34" s="34">
        <f>'Upside'!H23</f>
        <v/>
      </c>
    </row>
    <row r="35">
      <c r="B35" s="8" t="inlineStr">
        <is>
          <t>Q3</t>
        </is>
      </c>
      <c r="C35" s="34">
        <f>'Conservative'!K23</f>
        <v/>
      </c>
      <c r="D35" s="34">
        <f>'Base'!K23</f>
        <v/>
      </c>
      <c r="E35" s="34">
        <f>'Upside'!K23</f>
        <v/>
      </c>
    </row>
    <row r="36">
      <c r="B36" s="8" t="inlineStr">
        <is>
          <t>Q4</t>
        </is>
      </c>
      <c r="C36" s="34">
        <f>'Conservative'!N23</f>
        <v/>
      </c>
      <c r="D36" s="34">
        <f>'Base'!N23</f>
        <v/>
      </c>
      <c r="E36" s="34">
        <f>'Upside'!N23</f>
        <v/>
      </c>
    </row>
    <row r="37">
      <c r="B37" s="8" t="inlineStr">
        <is>
          <t>Q5</t>
        </is>
      </c>
      <c r="C37" s="34">
        <f>'Conservative'!Q23</f>
        <v/>
      </c>
      <c r="D37" s="34">
        <f>'Base'!Q23</f>
        <v/>
      </c>
      <c r="E37" s="34">
        <f>'Upside'!Q23</f>
        <v/>
      </c>
    </row>
    <row r="38">
      <c r="B38" s="8" t="inlineStr">
        <is>
          <t>Q6</t>
        </is>
      </c>
      <c r="C38" s="34">
        <f>'Conservative'!T23</f>
        <v/>
      </c>
      <c r="D38" s="34">
        <f>'Base'!T23</f>
        <v/>
      </c>
      <c r="E38" s="34">
        <f>'Upside'!T23</f>
        <v/>
      </c>
    </row>
    <row r="39">
      <c r="B39" s="8" t="inlineStr">
        <is>
          <t>Q7</t>
        </is>
      </c>
      <c r="C39" s="34">
        <f>'Conservative'!W23</f>
        <v/>
      </c>
      <c r="D39" s="34">
        <f>'Base'!W23</f>
        <v/>
      </c>
      <c r="E39" s="34">
        <f>'Upside'!W23</f>
        <v/>
      </c>
    </row>
    <row r="40">
      <c r="B40" s="8" t="inlineStr">
        <is>
          <t>Q8</t>
        </is>
      </c>
      <c r="C40" s="34">
        <f>'Conservative'!Z23</f>
        <v/>
      </c>
      <c r="D40" s="34">
        <f>'Base'!Z23</f>
        <v/>
      </c>
      <c r="E40" s="34">
        <f>'Upside'!Z23</f>
        <v/>
      </c>
    </row>
    <row r="41">
      <c r="B41" s="8" t="inlineStr">
        <is>
          <t>Q9</t>
        </is>
      </c>
      <c r="C41" s="34">
        <f>'Conservative'!AC23</f>
        <v/>
      </c>
      <c r="D41" s="34">
        <f>'Base'!AC23</f>
        <v/>
      </c>
      <c r="E41" s="34">
        <f>'Upside'!AC23</f>
        <v/>
      </c>
    </row>
    <row r="42">
      <c r="B42" s="8" t="inlineStr">
        <is>
          <t>Q10</t>
        </is>
      </c>
      <c r="C42" s="34">
        <f>'Conservative'!AF23</f>
        <v/>
      </c>
      <c r="D42" s="34">
        <f>'Base'!AF23</f>
        <v/>
      </c>
      <c r="E42" s="34">
        <f>'Upside'!AF23</f>
        <v/>
      </c>
    </row>
    <row r="43">
      <c r="B43" s="8" t="inlineStr">
        <is>
          <t>Q11</t>
        </is>
      </c>
      <c r="C43" s="34">
        <f>'Conservative'!AI23</f>
        <v/>
      </c>
      <c r="D43" s="34">
        <f>'Base'!AI23</f>
        <v/>
      </c>
      <c r="E43" s="34">
        <f>'Upside'!AI23</f>
        <v/>
      </c>
    </row>
    <row r="44">
      <c r="B44" s="8" t="inlineStr">
        <is>
          <t>Q12</t>
        </is>
      </c>
      <c r="C44" s="34">
        <f>'Conservative'!AL23</f>
        <v/>
      </c>
      <c r="D44" s="34">
        <f>'Base'!AL23</f>
        <v/>
      </c>
      <c r="E44" s="34">
        <f>'Upside'!AL23</f>
        <v/>
      </c>
    </row>
    <row r="46">
      <c r="B46" s="3" t="inlineStr">
        <is>
          <t>Cash on hand, base case</t>
        </is>
      </c>
      <c r="C46" s="4" t="n"/>
      <c r="D46" s="4" t="n"/>
      <c r="E46" s="4" t="n"/>
    </row>
    <row r="47">
      <c r="B47" s="5" t="inlineStr">
        <is>
          <t>Month</t>
        </is>
      </c>
      <c r="C47" s="5" t="inlineStr">
        <is>
          <t>Cash</t>
        </is>
      </c>
    </row>
    <row r="48">
      <c r="B48" s="29" t="n">
        <v>1</v>
      </c>
      <c r="C48" s="34">
        <f>Base!C48</f>
        <v/>
      </c>
    </row>
    <row r="49">
      <c r="B49" s="29" t="n">
        <v>2</v>
      </c>
      <c r="C49" s="34">
        <f>Base!D48</f>
        <v/>
      </c>
    </row>
    <row r="50">
      <c r="B50" s="29" t="n">
        <v>3</v>
      </c>
      <c r="C50" s="34">
        <f>Base!E48</f>
        <v/>
      </c>
    </row>
    <row r="51">
      <c r="B51" s="29" t="n">
        <v>4</v>
      </c>
      <c r="C51" s="34">
        <f>Base!F48</f>
        <v/>
      </c>
    </row>
    <row r="52">
      <c r="B52" s="29" t="n">
        <v>5</v>
      </c>
      <c r="C52" s="34">
        <f>Base!G48</f>
        <v/>
      </c>
    </row>
    <row r="53">
      <c r="B53" s="29" t="n">
        <v>6</v>
      </c>
      <c r="C53" s="34">
        <f>Base!H48</f>
        <v/>
      </c>
    </row>
    <row r="54">
      <c r="B54" s="29" t="n">
        <v>7</v>
      </c>
      <c r="C54" s="34">
        <f>Base!I48</f>
        <v/>
      </c>
    </row>
    <row r="55">
      <c r="B55" s="29" t="n">
        <v>8</v>
      </c>
      <c r="C55" s="34">
        <f>Base!J48</f>
        <v/>
      </c>
    </row>
    <row r="56">
      <c r="B56" s="29" t="n">
        <v>9</v>
      </c>
      <c r="C56" s="34">
        <f>Base!K48</f>
        <v/>
      </c>
    </row>
    <row r="57">
      <c r="B57" s="29" t="n">
        <v>10</v>
      </c>
      <c r="C57" s="34">
        <f>Base!L48</f>
        <v/>
      </c>
    </row>
    <row r="58">
      <c r="B58" s="29" t="n">
        <v>11</v>
      </c>
      <c r="C58" s="34">
        <f>Base!M48</f>
        <v/>
      </c>
    </row>
    <row r="59">
      <c r="B59" s="29" t="n">
        <v>12</v>
      </c>
      <c r="C59" s="34">
        <f>Base!N48</f>
        <v/>
      </c>
    </row>
    <row r="60">
      <c r="B60" s="29" t="n">
        <v>13</v>
      </c>
      <c r="C60" s="34">
        <f>Base!O48</f>
        <v/>
      </c>
    </row>
    <row r="61">
      <c r="B61" s="29" t="n">
        <v>14</v>
      </c>
      <c r="C61" s="34">
        <f>Base!P48</f>
        <v/>
      </c>
    </row>
    <row r="62">
      <c r="B62" s="29" t="n">
        <v>15</v>
      </c>
      <c r="C62" s="34">
        <f>Base!Q48</f>
        <v/>
      </c>
    </row>
    <row r="63">
      <c r="B63" s="29" t="n">
        <v>16</v>
      </c>
      <c r="C63" s="34">
        <f>Base!R48</f>
        <v/>
      </c>
    </row>
    <row r="64">
      <c r="B64" s="29" t="n">
        <v>17</v>
      </c>
      <c r="C64" s="34">
        <f>Base!S48</f>
        <v/>
      </c>
    </row>
    <row r="65">
      <c r="B65" s="29" t="n">
        <v>18</v>
      </c>
      <c r="C65" s="34">
        <f>Base!T48</f>
        <v/>
      </c>
    </row>
    <row r="66">
      <c r="B66" s="29" t="n">
        <v>19</v>
      </c>
      <c r="C66" s="34">
        <f>Base!U48</f>
        <v/>
      </c>
    </row>
    <row r="67">
      <c r="B67" s="29" t="n">
        <v>20</v>
      </c>
      <c r="C67" s="34">
        <f>Base!V48</f>
        <v/>
      </c>
    </row>
    <row r="68">
      <c r="B68" s="29" t="n">
        <v>21</v>
      </c>
      <c r="C68" s="34">
        <f>Base!W48</f>
        <v/>
      </c>
    </row>
    <row r="69">
      <c r="B69" s="29" t="n">
        <v>22</v>
      </c>
      <c r="C69" s="34">
        <f>Base!X48</f>
        <v/>
      </c>
    </row>
    <row r="70">
      <c r="B70" s="29" t="n">
        <v>23</v>
      </c>
      <c r="C70" s="34">
        <f>Base!Y48</f>
        <v/>
      </c>
    </row>
    <row r="71">
      <c r="B71" s="29" t="n">
        <v>24</v>
      </c>
      <c r="C71" s="34">
        <f>Base!Z48</f>
        <v/>
      </c>
    </row>
    <row r="72">
      <c r="B72" s="29" t="n">
        <v>25</v>
      </c>
      <c r="C72" s="34">
        <f>Base!AA48</f>
        <v/>
      </c>
    </row>
    <row r="73">
      <c r="B73" s="29" t="n">
        <v>26</v>
      </c>
      <c r="C73" s="34">
        <f>Base!AB48</f>
        <v/>
      </c>
    </row>
    <row r="74">
      <c r="B74" s="29" t="n">
        <v>27</v>
      </c>
      <c r="C74" s="34">
        <f>Base!AC48</f>
        <v/>
      </c>
    </row>
    <row r="75">
      <c r="B75" s="29" t="n">
        <v>28</v>
      </c>
      <c r="C75" s="34">
        <f>Base!AD48</f>
        <v/>
      </c>
    </row>
    <row r="76">
      <c r="B76" s="29" t="n">
        <v>29</v>
      </c>
      <c r="C76" s="34">
        <f>Base!AE48</f>
        <v/>
      </c>
    </row>
    <row r="77">
      <c r="B77" s="29" t="n">
        <v>30</v>
      </c>
      <c r="C77" s="34">
        <f>Base!AF48</f>
        <v/>
      </c>
    </row>
    <row r="78">
      <c r="B78" s="29" t="n">
        <v>31</v>
      </c>
      <c r="C78" s="34">
        <f>Base!AG48</f>
        <v/>
      </c>
    </row>
    <row r="79">
      <c r="B79" s="29" t="n">
        <v>32</v>
      </c>
      <c r="C79" s="34">
        <f>Base!AH48</f>
        <v/>
      </c>
    </row>
    <row r="80">
      <c r="B80" s="29" t="n">
        <v>33</v>
      </c>
      <c r="C80" s="34">
        <f>Base!AI48</f>
        <v/>
      </c>
    </row>
    <row r="81">
      <c r="B81" s="29" t="n">
        <v>34</v>
      </c>
      <c r="C81" s="34">
        <f>Base!AJ48</f>
        <v/>
      </c>
    </row>
    <row r="82">
      <c r="B82" s="29" t="n">
        <v>35</v>
      </c>
      <c r="C82" s="34">
        <f>Base!AK48</f>
        <v/>
      </c>
    </row>
    <row r="83">
      <c r="B83" s="29" t="n">
        <v>36</v>
      </c>
      <c r="C83" s="34">
        <f>Base!AL48</f>
        <v/>
      </c>
    </row>
  </sheetData>
  <mergeCells count="21">
    <mergeCell ref="F5:H5"/>
    <mergeCell ref="I28:K28"/>
    <mergeCell ref="F26:H26"/>
    <mergeCell ref="F23:H23"/>
    <mergeCell ref="I24:K24"/>
    <mergeCell ref="C27:E27"/>
    <mergeCell ref="F28:H28"/>
    <mergeCell ref="C23:E23"/>
    <mergeCell ref="I5:K5"/>
    <mergeCell ref="I23:K23"/>
    <mergeCell ref="F27:H27"/>
    <mergeCell ref="F24:H24"/>
    <mergeCell ref="C28:E28"/>
    <mergeCell ref="F25:H25"/>
    <mergeCell ref="C24:E24"/>
    <mergeCell ref="C5:E5"/>
    <mergeCell ref="I27:K27"/>
    <mergeCell ref="C26:E26"/>
    <mergeCell ref="I26:K26"/>
    <mergeCell ref="C25:E25"/>
    <mergeCell ref="I25:K2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85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4" customWidth="1" min="4" max="4"/>
    <col width="14" customWidth="1" min="5" max="5"/>
    <col width="13" customWidth="1" min="6" max="6"/>
    <col width="62" customWidth="1" min="7" max="7"/>
  </cols>
  <sheetData>
    <row r="2">
      <c r="B2" s="1" t="inlineStr">
        <is>
          <t>DiaBite — Assumptions</t>
        </is>
      </c>
    </row>
    <row r="3">
      <c r="B3" s="2" t="inlineStr">
        <is>
          <t>Blue cells are inputs. Yellow fill marks the assumptions that decide the outcome.</t>
        </is>
      </c>
    </row>
    <row r="5">
      <c r="B5" s="4" t="n"/>
      <c r="C5" s="11" t="inlineStr">
        <is>
          <t>Conservative</t>
        </is>
      </c>
      <c r="D5" s="11" t="inlineStr">
        <is>
          <t>Base</t>
        </is>
      </c>
      <c r="E5" s="11" t="inlineStr">
        <is>
          <t>Upside</t>
        </is>
      </c>
      <c r="F5" s="12" t="inlineStr">
        <is>
          <t>Unit</t>
        </is>
      </c>
      <c r="G5" s="12" t="inlineStr">
        <is>
          <t>Provenance and note</t>
        </is>
      </c>
    </row>
    <row r="7">
      <c r="B7" s="3" t="inlineStr">
        <is>
          <t>Foreign exchange</t>
        </is>
      </c>
      <c r="C7" s="4" t="n"/>
      <c r="D7" s="4" t="n"/>
      <c r="E7" s="4" t="n"/>
      <c r="F7" s="4" t="n"/>
      <c r="G7" s="4" t="n"/>
    </row>
    <row r="8">
      <c r="B8" s="8" t="inlineStr">
        <is>
          <t>EUR to USD</t>
        </is>
      </c>
      <c r="C8" s="13" t="n">
        <v>1.093</v>
      </c>
      <c r="D8" s="13" t="n">
        <v>1.093</v>
      </c>
      <c r="E8" s="13" t="n">
        <v>1.093</v>
      </c>
      <c r="F8" s="2" t="inlineStr">
        <is>
          <t>$ per €</t>
        </is>
      </c>
      <c r="G8" s="2" t="inlineStr">
        <is>
          <t>ASSUMED · Azure bills in euros; the team is EU-based</t>
        </is>
      </c>
    </row>
    <row r="10">
      <c r="B10" s="3" t="inlineStr">
        <is>
          <t>Pricing</t>
        </is>
      </c>
      <c r="C10" s="4" t="n"/>
      <c r="D10" s="4" t="n"/>
      <c r="E10" s="4" t="n"/>
      <c r="F10" s="4" t="n"/>
      <c r="G10" s="4" t="n"/>
    </row>
    <row r="11">
      <c r="B11" s="8" t="inlineStr">
        <is>
          <t>Monthly plan price</t>
        </is>
      </c>
      <c r="C11" s="14" t="n">
        <v>19.99</v>
      </c>
      <c r="D11" s="14" t="n">
        <v>19.99</v>
      </c>
      <c r="E11" s="14" t="n">
        <v>19.99</v>
      </c>
      <c r="F11" s="2" t="inlineStr">
        <is>
          <t>$ / month</t>
        </is>
      </c>
      <c r="G11" s="2" t="inlineStr">
        <is>
          <t>ASSUMED · not tested on a user; set from the sessions and the beta</t>
        </is>
      </c>
    </row>
    <row r="12">
      <c r="B12" s="8" t="inlineStr">
        <is>
          <t>Annual plan price</t>
        </is>
      </c>
      <c r="C12" s="14" t="n">
        <v>149</v>
      </c>
      <c r="D12" s="14" t="n">
        <v>149</v>
      </c>
      <c r="E12" s="14" t="n">
        <v>149</v>
      </c>
      <c r="F12" s="2" t="inlineStr">
        <is>
          <t>$ / year</t>
        </is>
      </c>
      <c r="G12" s="2" t="inlineStr">
        <is>
          <t>ASSUMED · 7.45x the monthly price</t>
        </is>
      </c>
    </row>
    <row r="13">
      <c r="B13" s="8" t="inlineStr">
        <is>
          <t>Monthly plan share of new subscriptions</t>
        </is>
      </c>
      <c r="C13" s="15" t="n">
        <v>0.55</v>
      </c>
      <c r="D13" s="15" t="n">
        <v>0.55</v>
      </c>
      <c r="E13" s="15" t="n">
        <v>0.55</v>
      </c>
      <c r="F13" s="2" t="inlineStr">
        <is>
          <t>% of new</t>
        </is>
      </c>
      <c r="G13" s="2" t="inlineStr">
        <is>
          <t>ASSUMED · the annual plan carries ~2x the lifetime</t>
        </is>
      </c>
    </row>
    <row r="15">
      <c r="B15" s="3" t="inlineStr">
        <is>
          <t>Cost of goods — MEASURED unless stated</t>
        </is>
      </c>
      <c r="C15" s="4" t="n"/>
      <c r="D15" s="4" t="n"/>
      <c r="E15" s="4" t="n"/>
      <c r="F15" s="4" t="n"/>
      <c r="G15" s="4" t="n"/>
    </row>
    <row r="16">
      <c r="B16" s="8" t="inlineStr">
        <is>
          <t>Inference cost per agent question</t>
        </is>
      </c>
      <c r="C16" s="16" t="n">
        <v>0.0028</v>
      </c>
      <c r="D16" s="16" t="n">
        <v>0.0028</v>
      </c>
      <c r="E16" s="16" t="n">
        <v>0.0028</v>
      </c>
      <c r="F16" s="2" t="inlineStr">
        <is>
          <t>$ / question</t>
        </is>
      </c>
      <c r="G16" s="2" t="inlineStr">
        <is>
          <t>MEASURED · 1,941 production questions, 27 Sep–8 Oct 2026, incl. retries, verifier second attempts and eval runs</t>
        </is>
      </c>
    </row>
    <row r="17">
      <c r="B17" s="8" t="inlineStr">
        <is>
          <t>Questions per paying subscriber</t>
        </is>
      </c>
      <c r="C17" s="17" t="n">
        <v>135</v>
      </c>
      <c r="D17" s="17" t="n">
        <v>135</v>
      </c>
      <c r="E17" s="17" t="n">
        <v>135</v>
      </c>
      <c r="F17" s="2" t="inlineStr">
        <is>
          <t>/ month</t>
        </is>
      </c>
      <c r="G17" s="2" t="inlineStr">
        <is>
          <t>ASSUMED · 4.5 a day, from the PRD; instrument from launch</t>
        </is>
      </c>
    </row>
    <row r="18">
      <c r="B18" s="8" t="inlineStr">
        <is>
          <t>Questions per free user (ceiling)</t>
        </is>
      </c>
      <c r="C18" s="17" t="n">
        <v>15</v>
      </c>
      <c r="D18" s="17" t="n">
        <v>15</v>
      </c>
      <c r="E18" s="17" t="n">
        <v>15</v>
      </c>
      <c r="F18" s="2" t="inlineStr">
        <is>
          <t>/ month</t>
        </is>
      </c>
      <c r="G18" s="2" t="inlineStr">
        <is>
          <t>DECIDED · the free tier's hard cost ceiling</t>
        </is>
      </c>
    </row>
    <row r="19">
      <c r="B19" s="8" t="inlineStr">
        <is>
          <t>Hosting per paying subscriber</t>
        </is>
      </c>
      <c r="C19" s="14" t="n">
        <v>0.12</v>
      </c>
      <c r="D19" s="14" t="n">
        <v>0.12</v>
      </c>
      <c r="E19" s="14" t="n">
        <v>0.12</v>
      </c>
      <c r="F19" s="2" t="inlineStr">
        <is>
          <t>$ / month</t>
        </is>
      </c>
      <c r="G19" s="2" t="inlineStr">
        <is>
          <t>ASSUMED · scales off the measured $28/mo fixed base</t>
        </is>
      </c>
    </row>
    <row r="20">
      <c r="B20" s="8" t="inlineStr">
        <is>
          <t>Support per paying subscriber</t>
        </is>
      </c>
      <c r="C20" s="14" t="n">
        <v>0.25</v>
      </c>
      <c r="D20" s="14" t="n">
        <v>0.25</v>
      </c>
      <c r="E20" s="14" t="n">
        <v>0.25</v>
      </c>
      <c r="F20" s="2" t="inlineStr">
        <is>
          <t>$ / month</t>
        </is>
      </c>
      <c r="G20" s="2" t="inlineStr">
        <is>
          <t>ASSUMED</t>
        </is>
      </c>
    </row>
    <row r="21">
      <c r="B21" s="8" t="inlineStr">
        <is>
          <t>Card fee, percentage</t>
        </is>
      </c>
      <c r="C21" s="15" t="n">
        <v>0.029</v>
      </c>
      <c r="D21" s="15" t="n">
        <v>0.029</v>
      </c>
      <c r="E21" s="15" t="n">
        <v>0.029</v>
      </c>
      <c r="F21" s="2" t="inlineStr">
        <is>
          <t>% of charge</t>
        </is>
      </c>
      <c r="G21" s="2" t="inlineStr">
        <is>
          <t>ASSUMED · a Poland-based account charging US cards may pay more</t>
        </is>
      </c>
    </row>
    <row r="22">
      <c r="B22" s="8" t="inlineStr">
        <is>
          <t>Card fee, fixed per charge</t>
        </is>
      </c>
      <c r="C22" s="14" t="n">
        <v>0.3</v>
      </c>
      <c r="D22" s="14" t="n">
        <v>0.3</v>
      </c>
      <c r="E22" s="14" t="n">
        <v>0.3</v>
      </c>
      <c r="F22" s="2" t="inlineStr">
        <is>
          <t>$ / charge</t>
        </is>
      </c>
      <c r="G22" s="2" t="inlineStr">
        <is>
          <t>ASSUMED</t>
        </is>
      </c>
    </row>
    <row r="24">
      <c r="B24" s="3" t="inlineStr">
        <is>
          <t>Launch and acquisition</t>
        </is>
      </c>
      <c r="C24" s="4" t="n"/>
      <c r="D24" s="4" t="n"/>
      <c r="E24" s="4" t="n"/>
      <c r="F24" s="4" t="n"/>
      <c r="G24" s="4" t="n"/>
    </row>
    <row r="25">
      <c r="B25" s="8" t="inlineStr">
        <is>
          <t>Launch month</t>
        </is>
      </c>
      <c r="C25" s="17" t="n">
        <v>6</v>
      </c>
      <c r="D25" s="17" t="n">
        <v>6</v>
      </c>
      <c r="E25" s="17" t="n">
        <v>6</v>
      </c>
      <c r="F25" s="2" t="inlineStr">
        <is>
          <t>month #</t>
        </is>
      </c>
      <c r="G25" s="2" t="inlineStr">
        <is>
          <t>SCOPED · 83–106 working days to a public launch, against the hiring plan</t>
        </is>
      </c>
    </row>
    <row r="26">
      <c r="B26" s="8" t="inlineStr">
        <is>
          <t>Organic signups in the launch month</t>
        </is>
      </c>
      <c r="C26" s="18" t="n">
        <v>300</v>
      </c>
      <c r="D26" s="18" t="n">
        <v>500</v>
      </c>
      <c r="E26" s="18" t="n">
        <v>750</v>
      </c>
      <c r="F26" s="2" t="inlineStr">
        <is>
          <t>/ month</t>
        </is>
      </c>
      <c r="G26" s="2" t="inlineStr">
        <is>
          <t>ASSUMED · clinicians, dietitians, condition communities, search</t>
        </is>
      </c>
    </row>
    <row r="27">
      <c r="B27" s="8" t="inlineStr">
        <is>
          <t>Organic growth</t>
        </is>
      </c>
      <c r="C27" s="15" t="n">
        <v>0.09</v>
      </c>
      <c r="D27" s="15" t="n">
        <v>0.09</v>
      </c>
      <c r="E27" s="15" t="n">
        <v>0.09</v>
      </c>
      <c r="F27" s="2" t="inlineStr">
        <is>
          <t>/ month</t>
        </is>
      </c>
      <c r="G27" s="2" t="inlineStr">
        <is>
          <t>ASSUMED · content compounds</t>
        </is>
      </c>
    </row>
    <row r="28">
      <c r="B28" s="8" t="inlineStr">
        <is>
          <t>Free-user churn</t>
        </is>
      </c>
      <c r="C28" s="15" t="n">
        <v>0.11</v>
      </c>
      <c r="D28" s="15" t="n">
        <v>0.11</v>
      </c>
      <c r="E28" s="15" t="n">
        <v>0.11</v>
      </c>
      <c r="F28" s="2" t="inlineStr">
        <is>
          <t>/ month</t>
        </is>
      </c>
      <c r="G28" s="2" t="inlineStr">
        <is>
          <t>ASSUMED</t>
        </is>
      </c>
    </row>
    <row r="29">
      <c r="B29" s="8" t="inlineStr">
        <is>
          <t>Upgrade from the existing free base</t>
        </is>
      </c>
      <c r="C29" s="19" t="n">
        <v>0.004</v>
      </c>
      <c r="D29" s="19" t="n">
        <v>0.006</v>
      </c>
      <c r="E29" s="19" t="n">
        <v>0.008999999999999999</v>
      </c>
      <c r="F29" s="2" t="inlineStr">
        <is>
          <t>/ month</t>
        </is>
      </c>
      <c r="G29" s="2" t="inlineStr">
        <is>
          <t>ASSUMED - free users who convert later, not at signup. Compounds as the free base grows</t>
        </is>
      </c>
    </row>
    <row r="31">
      <c r="B31" s="3" t="inlineStr">
        <is>
          <t>Cost per registered signup, paid channels</t>
        </is>
      </c>
      <c r="C31" s="4" t="n"/>
      <c r="D31" s="4" t="n"/>
      <c r="E31" s="4" t="n"/>
      <c r="F31" s="4" t="n"/>
      <c r="G31" s="4" t="n"/>
    </row>
    <row r="32">
      <c r="B32" s="8" t="inlineStr">
        <is>
          <t>Year 1</t>
        </is>
      </c>
      <c r="C32" s="14" t="n">
        <v>9.1</v>
      </c>
      <c r="D32" s="14" t="n">
        <v>7</v>
      </c>
      <c r="E32" s="14" t="n">
        <v>5.95</v>
      </c>
      <c r="F32" s="2" t="inlineStr">
        <is>
          <t>$ / signup</t>
        </is>
      </c>
      <c r="G32" s="2" t="inlineStr">
        <is>
          <t>ASSUMED · no channel test has been run</t>
        </is>
      </c>
    </row>
    <row r="33">
      <c r="B33" s="8" t="inlineStr">
        <is>
          <t>Year 2</t>
        </is>
      </c>
      <c r="C33" s="14" t="n">
        <v>7.8</v>
      </c>
      <c r="D33" s="14" t="n">
        <v>6</v>
      </c>
      <c r="E33" s="14" t="n">
        <v>5.1</v>
      </c>
      <c r="F33" s="2" t="inlineStr">
        <is>
          <t>$ / signup</t>
        </is>
      </c>
      <c r="G33" s="2" t="inlineStr">
        <is>
          <t>ASSUMED · improves as creative and targeting mature</t>
        </is>
      </c>
    </row>
    <row r="34">
      <c r="B34" s="8" t="inlineStr">
        <is>
          <t>Year 3</t>
        </is>
      </c>
      <c r="C34" s="14" t="n">
        <v>9.75</v>
      </c>
      <c r="D34" s="14" t="n">
        <v>7.5</v>
      </c>
      <c r="E34" s="14" t="n">
        <v>6.38</v>
      </c>
      <c r="F34" s="2" t="inlineStr">
        <is>
          <t>$ / signup</t>
        </is>
      </c>
      <c r="G34" s="2" t="inlineStr">
        <is>
          <t>ASSUMED · rises as paid channels saturate — modelled, not an oversight</t>
        </is>
      </c>
    </row>
    <row r="36">
      <c r="B36" s="3" t="inlineStr">
        <is>
          <t>Free to paid conversion</t>
        </is>
      </c>
      <c r="C36" s="4" t="n"/>
      <c r="D36" s="4" t="n"/>
      <c r="E36" s="4" t="n"/>
      <c r="F36" s="4" t="n"/>
      <c r="G36" s="4" t="n"/>
    </row>
    <row r="37">
      <c r="B37" s="8" t="inlineStr">
        <is>
          <t>Year 1</t>
        </is>
      </c>
      <c r="C37" s="19" t="n">
        <v>0.042</v>
      </c>
      <c r="D37" s="19" t="n">
        <v>0.06</v>
      </c>
      <c r="E37" s="19" t="n">
        <v>0.075</v>
      </c>
      <c r="F37" s="2" t="inlineStr">
        <is>
          <t>% of signups</t>
        </is>
      </c>
      <c r="G37" s="2" t="inlineStr">
        <is>
          <t>ASSUMED · worth 43% of Year 3 ARR. The first two cohorts replace it</t>
        </is>
      </c>
    </row>
    <row r="38">
      <c r="B38" s="8" t="inlineStr">
        <is>
          <t>Year 2</t>
        </is>
      </c>
      <c r="C38" s="19" t="n">
        <v>0.049</v>
      </c>
      <c r="D38" s="19" t="n">
        <v>0.07000000000000001</v>
      </c>
      <c r="E38" s="19" t="n">
        <v>0.08799999999999999</v>
      </c>
      <c r="F38" s="2" t="inlineStr"/>
      <c r="G38" s="2" t="inlineStr">
        <is>
          <t>ASSUMED</t>
        </is>
      </c>
    </row>
    <row r="39">
      <c r="B39" s="8" t="inlineStr">
        <is>
          <t>Year 3</t>
        </is>
      </c>
      <c r="C39" s="19" t="n">
        <v>0.053</v>
      </c>
      <c r="D39" s="19" t="n">
        <v>0.075</v>
      </c>
      <c r="E39" s="19" t="n">
        <v>0.094</v>
      </c>
      <c r="F39" s="2" t="inlineStr"/>
      <c r="G39" s="2" t="inlineStr">
        <is>
          <t>ASSUMED</t>
        </is>
      </c>
    </row>
    <row r="41">
      <c r="B41" s="3" t="inlineStr">
        <is>
          <t>Monthly-plan churn</t>
        </is>
      </c>
      <c r="C41" s="4" t="n"/>
      <c r="D41" s="4" t="n"/>
      <c r="E41" s="4" t="n"/>
      <c r="F41" s="4" t="n"/>
      <c r="G41" s="4" t="n"/>
    </row>
    <row r="42">
      <c r="B42" s="8" t="inlineStr">
        <is>
          <t>Year 1</t>
        </is>
      </c>
      <c r="C42" s="19" t="n">
        <v>0.1</v>
      </c>
      <c r="D42" s="19" t="n">
        <v>0.08</v>
      </c>
      <c r="E42" s="19" t="n">
        <v>0.066</v>
      </c>
      <c r="F42" s="2" t="inlineStr">
        <is>
          <t>/ month</t>
        </is>
      </c>
      <c r="G42" s="2" t="inlineStr">
        <is>
          <t>ASSUMED · consumer health churns hard; the month-3 cohort curve replaces it</t>
        </is>
      </c>
    </row>
    <row r="43">
      <c r="B43" s="8" t="inlineStr">
        <is>
          <t>Year 2</t>
        </is>
      </c>
      <c r="C43" s="19" t="n">
        <v>0.08500000000000001</v>
      </c>
      <c r="D43" s="19" t="n">
        <v>0.068</v>
      </c>
      <c r="E43" s="19" t="n">
        <v>0.056</v>
      </c>
      <c r="F43" s="2" t="inlineStr"/>
      <c r="G43" s="2" t="inlineStr">
        <is>
          <t>ASSUMED</t>
        </is>
      </c>
    </row>
    <row r="44">
      <c r="B44" s="8" t="inlineStr">
        <is>
          <t>Year 3</t>
        </is>
      </c>
      <c r="C44" s="19" t="n">
        <v>0.073</v>
      </c>
      <c r="D44" s="19" t="n">
        <v>0.058</v>
      </c>
      <c r="E44" s="19" t="n">
        <v>0.048</v>
      </c>
      <c r="F44" s="2" t="inlineStr"/>
      <c r="G44" s="2" t="inlineStr">
        <is>
          <t>ASSUMED</t>
        </is>
      </c>
    </row>
    <row r="46">
      <c r="B46" s="3" t="inlineStr">
        <is>
          <t>Annual-plan renewal</t>
        </is>
      </c>
      <c r="C46" s="4" t="n"/>
      <c r="D46" s="4" t="n"/>
      <c r="E46" s="4" t="n"/>
      <c r="F46" s="4" t="n"/>
      <c r="G46" s="4" t="n"/>
    </row>
    <row r="47">
      <c r="B47" s="8" t="inlineStr">
        <is>
          <t>Year 1</t>
        </is>
      </c>
      <c r="C47" s="15" t="n">
        <v>0.5</v>
      </c>
      <c r="D47" s="15" t="n">
        <v>0.55</v>
      </c>
      <c r="E47" s="15" t="n">
        <v>0.6</v>
      </c>
      <c r="F47" s="2" t="inlineStr">
        <is>
          <t>/ year</t>
        </is>
      </c>
      <c r="G47" s="2" t="inlineStr">
        <is>
          <t>ASSUMED</t>
        </is>
      </c>
    </row>
    <row r="48">
      <c r="B48" s="8" t="inlineStr">
        <is>
          <t>Year 2</t>
        </is>
      </c>
      <c r="C48" s="15" t="n">
        <v>0.54</v>
      </c>
      <c r="D48" s="15" t="n">
        <v>0.6</v>
      </c>
      <c r="E48" s="15" t="n">
        <v>0.66</v>
      </c>
      <c r="F48" s="2" t="inlineStr"/>
      <c r="G48" s="2" t="inlineStr">
        <is>
          <t>ASSUMED</t>
        </is>
      </c>
    </row>
    <row r="49">
      <c r="B49" s="8" t="inlineStr">
        <is>
          <t>Year 3</t>
        </is>
      </c>
      <c r="C49" s="15" t="n">
        <v>0.58</v>
      </c>
      <c r="D49" s="15" t="n">
        <v>0.65</v>
      </c>
      <c r="E49" s="15" t="n">
        <v>0.71</v>
      </c>
      <c r="F49" s="2" t="inlineStr"/>
      <c r="G49" s="2" t="inlineStr">
        <is>
          <t>ASSUMED</t>
        </is>
      </c>
    </row>
    <row r="51">
      <c r="B51" s="3" t="inlineStr">
        <is>
          <t>Fixed infrastructure</t>
        </is>
      </c>
      <c r="C51" s="4" t="n"/>
      <c r="D51" s="4" t="n"/>
      <c r="E51" s="4" t="n"/>
      <c r="F51" s="4" t="n"/>
      <c r="G51" s="4" t="n"/>
    </row>
    <row r="52">
      <c r="B52" s="8" t="inlineStr">
        <is>
          <t>Before launch</t>
        </is>
      </c>
      <c r="C52" s="20" t="n">
        <v>200</v>
      </c>
      <c r="D52" s="20" t="n">
        <v>200</v>
      </c>
      <c r="E52" s="20" t="n">
        <v>200</v>
      </c>
      <c r="F52" s="2" t="inlineStr">
        <is>
          <t>$ / month</t>
        </is>
      </c>
      <c r="G52" s="2" t="inlineStr">
        <is>
          <t>MEASURED · $28 of Azure today plus tooling</t>
        </is>
      </c>
    </row>
    <row r="53">
      <c r="B53" s="8" t="inlineStr">
        <is>
          <t>Year 1</t>
        </is>
      </c>
      <c r="C53" s="20" t="n">
        <v>600</v>
      </c>
      <c r="D53" s="20" t="n">
        <v>600</v>
      </c>
      <c r="E53" s="20" t="n">
        <v>600</v>
      </c>
      <c r="F53" s="2" t="inlineStr"/>
      <c r="G53" s="2" t="inlineStr">
        <is>
          <t>ASSUMED · two replicas, registry, Redis, Supabase Pro, monitoring</t>
        </is>
      </c>
    </row>
    <row r="54">
      <c r="B54" s="8" t="inlineStr">
        <is>
          <t>Year 2</t>
        </is>
      </c>
      <c r="C54" s="20" t="n">
        <v>1800</v>
      </c>
      <c r="D54" s="20" t="n">
        <v>1800</v>
      </c>
      <c r="E54" s="20" t="n">
        <v>1800</v>
      </c>
      <c r="F54" s="2" t="inlineStr"/>
      <c r="G54" s="2" t="inlineStr">
        <is>
          <t>ASSUMED</t>
        </is>
      </c>
    </row>
    <row r="55">
      <c r="B55" s="8" t="inlineStr">
        <is>
          <t>Year 3</t>
        </is>
      </c>
      <c r="C55" s="20" t="n">
        <v>4500</v>
      </c>
      <c r="D55" s="20" t="n">
        <v>4500</v>
      </c>
      <c r="E55" s="20" t="n">
        <v>4500</v>
      </c>
      <c r="F55" s="2" t="inlineStr"/>
      <c r="G55" s="2" t="inlineStr">
        <is>
          <t>ASSUMED</t>
        </is>
      </c>
    </row>
    <row r="57">
      <c r="B57" s="3" t="inlineStr">
        <is>
          <t>G&amp;A — base run rate</t>
        </is>
      </c>
      <c r="C57" s="4" t="n"/>
      <c r="D57" s="4" t="n"/>
      <c r="E57" s="4" t="n"/>
      <c r="F57" s="4" t="n"/>
      <c r="G57" s="4" t="n"/>
    </row>
    <row r="58">
      <c r="B58" s="8" t="inlineStr">
        <is>
          <t>Year 1</t>
        </is>
      </c>
      <c r="C58" s="20" t="n">
        <v>14700</v>
      </c>
      <c r="D58" s="20" t="n">
        <v>14700</v>
      </c>
      <c r="E58" s="20" t="n">
        <v>14700</v>
      </c>
      <c r="F58" s="2" t="inlineStr">
        <is>
          <t>$ / month</t>
        </is>
      </c>
      <c r="G58" s="2" t="inlineStr">
        <is>
          <t>ASSUMED · tools, accounting, admin, insurance, counsel on call, advisory board, food-data verification</t>
        </is>
      </c>
    </row>
    <row r="59">
      <c r="B59" s="8" t="inlineStr">
        <is>
          <t>Year 2</t>
        </is>
      </c>
      <c r="C59" s="20" t="n">
        <v>18500</v>
      </c>
      <c r="D59" s="20" t="n">
        <v>18500</v>
      </c>
      <c r="E59" s="20" t="n">
        <v>18500</v>
      </c>
      <c r="F59" s="2" t="inlineStr"/>
      <c r="G59" s="2" t="inlineStr">
        <is>
          <t>ASSUMED</t>
        </is>
      </c>
    </row>
    <row r="60">
      <c r="B60" s="8" t="inlineStr">
        <is>
          <t>Year 3</t>
        </is>
      </c>
      <c r="C60" s="20" t="n">
        <v>23500</v>
      </c>
      <c r="D60" s="20" t="n">
        <v>23500</v>
      </c>
      <c r="E60" s="20" t="n">
        <v>23500</v>
      </c>
      <c r="F60" s="2" t="inlineStr"/>
      <c r="G60" s="2" t="inlineStr">
        <is>
          <t>ASSUMED</t>
        </is>
      </c>
    </row>
    <row r="62">
      <c r="B62" s="3" t="inlineStr">
        <is>
          <t>Funding</t>
        </is>
      </c>
      <c r="C62" s="4" t="n"/>
      <c r="D62" s="4" t="n"/>
      <c r="E62" s="4" t="n"/>
      <c r="F62" s="4" t="n"/>
      <c r="G62" s="4" t="n"/>
    </row>
    <row r="63">
      <c r="B63" s="8" t="inlineStr">
        <is>
          <t>Seed amount</t>
        </is>
      </c>
      <c r="C63" s="20" t="n">
        <v>3000000</v>
      </c>
      <c r="D63" s="20" t="n">
        <v>3000000</v>
      </c>
      <c r="E63" s="20" t="n">
        <v>3000000</v>
      </c>
      <c r="F63" s="2" t="inlineStr">
        <is>
          <t>$</t>
        </is>
      </c>
      <c r="G63" s="2" t="inlineStr">
        <is>
          <t>The round being raised</t>
        </is>
      </c>
    </row>
    <row r="64">
      <c r="B64" s="8" t="inlineStr">
        <is>
          <t>Seed month</t>
        </is>
      </c>
      <c r="C64" s="17" t="n">
        <v>1</v>
      </c>
      <c r="D64" s="17" t="n">
        <v>1</v>
      </c>
      <c r="E64" s="17" t="n">
        <v>1</v>
      </c>
      <c r="F64" s="2" t="inlineStr">
        <is>
          <t>month #</t>
        </is>
      </c>
      <c r="G64" s="2" t="inlineStr"/>
    </row>
    <row r="65">
      <c r="B65" s="8" t="inlineStr">
        <is>
          <t>Series A amount</t>
        </is>
      </c>
      <c r="C65" s="20" t="n">
        <v>12000000</v>
      </c>
      <c r="D65" s="20" t="n">
        <v>12000000</v>
      </c>
      <c r="E65" s="20" t="n">
        <v>12000000</v>
      </c>
      <c r="F65" s="2" t="inlineStr">
        <is>
          <t>$</t>
        </is>
      </c>
      <c r="G65" s="2" t="inlineStr">
        <is>
          <t>ASSUMED · at ~$2.2M ARR in the base case</t>
        </is>
      </c>
    </row>
    <row r="66">
      <c r="B66" s="8" t="inlineStr">
        <is>
          <t>Series A month</t>
        </is>
      </c>
      <c r="C66" s="17" t="n">
        <v>20</v>
      </c>
      <c r="D66" s="17" t="n">
        <v>20</v>
      </c>
      <c r="E66" s="17" t="n">
        <v>20</v>
      </c>
      <c r="F66" s="2" t="inlineStr">
        <is>
          <t>month #</t>
        </is>
      </c>
      <c r="G66" s="2" t="inlineStr"/>
    </row>
    <row r="68">
      <c r="B68" s="3" t="inlineStr">
        <is>
          <t>Marketing spend by month band</t>
        </is>
      </c>
      <c r="C68" s="4" t="n"/>
      <c r="D68" s="4" t="n"/>
      <c r="E68" s="4" t="n"/>
      <c r="F68" s="4" t="n"/>
      <c r="G68" s="4" t="n"/>
    </row>
    <row r="69">
      <c r="B69" s="5" t="inlineStr">
        <is>
          <t>From month</t>
        </is>
      </c>
      <c r="C69" s="5" t="inlineStr">
        <is>
          <t>Conservative</t>
        </is>
      </c>
      <c r="D69" s="5" t="inlineStr">
        <is>
          <t>Base</t>
        </is>
      </c>
      <c r="E69" s="5" t="inlineStr">
        <is>
          <t>Upside</t>
        </is>
      </c>
      <c r="G69" s="2" t="inlineStr">
        <is>
          <t>ASSUMED · each step is released by a metric, not a date — see the gates in docs/FINANCIAL_PLAN.md §10</t>
        </is>
      </c>
    </row>
    <row r="70">
      <c r="B70" s="17" t="n">
        <v>1</v>
      </c>
      <c r="C70" s="20" t="n">
        <v>0</v>
      </c>
      <c r="D70" s="20" t="n">
        <v>0</v>
      </c>
      <c r="E70" s="20" t="n">
        <v>0</v>
      </c>
    </row>
    <row r="71">
      <c r="B71" s="17" t="n">
        <v>5</v>
      </c>
      <c r="C71" s="20" t="n">
        <v>6000</v>
      </c>
      <c r="D71" s="20" t="n">
        <v>6000</v>
      </c>
      <c r="E71" s="20" t="n">
        <v>8700</v>
      </c>
    </row>
    <row r="72">
      <c r="B72" s="17" t="n">
        <v>6</v>
      </c>
      <c r="C72" s="20" t="n">
        <v>15000</v>
      </c>
      <c r="D72" s="20" t="n">
        <v>15000</v>
      </c>
      <c r="E72" s="20" t="n">
        <v>21750</v>
      </c>
    </row>
    <row r="73">
      <c r="B73" s="17" t="n">
        <v>10</v>
      </c>
      <c r="C73" s="20" t="n">
        <v>40000</v>
      </c>
      <c r="D73" s="20" t="n">
        <v>40000</v>
      </c>
      <c r="E73" s="20" t="n">
        <v>58000</v>
      </c>
    </row>
    <row r="74">
      <c r="B74" s="17" t="n">
        <v>16</v>
      </c>
      <c r="C74" s="20" t="n">
        <v>110000</v>
      </c>
      <c r="D74" s="20" t="n">
        <v>110000</v>
      </c>
      <c r="E74" s="20" t="n">
        <v>159500</v>
      </c>
    </row>
    <row r="75">
      <c r="B75" s="17" t="n">
        <v>25</v>
      </c>
      <c r="C75" s="20" t="n">
        <v>250000</v>
      </c>
      <c r="D75" s="20" t="n">
        <v>250000</v>
      </c>
      <c r="E75" s="20" t="n">
        <v>362500</v>
      </c>
    </row>
    <row r="76">
      <c r="B76" s="17" t="n">
        <v>31</v>
      </c>
      <c r="C76" s="20" t="n">
        <v>400000</v>
      </c>
      <c r="D76" s="20" t="n">
        <v>400000</v>
      </c>
      <c r="E76" s="20" t="n">
        <v>580000</v>
      </c>
    </row>
    <row r="78">
      <c r="B78" s="3" t="inlineStr">
        <is>
          <t>One-off costs</t>
        </is>
      </c>
      <c r="C78" s="4" t="n"/>
      <c r="D78" s="4" t="n"/>
      <c r="E78" s="4" t="n"/>
      <c r="F78" s="4" t="n"/>
      <c r="G78" s="4" t="n"/>
    </row>
    <row r="79">
      <c r="B79" s="5" t="inlineStr">
        <is>
          <t>Month</t>
        </is>
      </c>
      <c r="C79" s="5" t="inlineStr">
        <is>
          <t>Amount</t>
        </is>
      </c>
      <c r="D79" s="5" t="inlineStr">
        <is>
          <t>What</t>
        </is>
      </c>
    </row>
    <row r="80">
      <c r="B80" s="17" t="n">
        <v>2</v>
      </c>
      <c r="C80" s="20" t="n">
        <v>28000</v>
      </c>
      <c r="D80" s="2" t="inlineStr">
        <is>
          <t>Counsel: FDA general-wellness position, incorporation</t>
        </is>
      </c>
    </row>
    <row r="81">
      <c r="B81" s="17" t="n">
        <v>4</v>
      </c>
      <c r="C81" s="20" t="n">
        <v>22000</v>
      </c>
      <c r="D81" s="2" t="inlineStr">
        <is>
          <t>Evaluation dataset annotation</t>
        </is>
      </c>
    </row>
    <row r="82">
      <c r="B82" s="17" t="n">
        <v>6</v>
      </c>
      <c r="C82" s="20" t="n">
        <v>14000</v>
      </c>
      <c r="D82" s="2" t="inlineStr">
        <is>
          <t>Privacy policy, terms, consent wording</t>
        </is>
      </c>
    </row>
    <row r="83">
      <c r="B83" s="17" t="n">
        <v>9</v>
      </c>
      <c r="C83" s="20" t="n">
        <v>9000</v>
      </c>
      <c r="D83" s="2" t="inlineStr">
        <is>
          <t>Accessibility audit and penetration test</t>
        </is>
      </c>
    </row>
    <row r="84">
      <c r="B84" s="17" t="n">
        <v>16</v>
      </c>
      <c r="C84" s="20" t="n">
        <v>40000</v>
      </c>
      <c r="D84" s="2" t="inlineStr">
        <is>
          <t>SOC 2 Type I</t>
        </is>
      </c>
    </row>
    <row r="85">
      <c r="B85" s="17" t="n">
        <v>28</v>
      </c>
      <c r="C85" s="20" t="n">
        <v>30000</v>
      </c>
      <c r="D85" s="2" t="inlineStr">
        <is>
          <t>Second regulatory review as claims widen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35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9" customWidth="1" min="4" max="4"/>
    <col width="10" customWidth="1" min="5" max="5"/>
    <col width="9" customWidth="1" min="6" max="6"/>
    <col width="10" customWidth="1" min="7" max="7"/>
    <col width="9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</cols>
  <sheetData>
    <row r="2">
      <c r="B2" s="1" t="inlineStr">
        <is>
          <t>DiaBite — hiring plan</t>
        </is>
      </c>
    </row>
    <row r="3">
      <c r="B3" s="2" t="inlineStr">
        <is>
          <t>Fully loaded monthly cost: salary, employer contributions, equipment, tooling. The team is EU-based at roughly 60% of US loaded cost, except the US medical director, who is deliberately paid at a US rate. ASSUMED — no offers have been made.</t>
        </is>
      </c>
    </row>
    <row r="4">
      <c r="B4" s="2" t="inlineStr">
        <is>
          <t>999 in an end or raise column means it never happens. Blue cells are inputs.</t>
        </is>
      </c>
    </row>
    <row r="6">
      <c r="B6" s="12" t="inlineStr">
        <is>
          <t>Role</t>
        </is>
      </c>
      <c r="C6" s="11" t="inlineStr">
        <is>
          <t>Start</t>
        </is>
      </c>
      <c r="D6" s="11" t="inlineStr">
        <is>
          <t>End</t>
        </is>
      </c>
      <c r="E6" s="11" t="inlineStr">
        <is>
          <t>Cost</t>
        </is>
      </c>
      <c r="F6" s="11" t="inlineStr">
        <is>
          <t>Raise 1</t>
        </is>
      </c>
      <c r="G6" s="11" t="inlineStr">
        <is>
          <t>Cost 2</t>
        </is>
      </c>
      <c r="H6" s="11" t="inlineStr">
        <is>
          <t>Raise 2</t>
        </is>
      </c>
      <c r="I6" s="11" t="inlineStr">
        <is>
          <t>Cost 3</t>
        </is>
      </c>
      <c r="J6" s="21" t="n">
        <v>1</v>
      </c>
      <c r="K6" s="21" t="n">
        <v>2</v>
      </c>
      <c r="L6" s="21" t="n">
        <v>3</v>
      </c>
      <c r="M6" s="21" t="n">
        <v>4</v>
      </c>
      <c r="N6" s="21" t="n">
        <v>5</v>
      </c>
      <c r="O6" s="21" t="n">
        <v>6</v>
      </c>
      <c r="P6" s="21" t="n">
        <v>7</v>
      </c>
      <c r="Q6" s="21" t="n">
        <v>8</v>
      </c>
      <c r="R6" s="21" t="n">
        <v>9</v>
      </c>
      <c r="S6" s="21" t="n">
        <v>10</v>
      </c>
      <c r="T6" s="21" t="n">
        <v>11</v>
      </c>
      <c r="U6" s="21" t="n">
        <v>12</v>
      </c>
      <c r="V6" s="21" t="n">
        <v>13</v>
      </c>
      <c r="W6" s="21" t="n">
        <v>14</v>
      </c>
      <c r="X6" s="21" t="n">
        <v>15</v>
      </c>
      <c r="Y6" s="21" t="n">
        <v>16</v>
      </c>
      <c r="Z6" s="21" t="n">
        <v>17</v>
      </c>
      <c r="AA6" s="21" t="n">
        <v>18</v>
      </c>
      <c r="AB6" s="21" t="n">
        <v>19</v>
      </c>
      <c r="AC6" s="21" t="n">
        <v>20</v>
      </c>
      <c r="AD6" s="21" t="n">
        <v>21</v>
      </c>
      <c r="AE6" s="21" t="n">
        <v>22</v>
      </c>
      <c r="AF6" s="21" t="n">
        <v>23</v>
      </c>
      <c r="AG6" s="21" t="n">
        <v>24</v>
      </c>
      <c r="AH6" s="21" t="n">
        <v>25</v>
      </c>
      <c r="AI6" s="21" t="n">
        <v>26</v>
      </c>
      <c r="AJ6" s="21" t="n">
        <v>27</v>
      </c>
      <c r="AK6" s="21" t="n">
        <v>28</v>
      </c>
      <c r="AL6" s="21" t="n">
        <v>29</v>
      </c>
      <c r="AM6" s="21" t="n">
        <v>30</v>
      </c>
      <c r="AN6" s="21" t="n">
        <v>31</v>
      </c>
      <c r="AO6" s="21" t="n">
        <v>32</v>
      </c>
      <c r="AP6" s="21" t="n">
        <v>33</v>
      </c>
      <c r="AQ6" s="21" t="n">
        <v>34</v>
      </c>
      <c r="AR6" s="21" t="n">
        <v>35</v>
      </c>
      <c r="AS6" s="21" t="n">
        <v>36</v>
      </c>
    </row>
    <row r="7">
      <c r="B7" s="8" t="inlineStr">
        <is>
          <t>Founder / CEO</t>
        </is>
      </c>
      <c r="C7" s="17" t="n">
        <v>1</v>
      </c>
      <c r="D7" s="17" t="n">
        <v>999</v>
      </c>
      <c r="E7" s="20" t="n">
        <v>7500</v>
      </c>
      <c r="F7" s="17" t="n">
        <v>13</v>
      </c>
      <c r="G7" s="20" t="n">
        <v>9500</v>
      </c>
      <c r="H7" s="17" t="n">
        <v>25</v>
      </c>
      <c r="I7" s="20" t="n">
        <v>11500</v>
      </c>
      <c r="J7" s="22">
        <f>IF(OR(1&lt;$C7,1&gt;$D7),0,IF(1&gt;=$H7,$I7,IF(1&gt;=$F7,$G7,$E7)))</f>
        <v/>
      </c>
      <c r="K7" s="22">
        <f>IF(OR(2&lt;$C7,2&gt;$D7),0,IF(2&gt;=$H7,$I7,IF(2&gt;=$F7,$G7,$E7)))</f>
        <v/>
      </c>
      <c r="L7" s="22">
        <f>IF(OR(3&lt;$C7,3&gt;$D7),0,IF(3&gt;=$H7,$I7,IF(3&gt;=$F7,$G7,$E7)))</f>
        <v/>
      </c>
      <c r="M7" s="22">
        <f>IF(OR(4&lt;$C7,4&gt;$D7),0,IF(4&gt;=$H7,$I7,IF(4&gt;=$F7,$G7,$E7)))</f>
        <v/>
      </c>
      <c r="N7" s="22">
        <f>IF(OR(5&lt;$C7,5&gt;$D7),0,IF(5&gt;=$H7,$I7,IF(5&gt;=$F7,$G7,$E7)))</f>
        <v/>
      </c>
      <c r="O7" s="22">
        <f>IF(OR(6&lt;$C7,6&gt;$D7),0,IF(6&gt;=$H7,$I7,IF(6&gt;=$F7,$G7,$E7)))</f>
        <v/>
      </c>
      <c r="P7" s="22">
        <f>IF(OR(7&lt;$C7,7&gt;$D7),0,IF(7&gt;=$H7,$I7,IF(7&gt;=$F7,$G7,$E7)))</f>
        <v/>
      </c>
      <c r="Q7" s="22">
        <f>IF(OR(8&lt;$C7,8&gt;$D7),0,IF(8&gt;=$H7,$I7,IF(8&gt;=$F7,$G7,$E7)))</f>
        <v/>
      </c>
      <c r="R7" s="22">
        <f>IF(OR(9&lt;$C7,9&gt;$D7),0,IF(9&gt;=$H7,$I7,IF(9&gt;=$F7,$G7,$E7)))</f>
        <v/>
      </c>
      <c r="S7" s="22">
        <f>IF(OR(10&lt;$C7,10&gt;$D7),0,IF(10&gt;=$H7,$I7,IF(10&gt;=$F7,$G7,$E7)))</f>
        <v/>
      </c>
      <c r="T7" s="22">
        <f>IF(OR(11&lt;$C7,11&gt;$D7),0,IF(11&gt;=$H7,$I7,IF(11&gt;=$F7,$G7,$E7)))</f>
        <v/>
      </c>
      <c r="U7" s="22">
        <f>IF(OR(12&lt;$C7,12&gt;$D7),0,IF(12&gt;=$H7,$I7,IF(12&gt;=$F7,$G7,$E7)))</f>
        <v/>
      </c>
      <c r="V7" s="22">
        <f>IF(OR(13&lt;$C7,13&gt;$D7),0,IF(13&gt;=$H7,$I7,IF(13&gt;=$F7,$G7,$E7)))</f>
        <v/>
      </c>
      <c r="W7" s="22">
        <f>IF(OR(14&lt;$C7,14&gt;$D7),0,IF(14&gt;=$H7,$I7,IF(14&gt;=$F7,$G7,$E7)))</f>
        <v/>
      </c>
      <c r="X7" s="22">
        <f>IF(OR(15&lt;$C7,15&gt;$D7),0,IF(15&gt;=$H7,$I7,IF(15&gt;=$F7,$G7,$E7)))</f>
        <v/>
      </c>
      <c r="Y7" s="22">
        <f>IF(OR(16&lt;$C7,16&gt;$D7),0,IF(16&gt;=$H7,$I7,IF(16&gt;=$F7,$G7,$E7)))</f>
        <v/>
      </c>
      <c r="Z7" s="22">
        <f>IF(OR(17&lt;$C7,17&gt;$D7),0,IF(17&gt;=$H7,$I7,IF(17&gt;=$F7,$G7,$E7)))</f>
        <v/>
      </c>
      <c r="AA7" s="22">
        <f>IF(OR(18&lt;$C7,18&gt;$D7),0,IF(18&gt;=$H7,$I7,IF(18&gt;=$F7,$G7,$E7)))</f>
        <v/>
      </c>
      <c r="AB7" s="22">
        <f>IF(OR(19&lt;$C7,19&gt;$D7),0,IF(19&gt;=$H7,$I7,IF(19&gt;=$F7,$G7,$E7)))</f>
        <v/>
      </c>
      <c r="AC7" s="22">
        <f>IF(OR(20&lt;$C7,20&gt;$D7),0,IF(20&gt;=$H7,$I7,IF(20&gt;=$F7,$G7,$E7)))</f>
        <v/>
      </c>
      <c r="AD7" s="22">
        <f>IF(OR(21&lt;$C7,21&gt;$D7),0,IF(21&gt;=$H7,$I7,IF(21&gt;=$F7,$G7,$E7)))</f>
        <v/>
      </c>
      <c r="AE7" s="22">
        <f>IF(OR(22&lt;$C7,22&gt;$D7),0,IF(22&gt;=$H7,$I7,IF(22&gt;=$F7,$G7,$E7)))</f>
        <v/>
      </c>
      <c r="AF7" s="22">
        <f>IF(OR(23&lt;$C7,23&gt;$D7),0,IF(23&gt;=$H7,$I7,IF(23&gt;=$F7,$G7,$E7)))</f>
        <v/>
      </c>
      <c r="AG7" s="22">
        <f>IF(OR(24&lt;$C7,24&gt;$D7),0,IF(24&gt;=$H7,$I7,IF(24&gt;=$F7,$G7,$E7)))</f>
        <v/>
      </c>
      <c r="AH7" s="22">
        <f>IF(OR(25&lt;$C7,25&gt;$D7),0,IF(25&gt;=$H7,$I7,IF(25&gt;=$F7,$G7,$E7)))</f>
        <v/>
      </c>
      <c r="AI7" s="22">
        <f>IF(OR(26&lt;$C7,26&gt;$D7),0,IF(26&gt;=$H7,$I7,IF(26&gt;=$F7,$G7,$E7)))</f>
        <v/>
      </c>
      <c r="AJ7" s="22">
        <f>IF(OR(27&lt;$C7,27&gt;$D7),0,IF(27&gt;=$H7,$I7,IF(27&gt;=$F7,$G7,$E7)))</f>
        <v/>
      </c>
      <c r="AK7" s="22">
        <f>IF(OR(28&lt;$C7,28&gt;$D7),0,IF(28&gt;=$H7,$I7,IF(28&gt;=$F7,$G7,$E7)))</f>
        <v/>
      </c>
      <c r="AL7" s="22">
        <f>IF(OR(29&lt;$C7,29&gt;$D7),0,IF(29&gt;=$H7,$I7,IF(29&gt;=$F7,$G7,$E7)))</f>
        <v/>
      </c>
      <c r="AM7" s="22">
        <f>IF(OR(30&lt;$C7,30&gt;$D7),0,IF(30&gt;=$H7,$I7,IF(30&gt;=$F7,$G7,$E7)))</f>
        <v/>
      </c>
      <c r="AN7" s="22">
        <f>IF(OR(31&lt;$C7,31&gt;$D7),0,IF(31&gt;=$H7,$I7,IF(31&gt;=$F7,$G7,$E7)))</f>
        <v/>
      </c>
      <c r="AO7" s="22">
        <f>IF(OR(32&lt;$C7,32&gt;$D7),0,IF(32&gt;=$H7,$I7,IF(32&gt;=$F7,$G7,$E7)))</f>
        <v/>
      </c>
      <c r="AP7" s="22">
        <f>IF(OR(33&lt;$C7,33&gt;$D7),0,IF(33&gt;=$H7,$I7,IF(33&gt;=$F7,$G7,$E7)))</f>
        <v/>
      </c>
      <c r="AQ7" s="22">
        <f>IF(OR(34&lt;$C7,34&gt;$D7),0,IF(34&gt;=$H7,$I7,IF(34&gt;=$F7,$G7,$E7)))</f>
        <v/>
      </c>
      <c r="AR7" s="22">
        <f>IF(OR(35&lt;$C7,35&gt;$D7),0,IF(35&gt;=$H7,$I7,IF(35&gt;=$F7,$G7,$E7)))</f>
        <v/>
      </c>
      <c r="AS7" s="22">
        <f>IF(OR(36&lt;$C7,36&gt;$D7),0,IF(36&gt;=$H7,$I7,IF(36&gt;=$F7,$G7,$E7)))</f>
        <v/>
      </c>
    </row>
    <row r="8">
      <c r="B8" s="8" t="inlineStr">
        <is>
          <t>AI / agent engineer</t>
        </is>
      </c>
      <c r="C8" s="17" t="n">
        <v>1</v>
      </c>
      <c r="D8" s="17" t="n">
        <v>999</v>
      </c>
      <c r="E8" s="20" t="n">
        <v>10000</v>
      </c>
      <c r="F8" s="17" t="n">
        <v>999</v>
      </c>
      <c r="G8" s="20" t="n">
        <v>10000</v>
      </c>
      <c r="H8" s="17" t="n">
        <v>999</v>
      </c>
      <c r="I8" s="20" t="n">
        <v>10000</v>
      </c>
      <c r="J8" s="22">
        <f>IF(OR(1&lt;$C8,1&gt;$D8),0,IF(1&gt;=$H8,$I8,IF(1&gt;=$F8,$G8,$E8)))</f>
        <v/>
      </c>
      <c r="K8" s="22">
        <f>IF(OR(2&lt;$C8,2&gt;$D8),0,IF(2&gt;=$H8,$I8,IF(2&gt;=$F8,$G8,$E8)))</f>
        <v/>
      </c>
      <c r="L8" s="22">
        <f>IF(OR(3&lt;$C8,3&gt;$D8),0,IF(3&gt;=$H8,$I8,IF(3&gt;=$F8,$G8,$E8)))</f>
        <v/>
      </c>
      <c r="M8" s="22">
        <f>IF(OR(4&lt;$C8,4&gt;$D8),0,IF(4&gt;=$H8,$I8,IF(4&gt;=$F8,$G8,$E8)))</f>
        <v/>
      </c>
      <c r="N8" s="22">
        <f>IF(OR(5&lt;$C8,5&gt;$D8),0,IF(5&gt;=$H8,$I8,IF(5&gt;=$F8,$G8,$E8)))</f>
        <v/>
      </c>
      <c r="O8" s="22">
        <f>IF(OR(6&lt;$C8,6&gt;$D8),0,IF(6&gt;=$H8,$I8,IF(6&gt;=$F8,$G8,$E8)))</f>
        <v/>
      </c>
      <c r="P8" s="22">
        <f>IF(OR(7&lt;$C8,7&gt;$D8),0,IF(7&gt;=$H8,$I8,IF(7&gt;=$F8,$G8,$E8)))</f>
        <v/>
      </c>
      <c r="Q8" s="22">
        <f>IF(OR(8&lt;$C8,8&gt;$D8),0,IF(8&gt;=$H8,$I8,IF(8&gt;=$F8,$G8,$E8)))</f>
        <v/>
      </c>
      <c r="R8" s="22">
        <f>IF(OR(9&lt;$C8,9&gt;$D8),0,IF(9&gt;=$H8,$I8,IF(9&gt;=$F8,$G8,$E8)))</f>
        <v/>
      </c>
      <c r="S8" s="22">
        <f>IF(OR(10&lt;$C8,10&gt;$D8),0,IF(10&gt;=$H8,$I8,IF(10&gt;=$F8,$G8,$E8)))</f>
        <v/>
      </c>
      <c r="T8" s="22">
        <f>IF(OR(11&lt;$C8,11&gt;$D8),0,IF(11&gt;=$H8,$I8,IF(11&gt;=$F8,$G8,$E8)))</f>
        <v/>
      </c>
      <c r="U8" s="22">
        <f>IF(OR(12&lt;$C8,12&gt;$D8),0,IF(12&gt;=$H8,$I8,IF(12&gt;=$F8,$G8,$E8)))</f>
        <v/>
      </c>
      <c r="V8" s="22">
        <f>IF(OR(13&lt;$C8,13&gt;$D8),0,IF(13&gt;=$H8,$I8,IF(13&gt;=$F8,$G8,$E8)))</f>
        <v/>
      </c>
      <c r="W8" s="22">
        <f>IF(OR(14&lt;$C8,14&gt;$D8),0,IF(14&gt;=$H8,$I8,IF(14&gt;=$F8,$G8,$E8)))</f>
        <v/>
      </c>
      <c r="X8" s="22">
        <f>IF(OR(15&lt;$C8,15&gt;$D8),0,IF(15&gt;=$H8,$I8,IF(15&gt;=$F8,$G8,$E8)))</f>
        <v/>
      </c>
      <c r="Y8" s="22">
        <f>IF(OR(16&lt;$C8,16&gt;$D8),0,IF(16&gt;=$H8,$I8,IF(16&gt;=$F8,$G8,$E8)))</f>
        <v/>
      </c>
      <c r="Z8" s="22">
        <f>IF(OR(17&lt;$C8,17&gt;$D8),0,IF(17&gt;=$H8,$I8,IF(17&gt;=$F8,$G8,$E8)))</f>
        <v/>
      </c>
      <c r="AA8" s="22">
        <f>IF(OR(18&lt;$C8,18&gt;$D8),0,IF(18&gt;=$H8,$I8,IF(18&gt;=$F8,$G8,$E8)))</f>
        <v/>
      </c>
      <c r="AB8" s="22">
        <f>IF(OR(19&lt;$C8,19&gt;$D8),0,IF(19&gt;=$H8,$I8,IF(19&gt;=$F8,$G8,$E8)))</f>
        <v/>
      </c>
      <c r="AC8" s="22">
        <f>IF(OR(20&lt;$C8,20&gt;$D8),0,IF(20&gt;=$H8,$I8,IF(20&gt;=$F8,$G8,$E8)))</f>
        <v/>
      </c>
      <c r="AD8" s="22">
        <f>IF(OR(21&lt;$C8,21&gt;$D8),0,IF(21&gt;=$H8,$I8,IF(21&gt;=$F8,$G8,$E8)))</f>
        <v/>
      </c>
      <c r="AE8" s="22">
        <f>IF(OR(22&lt;$C8,22&gt;$D8),0,IF(22&gt;=$H8,$I8,IF(22&gt;=$F8,$G8,$E8)))</f>
        <v/>
      </c>
      <c r="AF8" s="22">
        <f>IF(OR(23&lt;$C8,23&gt;$D8),0,IF(23&gt;=$H8,$I8,IF(23&gt;=$F8,$G8,$E8)))</f>
        <v/>
      </c>
      <c r="AG8" s="22">
        <f>IF(OR(24&lt;$C8,24&gt;$D8),0,IF(24&gt;=$H8,$I8,IF(24&gt;=$F8,$G8,$E8)))</f>
        <v/>
      </c>
      <c r="AH8" s="22">
        <f>IF(OR(25&lt;$C8,25&gt;$D8),0,IF(25&gt;=$H8,$I8,IF(25&gt;=$F8,$G8,$E8)))</f>
        <v/>
      </c>
      <c r="AI8" s="22">
        <f>IF(OR(26&lt;$C8,26&gt;$D8),0,IF(26&gt;=$H8,$I8,IF(26&gt;=$F8,$G8,$E8)))</f>
        <v/>
      </c>
      <c r="AJ8" s="22">
        <f>IF(OR(27&lt;$C8,27&gt;$D8),0,IF(27&gt;=$H8,$I8,IF(27&gt;=$F8,$G8,$E8)))</f>
        <v/>
      </c>
      <c r="AK8" s="22">
        <f>IF(OR(28&lt;$C8,28&gt;$D8),0,IF(28&gt;=$H8,$I8,IF(28&gt;=$F8,$G8,$E8)))</f>
        <v/>
      </c>
      <c r="AL8" s="22">
        <f>IF(OR(29&lt;$C8,29&gt;$D8),0,IF(29&gt;=$H8,$I8,IF(29&gt;=$F8,$G8,$E8)))</f>
        <v/>
      </c>
      <c r="AM8" s="22">
        <f>IF(OR(30&lt;$C8,30&gt;$D8),0,IF(30&gt;=$H8,$I8,IF(30&gt;=$F8,$G8,$E8)))</f>
        <v/>
      </c>
      <c r="AN8" s="22">
        <f>IF(OR(31&lt;$C8,31&gt;$D8),0,IF(31&gt;=$H8,$I8,IF(31&gt;=$F8,$G8,$E8)))</f>
        <v/>
      </c>
      <c r="AO8" s="22">
        <f>IF(OR(32&lt;$C8,32&gt;$D8),0,IF(32&gt;=$H8,$I8,IF(32&gt;=$F8,$G8,$E8)))</f>
        <v/>
      </c>
      <c r="AP8" s="22">
        <f>IF(OR(33&lt;$C8,33&gt;$D8),0,IF(33&gt;=$H8,$I8,IF(33&gt;=$F8,$G8,$E8)))</f>
        <v/>
      </c>
      <c r="AQ8" s="22">
        <f>IF(OR(34&lt;$C8,34&gt;$D8),0,IF(34&gt;=$H8,$I8,IF(34&gt;=$F8,$G8,$E8)))</f>
        <v/>
      </c>
      <c r="AR8" s="22">
        <f>IF(OR(35&lt;$C8,35&gt;$D8),0,IF(35&gt;=$H8,$I8,IF(35&gt;=$F8,$G8,$E8)))</f>
        <v/>
      </c>
      <c r="AS8" s="22">
        <f>IF(OR(36&lt;$C8,36&gt;$D8),0,IF(36&gt;=$H8,$I8,IF(36&gt;=$F8,$G8,$E8)))</f>
        <v/>
      </c>
    </row>
    <row r="9">
      <c r="B9" s="8" t="inlineStr">
        <is>
          <t>Senior full-stack engineer</t>
        </is>
      </c>
      <c r="C9" s="17" t="n">
        <v>1</v>
      </c>
      <c r="D9" s="17" t="n">
        <v>999</v>
      </c>
      <c r="E9" s="20" t="n">
        <v>9200</v>
      </c>
      <c r="F9" s="17" t="n">
        <v>999</v>
      </c>
      <c r="G9" s="20" t="n">
        <v>9200</v>
      </c>
      <c r="H9" s="17" t="n">
        <v>999</v>
      </c>
      <c r="I9" s="20" t="n">
        <v>9200</v>
      </c>
      <c r="J9" s="22">
        <f>IF(OR(1&lt;$C9,1&gt;$D9),0,IF(1&gt;=$H9,$I9,IF(1&gt;=$F9,$G9,$E9)))</f>
        <v/>
      </c>
      <c r="K9" s="22">
        <f>IF(OR(2&lt;$C9,2&gt;$D9),0,IF(2&gt;=$H9,$I9,IF(2&gt;=$F9,$G9,$E9)))</f>
        <v/>
      </c>
      <c r="L9" s="22">
        <f>IF(OR(3&lt;$C9,3&gt;$D9),0,IF(3&gt;=$H9,$I9,IF(3&gt;=$F9,$G9,$E9)))</f>
        <v/>
      </c>
      <c r="M9" s="22">
        <f>IF(OR(4&lt;$C9,4&gt;$D9),0,IF(4&gt;=$H9,$I9,IF(4&gt;=$F9,$G9,$E9)))</f>
        <v/>
      </c>
      <c r="N9" s="22">
        <f>IF(OR(5&lt;$C9,5&gt;$D9),0,IF(5&gt;=$H9,$I9,IF(5&gt;=$F9,$G9,$E9)))</f>
        <v/>
      </c>
      <c r="O9" s="22">
        <f>IF(OR(6&lt;$C9,6&gt;$D9),0,IF(6&gt;=$H9,$I9,IF(6&gt;=$F9,$G9,$E9)))</f>
        <v/>
      </c>
      <c r="P9" s="22">
        <f>IF(OR(7&lt;$C9,7&gt;$D9),0,IF(7&gt;=$H9,$I9,IF(7&gt;=$F9,$G9,$E9)))</f>
        <v/>
      </c>
      <c r="Q9" s="22">
        <f>IF(OR(8&lt;$C9,8&gt;$D9),0,IF(8&gt;=$H9,$I9,IF(8&gt;=$F9,$G9,$E9)))</f>
        <v/>
      </c>
      <c r="R9" s="22">
        <f>IF(OR(9&lt;$C9,9&gt;$D9),0,IF(9&gt;=$H9,$I9,IF(9&gt;=$F9,$G9,$E9)))</f>
        <v/>
      </c>
      <c r="S9" s="22">
        <f>IF(OR(10&lt;$C9,10&gt;$D9),0,IF(10&gt;=$H9,$I9,IF(10&gt;=$F9,$G9,$E9)))</f>
        <v/>
      </c>
      <c r="T9" s="22">
        <f>IF(OR(11&lt;$C9,11&gt;$D9),0,IF(11&gt;=$H9,$I9,IF(11&gt;=$F9,$G9,$E9)))</f>
        <v/>
      </c>
      <c r="U9" s="22">
        <f>IF(OR(12&lt;$C9,12&gt;$D9),0,IF(12&gt;=$H9,$I9,IF(12&gt;=$F9,$G9,$E9)))</f>
        <v/>
      </c>
      <c r="V9" s="22">
        <f>IF(OR(13&lt;$C9,13&gt;$D9),0,IF(13&gt;=$H9,$I9,IF(13&gt;=$F9,$G9,$E9)))</f>
        <v/>
      </c>
      <c r="W9" s="22">
        <f>IF(OR(14&lt;$C9,14&gt;$D9),0,IF(14&gt;=$H9,$I9,IF(14&gt;=$F9,$G9,$E9)))</f>
        <v/>
      </c>
      <c r="X9" s="22">
        <f>IF(OR(15&lt;$C9,15&gt;$D9),0,IF(15&gt;=$H9,$I9,IF(15&gt;=$F9,$G9,$E9)))</f>
        <v/>
      </c>
      <c r="Y9" s="22">
        <f>IF(OR(16&lt;$C9,16&gt;$D9),0,IF(16&gt;=$H9,$I9,IF(16&gt;=$F9,$G9,$E9)))</f>
        <v/>
      </c>
      <c r="Z9" s="22">
        <f>IF(OR(17&lt;$C9,17&gt;$D9),0,IF(17&gt;=$H9,$I9,IF(17&gt;=$F9,$G9,$E9)))</f>
        <v/>
      </c>
      <c r="AA9" s="22">
        <f>IF(OR(18&lt;$C9,18&gt;$D9),0,IF(18&gt;=$H9,$I9,IF(18&gt;=$F9,$G9,$E9)))</f>
        <v/>
      </c>
      <c r="AB9" s="22">
        <f>IF(OR(19&lt;$C9,19&gt;$D9),0,IF(19&gt;=$H9,$I9,IF(19&gt;=$F9,$G9,$E9)))</f>
        <v/>
      </c>
      <c r="AC9" s="22">
        <f>IF(OR(20&lt;$C9,20&gt;$D9),0,IF(20&gt;=$H9,$I9,IF(20&gt;=$F9,$G9,$E9)))</f>
        <v/>
      </c>
      <c r="AD9" s="22">
        <f>IF(OR(21&lt;$C9,21&gt;$D9),0,IF(21&gt;=$H9,$I9,IF(21&gt;=$F9,$G9,$E9)))</f>
        <v/>
      </c>
      <c r="AE9" s="22">
        <f>IF(OR(22&lt;$C9,22&gt;$D9),0,IF(22&gt;=$H9,$I9,IF(22&gt;=$F9,$G9,$E9)))</f>
        <v/>
      </c>
      <c r="AF9" s="22">
        <f>IF(OR(23&lt;$C9,23&gt;$D9),0,IF(23&gt;=$H9,$I9,IF(23&gt;=$F9,$G9,$E9)))</f>
        <v/>
      </c>
      <c r="AG9" s="22">
        <f>IF(OR(24&lt;$C9,24&gt;$D9),0,IF(24&gt;=$H9,$I9,IF(24&gt;=$F9,$G9,$E9)))</f>
        <v/>
      </c>
      <c r="AH9" s="22">
        <f>IF(OR(25&lt;$C9,25&gt;$D9),0,IF(25&gt;=$H9,$I9,IF(25&gt;=$F9,$G9,$E9)))</f>
        <v/>
      </c>
      <c r="AI9" s="22">
        <f>IF(OR(26&lt;$C9,26&gt;$D9),0,IF(26&gt;=$H9,$I9,IF(26&gt;=$F9,$G9,$E9)))</f>
        <v/>
      </c>
      <c r="AJ9" s="22">
        <f>IF(OR(27&lt;$C9,27&gt;$D9),0,IF(27&gt;=$H9,$I9,IF(27&gt;=$F9,$G9,$E9)))</f>
        <v/>
      </c>
      <c r="AK9" s="22">
        <f>IF(OR(28&lt;$C9,28&gt;$D9),0,IF(28&gt;=$H9,$I9,IF(28&gt;=$F9,$G9,$E9)))</f>
        <v/>
      </c>
      <c r="AL9" s="22">
        <f>IF(OR(29&lt;$C9,29&gt;$D9),0,IF(29&gt;=$H9,$I9,IF(29&gt;=$F9,$G9,$E9)))</f>
        <v/>
      </c>
      <c r="AM9" s="22">
        <f>IF(OR(30&lt;$C9,30&gt;$D9),0,IF(30&gt;=$H9,$I9,IF(30&gt;=$F9,$G9,$E9)))</f>
        <v/>
      </c>
      <c r="AN9" s="22">
        <f>IF(OR(31&lt;$C9,31&gt;$D9),0,IF(31&gt;=$H9,$I9,IF(31&gt;=$F9,$G9,$E9)))</f>
        <v/>
      </c>
      <c r="AO9" s="22">
        <f>IF(OR(32&lt;$C9,32&gt;$D9),0,IF(32&gt;=$H9,$I9,IF(32&gt;=$F9,$G9,$E9)))</f>
        <v/>
      </c>
      <c r="AP9" s="22">
        <f>IF(OR(33&lt;$C9,33&gt;$D9),0,IF(33&gt;=$H9,$I9,IF(33&gt;=$F9,$G9,$E9)))</f>
        <v/>
      </c>
      <c r="AQ9" s="22">
        <f>IF(OR(34&lt;$C9,34&gt;$D9),0,IF(34&gt;=$H9,$I9,IF(34&gt;=$F9,$G9,$E9)))</f>
        <v/>
      </c>
      <c r="AR9" s="22">
        <f>IF(OR(35&lt;$C9,35&gt;$D9),0,IF(35&gt;=$H9,$I9,IF(35&gt;=$F9,$G9,$E9)))</f>
        <v/>
      </c>
      <c r="AS9" s="22">
        <f>IF(OR(36&lt;$C9,36&gt;$D9),0,IF(36&gt;=$H9,$I9,IF(36&gt;=$F9,$G9,$E9)))</f>
        <v/>
      </c>
    </row>
    <row r="10">
      <c r="B10" s="8" t="inlineStr">
        <is>
          <t>Registered Dietitian (PT to FT)</t>
        </is>
      </c>
      <c r="C10" s="17" t="n">
        <v>1</v>
      </c>
      <c r="D10" s="17" t="n">
        <v>999</v>
      </c>
      <c r="E10" s="20" t="n">
        <v>3800</v>
      </c>
      <c r="F10" s="17" t="n">
        <v>10</v>
      </c>
      <c r="G10" s="20" t="n">
        <v>6700</v>
      </c>
      <c r="H10" s="17" t="n">
        <v>999</v>
      </c>
      <c r="I10" s="20" t="n">
        <v>6700</v>
      </c>
      <c r="J10" s="22">
        <f>IF(OR(1&lt;$C10,1&gt;$D10),0,IF(1&gt;=$H10,$I10,IF(1&gt;=$F10,$G10,$E10)))</f>
        <v/>
      </c>
      <c r="K10" s="22">
        <f>IF(OR(2&lt;$C10,2&gt;$D10),0,IF(2&gt;=$H10,$I10,IF(2&gt;=$F10,$G10,$E10)))</f>
        <v/>
      </c>
      <c r="L10" s="22">
        <f>IF(OR(3&lt;$C10,3&gt;$D10),0,IF(3&gt;=$H10,$I10,IF(3&gt;=$F10,$G10,$E10)))</f>
        <v/>
      </c>
      <c r="M10" s="22">
        <f>IF(OR(4&lt;$C10,4&gt;$D10),0,IF(4&gt;=$H10,$I10,IF(4&gt;=$F10,$G10,$E10)))</f>
        <v/>
      </c>
      <c r="N10" s="22">
        <f>IF(OR(5&lt;$C10,5&gt;$D10),0,IF(5&gt;=$H10,$I10,IF(5&gt;=$F10,$G10,$E10)))</f>
        <v/>
      </c>
      <c r="O10" s="22">
        <f>IF(OR(6&lt;$C10,6&gt;$D10),0,IF(6&gt;=$H10,$I10,IF(6&gt;=$F10,$G10,$E10)))</f>
        <v/>
      </c>
      <c r="P10" s="22">
        <f>IF(OR(7&lt;$C10,7&gt;$D10),0,IF(7&gt;=$H10,$I10,IF(7&gt;=$F10,$G10,$E10)))</f>
        <v/>
      </c>
      <c r="Q10" s="22">
        <f>IF(OR(8&lt;$C10,8&gt;$D10),0,IF(8&gt;=$H10,$I10,IF(8&gt;=$F10,$G10,$E10)))</f>
        <v/>
      </c>
      <c r="R10" s="22">
        <f>IF(OR(9&lt;$C10,9&gt;$D10),0,IF(9&gt;=$H10,$I10,IF(9&gt;=$F10,$G10,$E10)))</f>
        <v/>
      </c>
      <c r="S10" s="22">
        <f>IF(OR(10&lt;$C10,10&gt;$D10),0,IF(10&gt;=$H10,$I10,IF(10&gt;=$F10,$G10,$E10)))</f>
        <v/>
      </c>
      <c r="T10" s="22">
        <f>IF(OR(11&lt;$C10,11&gt;$D10),0,IF(11&gt;=$H10,$I10,IF(11&gt;=$F10,$G10,$E10)))</f>
        <v/>
      </c>
      <c r="U10" s="22">
        <f>IF(OR(12&lt;$C10,12&gt;$D10),0,IF(12&gt;=$H10,$I10,IF(12&gt;=$F10,$G10,$E10)))</f>
        <v/>
      </c>
      <c r="V10" s="22">
        <f>IF(OR(13&lt;$C10,13&gt;$D10),0,IF(13&gt;=$H10,$I10,IF(13&gt;=$F10,$G10,$E10)))</f>
        <v/>
      </c>
      <c r="W10" s="22">
        <f>IF(OR(14&lt;$C10,14&gt;$D10),0,IF(14&gt;=$H10,$I10,IF(14&gt;=$F10,$G10,$E10)))</f>
        <v/>
      </c>
      <c r="X10" s="22">
        <f>IF(OR(15&lt;$C10,15&gt;$D10),0,IF(15&gt;=$H10,$I10,IF(15&gt;=$F10,$G10,$E10)))</f>
        <v/>
      </c>
      <c r="Y10" s="22">
        <f>IF(OR(16&lt;$C10,16&gt;$D10),0,IF(16&gt;=$H10,$I10,IF(16&gt;=$F10,$G10,$E10)))</f>
        <v/>
      </c>
      <c r="Z10" s="22">
        <f>IF(OR(17&lt;$C10,17&gt;$D10),0,IF(17&gt;=$H10,$I10,IF(17&gt;=$F10,$G10,$E10)))</f>
        <v/>
      </c>
      <c r="AA10" s="22">
        <f>IF(OR(18&lt;$C10,18&gt;$D10),0,IF(18&gt;=$H10,$I10,IF(18&gt;=$F10,$G10,$E10)))</f>
        <v/>
      </c>
      <c r="AB10" s="22">
        <f>IF(OR(19&lt;$C10,19&gt;$D10),0,IF(19&gt;=$H10,$I10,IF(19&gt;=$F10,$G10,$E10)))</f>
        <v/>
      </c>
      <c r="AC10" s="22">
        <f>IF(OR(20&lt;$C10,20&gt;$D10),0,IF(20&gt;=$H10,$I10,IF(20&gt;=$F10,$G10,$E10)))</f>
        <v/>
      </c>
      <c r="AD10" s="22">
        <f>IF(OR(21&lt;$C10,21&gt;$D10),0,IF(21&gt;=$H10,$I10,IF(21&gt;=$F10,$G10,$E10)))</f>
        <v/>
      </c>
      <c r="AE10" s="22">
        <f>IF(OR(22&lt;$C10,22&gt;$D10),0,IF(22&gt;=$H10,$I10,IF(22&gt;=$F10,$G10,$E10)))</f>
        <v/>
      </c>
      <c r="AF10" s="22">
        <f>IF(OR(23&lt;$C10,23&gt;$D10),0,IF(23&gt;=$H10,$I10,IF(23&gt;=$F10,$G10,$E10)))</f>
        <v/>
      </c>
      <c r="AG10" s="22">
        <f>IF(OR(24&lt;$C10,24&gt;$D10),0,IF(24&gt;=$H10,$I10,IF(24&gt;=$F10,$G10,$E10)))</f>
        <v/>
      </c>
      <c r="AH10" s="22">
        <f>IF(OR(25&lt;$C10,25&gt;$D10),0,IF(25&gt;=$H10,$I10,IF(25&gt;=$F10,$G10,$E10)))</f>
        <v/>
      </c>
      <c r="AI10" s="22">
        <f>IF(OR(26&lt;$C10,26&gt;$D10),0,IF(26&gt;=$H10,$I10,IF(26&gt;=$F10,$G10,$E10)))</f>
        <v/>
      </c>
      <c r="AJ10" s="22">
        <f>IF(OR(27&lt;$C10,27&gt;$D10),0,IF(27&gt;=$H10,$I10,IF(27&gt;=$F10,$G10,$E10)))</f>
        <v/>
      </c>
      <c r="AK10" s="22">
        <f>IF(OR(28&lt;$C10,28&gt;$D10),0,IF(28&gt;=$H10,$I10,IF(28&gt;=$F10,$G10,$E10)))</f>
        <v/>
      </c>
      <c r="AL10" s="22">
        <f>IF(OR(29&lt;$C10,29&gt;$D10),0,IF(29&gt;=$H10,$I10,IF(29&gt;=$F10,$G10,$E10)))</f>
        <v/>
      </c>
      <c r="AM10" s="22">
        <f>IF(OR(30&lt;$C10,30&gt;$D10),0,IF(30&gt;=$H10,$I10,IF(30&gt;=$F10,$G10,$E10)))</f>
        <v/>
      </c>
      <c r="AN10" s="22">
        <f>IF(OR(31&lt;$C10,31&gt;$D10),0,IF(31&gt;=$H10,$I10,IF(31&gt;=$F10,$G10,$E10)))</f>
        <v/>
      </c>
      <c r="AO10" s="22">
        <f>IF(OR(32&lt;$C10,32&gt;$D10),0,IF(32&gt;=$H10,$I10,IF(32&gt;=$F10,$G10,$E10)))</f>
        <v/>
      </c>
      <c r="AP10" s="22">
        <f>IF(OR(33&lt;$C10,33&gt;$D10),0,IF(33&gt;=$H10,$I10,IF(33&gt;=$F10,$G10,$E10)))</f>
        <v/>
      </c>
      <c r="AQ10" s="22">
        <f>IF(OR(34&lt;$C10,34&gt;$D10),0,IF(34&gt;=$H10,$I10,IF(34&gt;=$F10,$G10,$E10)))</f>
        <v/>
      </c>
      <c r="AR10" s="22">
        <f>IF(OR(35&lt;$C10,35&gt;$D10),0,IF(35&gt;=$H10,$I10,IF(35&gt;=$F10,$G10,$E10)))</f>
        <v/>
      </c>
      <c r="AS10" s="22">
        <f>IF(OR(36&lt;$C10,36&gt;$D10),0,IF(36&gt;=$H10,$I10,IF(36&gt;=$F10,$G10,$E10)))</f>
        <v/>
      </c>
    </row>
    <row r="11">
      <c r="B11" s="8" t="inlineStr">
        <is>
          <t>Product designer (contract to FT)</t>
        </is>
      </c>
      <c r="C11" s="17" t="n">
        <v>2</v>
      </c>
      <c r="D11" s="17" t="n">
        <v>999</v>
      </c>
      <c r="E11" s="20" t="n">
        <v>5500</v>
      </c>
      <c r="F11" s="17" t="n">
        <v>12</v>
      </c>
      <c r="G11" s="20" t="n">
        <v>6300</v>
      </c>
      <c r="H11" s="17" t="n">
        <v>999</v>
      </c>
      <c r="I11" s="20" t="n">
        <v>6300</v>
      </c>
      <c r="J11" s="22">
        <f>IF(OR(1&lt;$C11,1&gt;$D11),0,IF(1&gt;=$H11,$I11,IF(1&gt;=$F11,$G11,$E11)))</f>
        <v/>
      </c>
      <c r="K11" s="22">
        <f>IF(OR(2&lt;$C11,2&gt;$D11),0,IF(2&gt;=$H11,$I11,IF(2&gt;=$F11,$G11,$E11)))</f>
        <v/>
      </c>
      <c r="L11" s="22">
        <f>IF(OR(3&lt;$C11,3&gt;$D11),0,IF(3&gt;=$H11,$I11,IF(3&gt;=$F11,$G11,$E11)))</f>
        <v/>
      </c>
      <c r="M11" s="22">
        <f>IF(OR(4&lt;$C11,4&gt;$D11),0,IF(4&gt;=$H11,$I11,IF(4&gt;=$F11,$G11,$E11)))</f>
        <v/>
      </c>
      <c r="N11" s="22">
        <f>IF(OR(5&lt;$C11,5&gt;$D11),0,IF(5&gt;=$H11,$I11,IF(5&gt;=$F11,$G11,$E11)))</f>
        <v/>
      </c>
      <c r="O11" s="22">
        <f>IF(OR(6&lt;$C11,6&gt;$D11),0,IF(6&gt;=$H11,$I11,IF(6&gt;=$F11,$G11,$E11)))</f>
        <v/>
      </c>
      <c r="P11" s="22">
        <f>IF(OR(7&lt;$C11,7&gt;$D11),0,IF(7&gt;=$H11,$I11,IF(7&gt;=$F11,$G11,$E11)))</f>
        <v/>
      </c>
      <c r="Q11" s="22">
        <f>IF(OR(8&lt;$C11,8&gt;$D11),0,IF(8&gt;=$H11,$I11,IF(8&gt;=$F11,$G11,$E11)))</f>
        <v/>
      </c>
      <c r="R11" s="22">
        <f>IF(OR(9&lt;$C11,9&gt;$D11),0,IF(9&gt;=$H11,$I11,IF(9&gt;=$F11,$G11,$E11)))</f>
        <v/>
      </c>
      <c r="S11" s="22">
        <f>IF(OR(10&lt;$C11,10&gt;$D11),0,IF(10&gt;=$H11,$I11,IF(10&gt;=$F11,$G11,$E11)))</f>
        <v/>
      </c>
      <c r="T11" s="22">
        <f>IF(OR(11&lt;$C11,11&gt;$D11),0,IF(11&gt;=$H11,$I11,IF(11&gt;=$F11,$G11,$E11)))</f>
        <v/>
      </c>
      <c r="U11" s="22">
        <f>IF(OR(12&lt;$C11,12&gt;$D11),0,IF(12&gt;=$H11,$I11,IF(12&gt;=$F11,$G11,$E11)))</f>
        <v/>
      </c>
      <c r="V11" s="22">
        <f>IF(OR(13&lt;$C11,13&gt;$D11),0,IF(13&gt;=$H11,$I11,IF(13&gt;=$F11,$G11,$E11)))</f>
        <v/>
      </c>
      <c r="W11" s="22">
        <f>IF(OR(14&lt;$C11,14&gt;$D11),0,IF(14&gt;=$H11,$I11,IF(14&gt;=$F11,$G11,$E11)))</f>
        <v/>
      </c>
      <c r="X11" s="22">
        <f>IF(OR(15&lt;$C11,15&gt;$D11),0,IF(15&gt;=$H11,$I11,IF(15&gt;=$F11,$G11,$E11)))</f>
        <v/>
      </c>
      <c r="Y11" s="22">
        <f>IF(OR(16&lt;$C11,16&gt;$D11),0,IF(16&gt;=$H11,$I11,IF(16&gt;=$F11,$G11,$E11)))</f>
        <v/>
      </c>
      <c r="Z11" s="22">
        <f>IF(OR(17&lt;$C11,17&gt;$D11),0,IF(17&gt;=$H11,$I11,IF(17&gt;=$F11,$G11,$E11)))</f>
        <v/>
      </c>
      <c r="AA11" s="22">
        <f>IF(OR(18&lt;$C11,18&gt;$D11),0,IF(18&gt;=$H11,$I11,IF(18&gt;=$F11,$G11,$E11)))</f>
        <v/>
      </c>
      <c r="AB11" s="22">
        <f>IF(OR(19&lt;$C11,19&gt;$D11),0,IF(19&gt;=$H11,$I11,IF(19&gt;=$F11,$G11,$E11)))</f>
        <v/>
      </c>
      <c r="AC11" s="22">
        <f>IF(OR(20&lt;$C11,20&gt;$D11),0,IF(20&gt;=$H11,$I11,IF(20&gt;=$F11,$G11,$E11)))</f>
        <v/>
      </c>
      <c r="AD11" s="22">
        <f>IF(OR(21&lt;$C11,21&gt;$D11),0,IF(21&gt;=$H11,$I11,IF(21&gt;=$F11,$G11,$E11)))</f>
        <v/>
      </c>
      <c r="AE11" s="22">
        <f>IF(OR(22&lt;$C11,22&gt;$D11),0,IF(22&gt;=$H11,$I11,IF(22&gt;=$F11,$G11,$E11)))</f>
        <v/>
      </c>
      <c r="AF11" s="22">
        <f>IF(OR(23&lt;$C11,23&gt;$D11),0,IF(23&gt;=$H11,$I11,IF(23&gt;=$F11,$G11,$E11)))</f>
        <v/>
      </c>
      <c r="AG11" s="22">
        <f>IF(OR(24&lt;$C11,24&gt;$D11),0,IF(24&gt;=$H11,$I11,IF(24&gt;=$F11,$G11,$E11)))</f>
        <v/>
      </c>
      <c r="AH11" s="22">
        <f>IF(OR(25&lt;$C11,25&gt;$D11),0,IF(25&gt;=$H11,$I11,IF(25&gt;=$F11,$G11,$E11)))</f>
        <v/>
      </c>
      <c r="AI11" s="22">
        <f>IF(OR(26&lt;$C11,26&gt;$D11),0,IF(26&gt;=$H11,$I11,IF(26&gt;=$F11,$G11,$E11)))</f>
        <v/>
      </c>
      <c r="AJ11" s="22">
        <f>IF(OR(27&lt;$C11,27&gt;$D11),0,IF(27&gt;=$H11,$I11,IF(27&gt;=$F11,$G11,$E11)))</f>
        <v/>
      </c>
      <c r="AK11" s="22">
        <f>IF(OR(28&lt;$C11,28&gt;$D11),0,IF(28&gt;=$H11,$I11,IF(28&gt;=$F11,$G11,$E11)))</f>
        <v/>
      </c>
      <c r="AL11" s="22">
        <f>IF(OR(29&lt;$C11,29&gt;$D11),0,IF(29&gt;=$H11,$I11,IF(29&gt;=$F11,$G11,$E11)))</f>
        <v/>
      </c>
      <c r="AM11" s="22">
        <f>IF(OR(30&lt;$C11,30&gt;$D11),0,IF(30&gt;=$H11,$I11,IF(30&gt;=$F11,$G11,$E11)))</f>
        <v/>
      </c>
      <c r="AN11" s="22">
        <f>IF(OR(31&lt;$C11,31&gt;$D11),0,IF(31&gt;=$H11,$I11,IF(31&gt;=$F11,$G11,$E11)))</f>
        <v/>
      </c>
      <c r="AO11" s="22">
        <f>IF(OR(32&lt;$C11,32&gt;$D11),0,IF(32&gt;=$H11,$I11,IF(32&gt;=$F11,$G11,$E11)))</f>
        <v/>
      </c>
      <c r="AP11" s="22">
        <f>IF(OR(33&lt;$C11,33&gt;$D11),0,IF(33&gt;=$H11,$I11,IF(33&gt;=$F11,$G11,$E11)))</f>
        <v/>
      </c>
      <c r="AQ11" s="22">
        <f>IF(OR(34&lt;$C11,34&gt;$D11),0,IF(34&gt;=$H11,$I11,IF(34&gt;=$F11,$G11,$E11)))</f>
        <v/>
      </c>
      <c r="AR11" s="22">
        <f>IF(OR(35&lt;$C11,35&gt;$D11),0,IF(35&gt;=$H11,$I11,IF(35&gt;=$F11,$G11,$E11)))</f>
        <v/>
      </c>
      <c r="AS11" s="22">
        <f>IF(OR(36&lt;$C11,36&gt;$D11),0,IF(36&gt;=$H11,$I11,IF(36&gt;=$F11,$G11,$E11)))</f>
        <v/>
      </c>
    </row>
    <row r="12">
      <c r="B12" s="8" t="inlineStr">
        <is>
          <t>Full-stack engineer #2</t>
        </is>
      </c>
      <c r="C12" s="17" t="n">
        <v>3</v>
      </c>
      <c r="D12" s="17" t="n">
        <v>999</v>
      </c>
      <c r="E12" s="20" t="n">
        <v>8000</v>
      </c>
      <c r="F12" s="17" t="n">
        <v>999</v>
      </c>
      <c r="G12" s="20" t="n">
        <v>8000</v>
      </c>
      <c r="H12" s="17" t="n">
        <v>999</v>
      </c>
      <c r="I12" s="20" t="n">
        <v>8000</v>
      </c>
      <c r="J12" s="22">
        <f>IF(OR(1&lt;$C12,1&gt;$D12),0,IF(1&gt;=$H12,$I12,IF(1&gt;=$F12,$G12,$E12)))</f>
        <v/>
      </c>
      <c r="K12" s="22">
        <f>IF(OR(2&lt;$C12,2&gt;$D12),0,IF(2&gt;=$H12,$I12,IF(2&gt;=$F12,$G12,$E12)))</f>
        <v/>
      </c>
      <c r="L12" s="22">
        <f>IF(OR(3&lt;$C12,3&gt;$D12),0,IF(3&gt;=$H12,$I12,IF(3&gt;=$F12,$G12,$E12)))</f>
        <v/>
      </c>
      <c r="M12" s="22">
        <f>IF(OR(4&lt;$C12,4&gt;$D12),0,IF(4&gt;=$H12,$I12,IF(4&gt;=$F12,$G12,$E12)))</f>
        <v/>
      </c>
      <c r="N12" s="22">
        <f>IF(OR(5&lt;$C12,5&gt;$D12),0,IF(5&gt;=$H12,$I12,IF(5&gt;=$F12,$G12,$E12)))</f>
        <v/>
      </c>
      <c r="O12" s="22">
        <f>IF(OR(6&lt;$C12,6&gt;$D12),0,IF(6&gt;=$H12,$I12,IF(6&gt;=$F12,$G12,$E12)))</f>
        <v/>
      </c>
      <c r="P12" s="22">
        <f>IF(OR(7&lt;$C12,7&gt;$D12),0,IF(7&gt;=$H12,$I12,IF(7&gt;=$F12,$G12,$E12)))</f>
        <v/>
      </c>
      <c r="Q12" s="22">
        <f>IF(OR(8&lt;$C12,8&gt;$D12),0,IF(8&gt;=$H12,$I12,IF(8&gt;=$F12,$G12,$E12)))</f>
        <v/>
      </c>
      <c r="R12" s="22">
        <f>IF(OR(9&lt;$C12,9&gt;$D12),0,IF(9&gt;=$H12,$I12,IF(9&gt;=$F12,$G12,$E12)))</f>
        <v/>
      </c>
      <c r="S12" s="22">
        <f>IF(OR(10&lt;$C12,10&gt;$D12),0,IF(10&gt;=$H12,$I12,IF(10&gt;=$F12,$G12,$E12)))</f>
        <v/>
      </c>
      <c r="T12" s="22">
        <f>IF(OR(11&lt;$C12,11&gt;$D12),0,IF(11&gt;=$H12,$I12,IF(11&gt;=$F12,$G12,$E12)))</f>
        <v/>
      </c>
      <c r="U12" s="22">
        <f>IF(OR(12&lt;$C12,12&gt;$D12),0,IF(12&gt;=$H12,$I12,IF(12&gt;=$F12,$G12,$E12)))</f>
        <v/>
      </c>
      <c r="V12" s="22">
        <f>IF(OR(13&lt;$C12,13&gt;$D12),0,IF(13&gt;=$H12,$I12,IF(13&gt;=$F12,$G12,$E12)))</f>
        <v/>
      </c>
      <c r="W12" s="22">
        <f>IF(OR(14&lt;$C12,14&gt;$D12),0,IF(14&gt;=$H12,$I12,IF(14&gt;=$F12,$G12,$E12)))</f>
        <v/>
      </c>
      <c r="X12" s="22">
        <f>IF(OR(15&lt;$C12,15&gt;$D12),0,IF(15&gt;=$H12,$I12,IF(15&gt;=$F12,$G12,$E12)))</f>
        <v/>
      </c>
      <c r="Y12" s="22">
        <f>IF(OR(16&lt;$C12,16&gt;$D12),0,IF(16&gt;=$H12,$I12,IF(16&gt;=$F12,$G12,$E12)))</f>
        <v/>
      </c>
      <c r="Z12" s="22">
        <f>IF(OR(17&lt;$C12,17&gt;$D12),0,IF(17&gt;=$H12,$I12,IF(17&gt;=$F12,$G12,$E12)))</f>
        <v/>
      </c>
      <c r="AA12" s="22">
        <f>IF(OR(18&lt;$C12,18&gt;$D12),0,IF(18&gt;=$H12,$I12,IF(18&gt;=$F12,$G12,$E12)))</f>
        <v/>
      </c>
      <c r="AB12" s="22">
        <f>IF(OR(19&lt;$C12,19&gt;$D12),0,IF(19&gt;=$H12,$I12,IF(19&gt;=$F12,$G12,$E12)))</f>
        <v/>
      </c>
      <c r="AC12" s="22">
        <f>IF(OR(20&lt;$C12,20&gt;$D12),0,IF(20&gt;=$H12,$I12,IF(20&gt;=$F12,$G12,$E12)))</f>
        <v/>
      </c>
      <c r="AD12" s="22">
        <f>IF(OR(21&lt;$C12,21&gt;$D12),0,IF(21&gt;=$H12,$I12,IF(21&gt;=$F12,$G12,$E12)))</f>
        <v/>
      </c>
      <c r="AE12" s="22">
        <f>IF(OR(22&lt;$C12,22&gt;$D12),0,IF(22&gt;=$H12,$I12,IF(22&gt;=$F12,$G12,$E12)))</f>
        <v/>
      </c>
      <c r="AF12" s="22">
        <f>IF(OR(23&lt;$C12,23&gt;$D12),0,IF(23&gt;=$H12,$I12,IF(23&gt;=$F12,$G12,$E12)))</f>
        <v/>
      </c>
      <c r="AG12" s="22">
        <f>IF(OR(24&lt;$C12,24&gt;$D12),0,IF(24&gt;=$H12,$I12,IF(24&gt;=$F12,$G12,$E12)))</f>
        <v/>
      </c>
      <c r="AH12" s="22">
        <f>IF(OR(25&lt;$C12,25&gt;$D12),0,IF(25&gt;=$H12,$I12,IF(25&gt;=$F12,$G12,$E12)))</f>
        <v/>
      </c>
      <c r="AI12" s="22">
        <f>IF(OR(26&lt;$C12,26&gt;$D12),0,IF(26&gt;=$H12,$I12,IF(26&gt;=$F12,$G12,$E12)))</f>
        <v/>
      </c>
      <c r="AJ12" s="22">
        <f>IF(OR(27&lt;$C12,27&gt;$D12),0,IF(27&gt;=$H12,$I12,IF(27&gt;=$F12,$G12,$E12)))</f>
        <v/>
      </c>
      <c r="AK12" s="22">
        <f>IF(OR(28&lt;$C12,28&gt;$D12),0,IF(28&gt;=$H12,$I12,IF(28&gt;=$F12,$G12,$E12)))</f>
        <v/>
      </c>
      <c r="AL12" s="22">
        <f>IF(OR(29&lt;$C12,29&gt;$D12),0,IF(29&gt;=$H12,$I12,IF(29&gt;=$F12,$G12,$E12)))</f>
        <v/>
      </c>
      <c r="AM12" s="22">
        <f>IF(OR(30&lt;$C12,30&gt;$D12),0,IF(30&gt;=$H12,$I12,IF(30&gt;=$F12,$G12,$E12)))</f>
        <v/>
      </c>
      <c r="AN12" s="22">
        <f>IF(OR(31&lt;$C12,31&gt;$D12),0,IF(31&gt;=$H12,$I12,IF(31&gt;=$F12,$G12,$E12)))</f>
        <v/>
      </c>
      <c r="AO12" s="22">
        <f>IF(OR(32&lt;$C12,32&gt;$D12),0,IF(32&gt;=$H12,$I12,IF(32&gt;=$F12,$G12,$E12)))</f>
        <v/>
      </c>
      <c r="AP12" s="22">
        <f>IF(OR(33&lt;$C12,33&gt;$D12),0,IF(33&gt;=$H12,$I12,IF(33&gt;=$F12,$G12,$E12)))</f>
        <v/>
      </c>
      <c r="AQ12" s="22">
        <f>IF(OR(34&lt;$C12,34&gt;$D12),0,IF(34&gt;=$H12,$I12,IF(34&gt;=$F12,$G12,$E12)))</f>
        <v/>
      </c>
      <c r="AR12" s="22">
        <f>IF(OR(35&lt;$C12,35&gt;$D12),0,IF(35&gt;=$H12,$I12,IF(35&gt;=$F12,$G12,$E12)))</f>
        <v/>
      </c>
      <c r="AS12" s="22">
        <f>IF(OR(36&lt;$C12,36&gt;$D12),0,IF(36&gt;=$H12,$I12,IF(36&gt;=$F12,$G12,$E12)))</f>
        <v/>
      </c>
    </row>
    <row r="13">
      <c r="B13" s="8" t="inlineStr">
        <is>
          <t>Growth and content lead</t>
        </is>
      </c>
      <c r="C13" s="17" t="n">
        <v>5</v>
      </c>
      <c r="D13" s="17" t="n">
        <v>999</v>
      </c>
      <c r="E13" s="20" t="n">
        <v>7900</v>
      </c>
      <c r="F13" s="17" t="n">
        <v>999</v>
      </c>
      <c r="G13" s="20" t="n">
        <v>7900</v>
      </c>
      <c r="H13" s="17" t="n">
        <v>999</v>
      </c>
      <c r="I13" s="20" t="n">
        <v>7900</v>
      </c>
      <c r="J13" s="22">
        <f>IF(OR(1&lt;$C13,1&gt;$D13),0,IF(1&gt;=$H13,$I13,IF(1&gt;=$F13,$G13,$E13)))</f>
        <v/>
      </c>
      <c r="K13" s="22">
        <f>IF(OR(2&lt;$C13,2&gt;$D13),0,IF(2&gt;=$H13,$I13,IF(2&gt;=$F13,$G13,$E13)))</f>
        <v/>
      </c>
      <c r="L13" s="22">
        <f>IF(OR(3&lt;$C13,3&gt;$D13),0,IF(3&gt;=$H13,$I13,IF(3&gt;=$F13,$G13,$E13)))</f>
        <v/>
      </c>
      <c r="M13" s="22">
        <f>IF(OR(4&lt;$C13,4&gt;$D13),0,IF(4&gt;=$H13,$I13,IF(4&gt;=$F13,$G13,$E13)))</f>
        <v/>
      </c>
      <c r="N13" s="22">
        <f>IF(OR(5&lt;$C13,5&gt;$D13),0,IF(5&gt;=$H13,$I13,IF(5&gt;=$F13,$G13,$E13)))</f>
        <v/>
      </c>
      <c r="O13" s="22">
        <f>IF(OR(6&lt;$C13,6&gt;$D13),0,IF(6&gt;=$H13,$I13,IF(6&gt;=$F13,$G13,$E13)))</f>
        <v/>
      </c>
      <c r="P13" s="22">
        <f>IF(OR(7&lt;$C13,7&gt;$D13),0,IF(7&gt;=$H13,$I13,IF(7&gt;=$F13,$G13,$E13)))</f>
        <v/>
      </c>
      <c r="Q13" s="22">
        <f>IF(OR(8&lt;$C13,8&gt;$D13),0,IF(8&gt;=$H13,$I13,IF(8&gt;=$F13,$G13,$E13)))</f>
        <v/>
      </c>
      <c r="R13" s="22">
        <f>IF(OR(9&lt;$C13,9&gt;$D13),0,IF(9&gt;=$H13,$I13,IF(9&gt;=$F13,$G13,$E13)))</f>
        <v/>
      </c>
      <c r="S13" s="22">
        <f>IF(OR(10&lt;$C13,10&gt;$D13),0,IF(10&gt;=$H13,$I13,IF(10&gt;=$F13,$G13,$E13)))</f>
        <v/>
      </c>
      <c r="T13" s="22">
        <f>IF(OR(11&lt;$C13,11&gt;$D13),0,IF(11&gt;=$H13,$I13,IF(11&gt;=$F13,$G13,$E13)))</f>
        <v/>
      </c>
      <c r="U13" s="22">
        <f>IF(OR(12&lt;$C13,12&gt;$D13),0,IF(12&gt;=$H13,$I13,IF(12&gt;=$F13,$G13,$E13)))</f>
        <v/>
      </c>
      <c r="V13" s="22">
        <f>IF(OR(13&lt;$C13,13&gt;$D13),0,IF(13&gt;=$H13,$I13,IF(13&gt;=$F13,$G13,$E13)))</f>
        <v/>
      </c>
      <c r="W13" s="22">
        <f>IF(OR(14&lt;$C13,14&gt;$D13),0,IF(14&gt;=$H13,$I13,IF(14&gt;=$F13,$G13,$E13)))</f>
        <v/>
      </c>
      <c r="X13" s="22">
        <f>IF(OR(15&lt;$C13,15&gt;$D13),0,IF(15&gt;=$H13,$I13,IF(15&gt;=$F13,$G13,$E13)))</f>
        <v/>
      </c>
      <c r="Y13" s="22">
        <f>IF(OR(16&lt;$C13,16&gt;$D13),0,IF(16&gt;=$H13,$I13,IF(16&gt;=$F13,$G13,$E13)))</f>
        <v/>
      </c>
      <c r="Z13" s="22">
        <f>IF(OR(17&lt;$C13,17&gt;$D13),0,IF(17&gt;=$H13,$I13,IF(17&gt;=$F13,$G13,$E13)))</f>
        <v/>
      </c>
      <c r="AA13" s="22">
        <f>IF(OR(18&lt;$C13,18&gt;$D13),0,IF(18&gt;=$H13,$I13,IF(18&gt;=$F13,$G13,$E13)))</f>
        <v/>
      </c>
      <c r="AB13" s="22">
        <f>IF(OR(19&lt;$C13,19&gt;$D13),0,IF(19&gt;=$H13,$I13,IF(19&gt;=$F13,$G13,$E13)))</f>
        <v/>
      </c>
      <c r="AC13" s="22">
        <f>IF(OR(20&lt;$C13,20&gt;$D13),0,IF(20&gt;=$H13,$I13,IF(20&gt;=$F13,$G13,$E13)))</f>
        <v/>
      </c>
      <c r="AD13" s="22">
        <f>IF(OR(21&lt;$C13,21&gt;$D13),0,IF(21&gt;=$H13,$I13,IF(21&gt;=$F13,$G13,$E13)))</f>
        <v/>
      </c>
      <c r="AE13" s="22">
        <f>IF(OR(22&lt;$C13,22&gt;$D13),0,IF(22&gt;=$H13,$I13,IF(22&gt;=$F13,$G13,$E13)))</f>
        <v/>
      </c>
      <c r="AF13" s="22">
        <f>IF(OR(23&lt;$C13,23&gt;$D13),0,IF(23&gt;=$H13,$I13,IF(23&gt;=$F13,$G13,$E13)))</f>
        <v/>
      </c>
      <c r="AG13" s="22">
        <f>IF(OR(24&lt;$C13,24&gt;$D13),0,IF(24&gt;=$H13,$I13,IF(24&gt;=$F13,$G13,$E13)))</f>
        <v/>
      </c>
      <c r="AH13" s="22">
        <f>IF(OR(25&lt;$C13,25&gt;$D13),0,IF(25&gt;=$H13,$I13,IF(25&gt;=$F13,$G13,$E13)))</f>
        <v/>
      </c>
      <c r="AI13" s="22">
        <f>IF(OR(26&lt;$C13,26&gt;$D13),0,IF(26&gt;=$H13,$I13,IF(26&gt;=$F13,$G13,$E13)))</f>
        <v/>
      </c>
      <c r="AJ13" s="22">
        <f>IF(OR(27&lt;$C13,27&gt;$D13),0,IF(27&gt;=$H13,$I13,IF(27&gt;=$F13,$G13,$E13)))</f>
        <v/>
      </c>
      <c r="AK13" s="22">
        <f>IF(OR(28&lt;$C13,28&gt;$D13),0,IF(28&gt;=$H13,$I13,IF(28&gt;=$F13,$G13,$E13)))</f>
        <v/>
      </c>
      <c r="AL13" s="22">
        <f>IF(OR(29&lt;$C13,29&gt;$D13),0,IF(29&gt;=$H13,$I13,IF(29&gt;=$F13,$G13,$E13)))</f>
        <v/>
      </c>
      <c r="AM13" s="22">
        <f>IF(OR(30&lt;$C13,30&gt;$D13),0,IF(30&gt;=$H13,$I13,IF(30&gt;=$F13,$G13,$E13)))</f>
        <v/>
      </c>
      <c r="AN13" s="22">
        <f>IF(OR(31&lt;$C13,31&gt;$D13),0,IF(31&gt;=$H13,$I13,IF(31&gt;=$F13,$G13,$E13)))</f>
        <v/>
      </c>
      <c r="AO13" s="22">
        <f>IF(OR(32&lt;$C13,32&gt;$D13),0,IF(32&gt;=$H13,$I13,IF(32&gt;=$F13,$G13,$E13)))</f>
        <v/>
      </c>
      <c r="AP13" s="22">
        <f>IF(OR(33&lt;$C13,33&gt;$D13),0,IF(33&gt;=$H13,$I13,IF(33&gt;=$F13,$G13,$E13)))</f>
        <v/>
      </c>
      <c r="AQ13" s="22">
        <f>IF(OR(34&lt;$C13,34&gt;$D13),0,IF(34&gt;=$H13,$I13,IF(34&gt;=$F13,$G13,$E13)))</f>
        <v/>
      </c>
      <c r="AR13" s="22">
        <f>IF(OR(35&lt;$C13,35&gt;$D13),0,IF(35&gt;=$H13,$I13,IF(35&gt;=$F13,$G13,$E13)))</f>
        <v/>
      </c>
      <c r="AS13" s="22">
        <f>IF(OR(36&lt;$C13,36&gt;$D13),0,IF(36&gt;=$H13,$I13,IF(36&gt;=$F13,$G13,$E13)))</f>
        <v/>
      </c>
    </row>
    <row r="14">
      <c r="B14" s="8" t="inlineStr">
        <is>
          <t>Clinical and regulatory lead (PT)</t>
        </is>
      </c>
      <c r="C14" s="17" t="n">
        <v>6</v>
      </c>
      <c r="D14" s="17" t="n">
        <v>999</v>
      </c>
      <c r="E14" s="20" t="n">
        <v>5800</v>
      </c>
      <c r="F14" s="17" t="n">
        <v>999</v>
      </c>
      <c r="G14" s="20" t="n">
        <v>5800</v>
      </c>
      <c r="H14" s="17" t="n">
        <v>999</v>
      </c>
      <c r="I14" s="20" t="n">
        <v>5800</v>
      </c>
      <c r="J14" s="22">
        <f>IF(OR(1&lt;$C14,1&gt;$D14),0,IF(1&gt;=$H14,$I14,IF(1&gt;=$F14,$G14,$E14)))</f>
        <v/>
      </c>
      <c r="K14" s="22">
        <f>IF(OR(2&lt;$C14,2&gt;$D14),0,IF(2&gt;=$H14,$I14,IF(2&gt;=$F14,$G14,$E14)))</f>
        <v/>
      </c>
      <c r="L14" s="22">
        <f>IF(OR(3&lt;$C14,3&gt;$D14),0,IF(3&gt;=$H14,$I14,IF(3&gt;=$F14,$G14,$E14)))</f>
        <v/>
      </c>
      <c r="M14" s="22">
        <f>IF(OR(4&lt;$C14,4&gt;$D14),0,IF(4&gt;=$H14,$I14,IF(4&gt;=$F14,$G14,$E14)))</f>
        <v/>
      </c>
      <c r="N14" s="22">
        <f>IF(OR(5&lt;$C14,5&gt;$D14),0,IF(5&gt;=$H14,$I14,IF(5&gt;=$F14,$G14,$E14)))</f>
        <v/>
      </c>
      <c r="O14" s="22">
        <f>IF(OR(6&lt;$C14,6&gt;$D14),0,IF(6&gt;=$H14,$I14,IF(6&gt;=$F14,$G14,$E14)))</f>
        <v/>
      </c>
      <c r="P14" s="22">
        <f>IF(OR(7&lt;$C14,7&gt;$D14),0,IF(7&gt;=$H14,$I14,IF(7&gt;=$F14,$G14,$E14)))</f>
        <v/>
      </c>
      <c r="Q14" s="22">
        <f>IF(OR(8&lt;$C14,8&gt;$D14),0,IF(8&gt;=$H14,$I14,IF(8&gt;=$F14,$G14,$E14)))</f>
        <v/>
      </c>
      <c r="R14" s="22">
        <f>IF(OR(9&lt;$C14,9&gt;$D14),0,IF(9&gt;=$H14,$I14,IF(9&gt;=$F14,$G14,$E14)))</f>
        <v/>
      </c>
      <c r="S14" s="22">
        <f>IF(OR(10&lt;$C14,10&gt;$D14),0,IF(10&gt;=$H14,$I14,IF(10&gt;=$F14,$G14,$E14)))</f>
        <v/>
      </c>
      <c r="T14" s="22">
        <f>IF(OR(11&lt;$C14,11&gt;$D14),0,IF(11&gt;=$H14,$I14,IF(11&gt;=$F14,$G14,$E14)))</f>
        <v/>
      </c>
      <c r="U14" s="22">
        <f>IF(OR(12&lt;$C14,12&gt;$D14),0,IF(12&gt;=$H14,$I14,IF(12&gt;=$F14,$G14,$E14)))</f>
        <v/>
      </c>
      <c r="V14" s="22">
        <f>IF(OR(13&lt;$C14,13&gt;$D14),0,IF(13&gt;=$H14,$I14,IF(13&gt;=$F14,$G14,$E14)))</f>
        <v/>
      </c>
      <c r="W14" s="22">
        <f>IF(OR(14&lt;$C14,14&gt;$D14),0,IF(14&gt;=$H14,$I14,IF(14&gt;=$F14,$G14,$E14)))</f>
        <v/>
      </c>
      <c r="X14" s="22">
        <f>IF(OR(15&lt;$C14,15&gt;$D14),0,IF(15&gt;=$H14,$I14,IF(15&gt;=$F14,$G14,$E14)))</f>
        <v/>
      </c>
      <c r="Y14" s="22">
        <f>IF(OR(16&lt;$C14,16&gt;$D14),0,IF(16&gt;=$H14,$I14,IF(16&gt;=$F14,$G14,$E14)))</f>
        <v/>
      </c>
      <c r="Z14" s="22">
        <f>IF(OR(17&lt;$C14,17&gt;$D14),0,IF(17&gt;=$H14,$I14,IF(17&gt;=$F14,$G14,$E14)))</f>
        <v/>
      </c>
      <c r="AA14" s="22">
        <f>IF(OR(18&lt;$C14,18&gt;$D14),0,IF(18&gt;=$H14,$I14,IF(18&gt;=$F14,$G14,$E14)))</f>
        <v/>
      </c>
      <c r="AB14" s="22">
        <f>IF(OR(19&lt;$C14,19&gt;$D14),0,IF(19&gt;=$H14,$I14,IF(19&gt;=$F14,$G14,$E14)))</f>
        <v/>
      </c>
      <c r="AC14" s="22">
        <f>IF(OR(20&lt;$C14,20&gt;$D14),0,IF(20&gt;=$H14,$I14,IF(20&gt;=$F14,$G14,$E14)))</f>
        <v/>
      </c>
      <c r="AD14" s="22">
        <f>IF(OR(21&lt;$C14,21&gt;$D14),0,IF(21&gt;=$H14,$I14,IF(21&gt;=$F14,$G14,$E14)))</f>
        <v/>
      </c>
      <c r="AE14" s="22">
        <f>IF(OR(22&lt;$C14,22&gt;$D14),0,IF(22&gt;=$H14,$I14,IF(22&gt;=$F14,$G14,$E14)))</f>
        <v/>
      </c>
      <c r="AF14" s="22">
        <f>IF(OR(23&lt;$C14,23&gt;$D14),0,IF(23&gt;=$H14,$I14,IF(23&gt;=$F14,$G14,$E14)))</f>
        <v/>
      </c>
      <c r="AG14" s="22">
        <f>IF(OR(24&lt;$C14,24&gt;$D14),0,IF(24&gt;=$H14,$I14,IF(24&gt;=$F14,$G14,$E14)))</f>
        <v/>
      </c>
      <c r="AH14" s="22">
        <f>IF(OR(25&lt;$C14,25&gt;$D14),0,IF(25&gt;=$H14,$I14,IF(25&gt;=$F14,$G14,$E14)))</f>
        <v/>
      </c>
      <c r="AI14" s="22">
        <f>IF(OR(26&lt;$C14,26&gt;$D14),0,IF(26&gt;=$H14,$I14,IF(26&gt;=$F14,$G14,$E14)))</f>
        <v/>
      </c>
      <c r="AJ14" s="22">
        <f>IF(OR(27&lt;$C14,27&gt;$D14),0,IF(27&gt;=$H14,$I14,IF(27&gt;=$F14,$G14,$E14)))</f>
        <v/>
      </c>
      <c r="AK14" s="22">
        <f>IF(OR(28&lt;$C14,28&gt;$D14),0,IF(28&gt;=$H14,$I14,IF(28&gt;=$F14,$G14,$E14)))</f>
        <v/>
      </c>
      <c r="AL14" s="22">
        <f>IF(OR(29&lt;$C14,29&gt;$D14),0,IF(29&gt;=$H14,$I14,IF(29&gt;=$F14,$G14,$E14)))</f>
        <v/>
      </c>
      <c r="AM14" s="22">
        <f>IF(OR(30&lt;$C14,30&gt;$D14),0,IF(30&gt;=$H14,$I14,IF(30&gt;=$F14,$G14,$E14)))</f>
        <v/>
      </c>
      <c r="AN14" s="22">
        <f>IF(OR(31&lt;$C14,31&gt;$D14),0,IF(31&gt;=$H14,$I14,IF(31&gt;=$F14,$G14,$E14)))</f>
        <v/>
      </c>
      <c r="AO14" s="22">
        <f>IF(OR(32&lt;$C14,32&gt;$D14),0,IF(32&gt;=$H14,$I14,IF(32&gt;=$F14,$G14,$E14)))</f>
        <v/>
      </c>
      <c r="AP14" s="22">
        <f>IF(OR(33&lt;$C14,33&gt;$D14),0,IF(33&gt;=$H14,$I14,IF(33&gt;=$F14,$G14,$E14)))</f>
        <v/>
      </c>
      <c r="AQ14" s="22">
        <f>IF(OR(34&lt;$C14,34&gt;$D14),0,IF(34&gt;=$H14,$I14,IF(34&gt;=$F14,$G14,$E14)))</f>
        <v/>
      </c>
      <c r="AR14" s="22">
        <f>IF(OR(35&lt;$C14,35&gt;$D14),0,IF(35&gt;=$H14,$I14,IF(35&gt;=$F14,$G14,$E14)))</f>
        <v/>
      </c>
      <c r="AS14" s="22">
        <f>IF(OR(36&lt;$C14,36&gt;$D14),0,IF(36&gt;=$H14,$I14,IF(36&gt;=$F14,$G14,$E14)))</f>
        <v/>
      </c>
    </row>
    <row r="15">
      <c r="B15" s="8" t="inlineStr">
        <is>
          <t>US medical director (PT, US rate)</t>
        </is>
      </c>
      <c r="C15" s="17" t="n">
        <v>7</v>
      </c>
      <c r="D15" s="17" t="n">
        <v>999</v>
      </c>
      <c r="E15" s="20" t="n">
        <v>10000</v>
      </c>
      <c r="F15" s="17" t="n">
        <v>999</v>
      </c>
      <c r="G15" s="20" t="n">
        <v>10000</v>
      </c>
      <c r="H15" s="17" t="n">
        <v>999</v>
      </c>
      <c r="I15" s="20" t="n">
        <v>10000</v>
      </c>
      <c r="J15" s="22">
        <f>IF(OR(1&lt;$C15,1&gt;$D15),0,IF(1&gt;=$H15,$I15,IF(1&gt;=$F15,$G15,$E15)))</f>
        <v/>
      </c>
      <c r="K15" s="22">
        <f>IF(OR(2&lt;$C15,2&gt;$D15),0,IF(2&gt;=$H15,$I15,IF(2&gt;=$F15,$G15,$E15)))</f>
        <v/>
      </c>
      <c r="L15" s="22">
        <f>IF(OR(3&lt;$C15,3&gt;$D15),0,IF(3&gt;=$H15,$I15,IF(3&gt;=$F15,$G15,$E15)))</f>
        <v/>
      </c>
      <c r="M15" s="22">
        <f>IF(OR(4&lt;$C15,4&gt;$D15),0,IF(4&gt;=$H15,$I15,IF(4&gt;=$F15,$G15,$E15)))</f>
        <v/>
      </c>
      <c r="N15" s="22">
        <f>IF(OR(5&lt;$C15,5&gt;$D15),0,IF(5&gt;=$H15,$I15,IF(5&gt;=$F15,$G15,$E15)))</f>
        <v/>
      </c>
      <c r="O15" s="22">
        <f>IF(OR(6&lt;$C15,6&gt;$D15),0,IF(6&gt;=$H15,$I15,IF(6&gt;=$F15,$G15,$E15)))</f>
        <v/>
      </c>
      <c r="P15" s="22">
        <f>IF(OR(7&lt;$C15,7&gt;$D15),0,IF(7&gt;=$H15,$I15,IF(7&gt;=$F15,$G15,$E15)))</f>
        <v/>
      </c>
      <c r="Q15" s="22">
        <f>IF(OR(8&lt;$C15,8&gt;$D15),0,IF(8&gt;=$H15,$I15,IF(8&gt;=$F15,$G15,$E15)))</f>
        <v/>
      </c>
      <c r="R15" s="22">
        <f>IF(OR(9&lt;$C15,9&gt;$D15),0,IF(9&gt;=$H15,$I15,IF(9&gt;=$F15,$G15,$E15)))</f>
        <v/>
      </c>
      <c r="S15" s="22">
        <f>IF(OR(10&lt;$C15,10&gt;$D15),0,IF(10&gt;=$H15,$I15,IF(10&gt;=$F15,$G15,$E15)))</f>
        <v/>
      </c>
      <c r="T15" s="22">
        <f>IF(OR(11&lt;$C15,11&gt;$D15),0,IF(11&gt;=$H15,$I15,IF(11&gt;=$F15,$G15,$E15)))</f>
        <v/>
      </c>
      <c r="U15" s="22">
        <f>IF(OR(12&lt;$C15,12&gt;$D15),0,IF(12&gt;=$H15,$I15,IF(12&gt;=$F15,$G15,$E15)))</f>
        <v/>
      </c>
      <c r="V15" s="22">
        <f>IF(OR(13&lt;$C15,13&gt;$D15),0,IF(13&gt;=$H15,$I15,IF(13&gt;=$F15,$G15,$E15)))</f>
        <v/>
      </c>
      <c r="W15" s="22">
        <f>IF(OR(14&lt;$C15,14&gt;$D15),0,IF(14&gt;=$H15,$I15,IF(14&gt;=$F15,$G15,$E15)))</f>
        <v/>
      </c>
      <c r="X15" s="22">
        <f>IF(OR(15&lt;$C15,15&gt;$D15),0,IF(15&gt;=$H15,$I15,IF(15&gt;=$F15,$G15,$E15)))</f>
        <v/>
      </c>
      <c r="Y15" s="22">
        <f>IF(OR(16&lt;$C15,16&gt;$D15),0,IF(16&gt;=$H15,$I15,IF(16&gt;=$F15,$G15,$E15)))</f>
        <v/>
      </c>
      <c r="Z15" s="22">
        <f>IF(OR(17&lt;$C15,17&gt;$D15),0,IF(17&gt;=$H15,$I15,IF(17&gt;=$F15,$G15,$E15)))</f>
        <v/>
      </c>
      <c r="AA15" s="22">
        <f>IF(OR(18&lt;$C15,18&gt;$D15),0,IF(18&gt;=$H15,$I15,IF(18&gt;=$F15,$G15,$E15)))</f>
        <v/>
      </c>
      <c r="AB15" s="22">
        <f>IF(OR(19&lt;$C15,19&gt;$D15),0,IF(19&gt;=$H15,$I15,IF(19&gt;=$F15,$G15,$E15)))</f>
        <v/>
      </c>
      <c r="AC15" s="22">
        <f>IF(OR(20&lt;$C15,20&gt;$D15),0,IF(20&gt;=$H15,$I15,IF(20&gt;=$F15,$G15,$E15)))</f>
        <v/>
      </c>
      <c r="AD15" s="22">
        <f>IF(OR(21&lt;$C15,21&gt;$D15),0,IF(21&gt;=$H15,$I15,IF(21&gt;=$F15,$G15,$E15)))</f>
        <v/>
      </c>
      <c r="AE15" s="22">
        <f>IF(OR(22&lt;$C15,22&gt;$D15),0,IF(22&gt;=$H15,$I15,IF(22&gt;=$F15,$G15,$E15)))</f>
        <v/>
      </c>
      <c r="AF15" s="22">
        <f>IF(OR(23&lt;$C15,23&gt;$D15),0,IF(23&gt;=$H15,$I15,IF(23&gt;=$F15,$G15,$E15)))</f>
        <v/>
      </c>
      <c r="AG15" s="22">
        <f>IF(OR(24&lt;$C15,24&gt;$D15),0,IF(24&gt;=$H15,$I15,IF(24&gt;=$F15,$G15,$E15)))</f>
        <v/>
      </c>
      <c r="AH15" s="22">
        <f>IF(OR(25&lt;$C15,25&gt;$D15),0,IF(25&gt;=$H15,$I15,IF(25&gt;=$F15,$G15,$E15)))</f>
        <v/>
      </c>
      <c r="AI15" s="22">
        <f>IF(OR(26&lt;$C15,26&gt;$D15),0,IF(26&gt;=$H15,$I15,IF(26&gt;=$F15,$G15,$E15)))</f>
        <v/>
      </c>
      <c r="AJ15" s="22">
        <f>IF(OR(27&lt;$C15,27&gt;$D15),0,IF(27&gt;=$H15,$I15,IF(27&gt;=$F15,$G15,$E15)))</f>
        <v/>
      </c>
      <c r="AK15" s="22">
        <f>IF(OR(28&lt;$C15,28&gt;$D15),0,IF(28&gt;=$H15,$I15,IF(28&gt;=$F15,$G15,$E15)))</f>
        <v/>
      </c>
      <c r="AL15" s="22">
        <f>IF(OR(29&lt;$C15,29&gt;$D15),0,IF(29&gt;=$H15,$I15,IF(29&gt;=$F15,$G15,$E15)))</f>
        <v/>
      </c>
      <c r="AM15" s="22">
        <f>IF(OR(30&lt;$C15,30&gt;$D15),0,IF(30&gt;=$H15,$I15,IF(30&gt;=$F15,$G15,$E15)))</f>
        <v/>
      </c>
      <c r="AN15" s="22">
        <f>IF(OR(31&lt;$C15,31&gt;$D15),0,IF(31&gt;=$H15,$I15,IF(31&gt;=$F15,$G15,$E15)))</f>
        <v/>
      </c>
      <c r="AO15" s="22">
        <f>IF(OR(32&lt;$C15,32&gt;$D15),0,IF(32&gt;=$H15,$I15,IF(32&gt;=$F15,$G15,$E15)))</f>
        <v/>
      </c>
      <c r="AP15" s="22">
        <f>IF(OR(33&lt;$C15,33&gt;$D15),0,IF(33&gt;=$H15,$I15,IF(33&gt;=$F15,$G15,$E15)))</f>
        <v/>
      </c>
      <c r="AQ15" s="22">
        <f>IF(OR(34&lt;$C15,34&gt;$D15),0,IF(34&gt;=$H15,$I15,IF(34&gt;=$F15,$G15,$E15)))</f>
        <v/>
      </c>
      <c r="AR15" s="22">
        <f>IF(OR(35&lt;$C15,35&gt;$D15),0,IF(35&gt;=$H15,$I15,IF(35&gt;=$F15,$G15,$E15)))</f>
        <v/>
      </c>
      <c r="AS15" s="22">
        <f>IF(OR(36&lt;$C15,36&gt;$D15),0,IF(36&gt;=$H15,$I15,IF(36&gt;=$F15,$G15,$E15)))</f>
        <v/>
      </c>
    </row>
    <row r="16">
      <c r="B16" s="8" t="inlineStr">
        <is>
          <t>Support and community</t>
        </is>
      </c>
      <c r="C16" s="17" t="n">
        <v>8</v>
      </c>
      <c r="D16" s="17" t="n">
        <v>999</v>
      </c>
      <c r="E16" s="20" t="n">
        <v>3800</v>
      </c>
      <c r="F16" s="17" t="n">
        <v>20</v>
      </c>
      <c r="G16" s="20" t="n">
        <v>4200</v>
      </c>
      <c r="H16" s="17" t="n">
        <v>999</v>
      </c>
      <c r="I16" s="20" t="n">
        <v>4200</v>
      </c>
      <c r="J16" s="22">
        <f>IF(OR(1&lt;$C16,1&gt;$D16),0,IF(1&gt;=$H16,$I16,IF(1&gt;=$F16,$G16,$E16)))</f>
        <v/>
      </c>
      <c r="K16" s="22">
        <f>IF(OR(2&lt;$C16,2&gt;$D16),0,IF(2&gt;=$H16,$I16,IF(2&gt;=$F16,$G16,$E16)))</f>
        <v/>
      </c>
      <c r="L16" s="22">
        <f>IF(OR(3&lt;$C16,3&gt;$D16),0,IF(3&gt;=$H16,$I16,IF(3&gt;=$F16,$G16,$E16)))</f>
        <v/>
      </c>
      <c r="M16" s="22">
        <f>IF(OR(4&lt;$C16,4&gt;$D16),0,IF(4&gt;=$H16,$I16,IF(4&gt;=$F16,$G16,$E16)))</f>
        <v/>
      </c>
      <c r="N16" s="22">
        <f>IF(OR(5&lt;$C16,5&gt;$D16),0,IF(5&gt;=$H16,$I16,IF(5&gt;=$F16,$G16,$E16)))</f>
        <v/>
      </c>
      <c r="O16" s="22">
        <f>IF(OR(6&lt;$C16,6&gt;$D16),0,IF(6&gt;=$H16,$I16,IF(6&gt;=$F16,$G16,$E16)))</f>
        <v/>
      </c>
      <c r="P16" s="22">
        <f>IF(OR(7&lt;$C16,7&gt;$D16),0,IF(7&gt;=$H16,$I16,IF(7&gt;=$F16,$G16,$E16)))</f>
        <v/>
      </c>
      <c r="Q16" s="22">
        <f>IF(OR(8&lt;$C16,8&gt;$D16),0,IF(8&gt;=$H16,$I16,IF(8&gt;=$F16,$G16,$E16)))</f>
        <v/>
      </c>
      <c r="R16" s="22">
        <f>IF(OR(9&lt;$C16,9&gt;$D16),0,IF(9&gt;=$H16,$I16,IF(9&gt;=$F16,$G16,$E16)))</f>
        <v/>
      </c>
      <c r="S16" s="22">
        <f>IF(OR(10&lt;$C16,10&gt;$D16),0,IF(10&gt;=$H16,$I16,IF(10&gt;=$F16,$G16,$E16)))</f>
        <v/>
      </c>
      <c r="T16" s="22">
        <f>IF(OR(11&lt;$C16,11&gt;$D16),0,IF(11&gt;=$H16,$I16,IF(11&gt;=$F16,$G16,$E16)))</f>
        <v/>
      </c>
      <c r="U16" s="22">
        <f>IF(OR(12&lt;$C16,12&gt;$D16),0,IF(12&gt;=$H16,$I16,IF(12&gt;=$F16,$G16,$E16)))</f>
        <v/>
      </c>
      <c r="V16" s="22">
        <f>IF(OR(13&lt;$C16,13&gt;$D16),0,IF(13&gt;=$H16,$I16,IF(13&gt;=$F16,$G16,$E16)))</f>
        <v/>
      </c>
      <c r="W16" s="22">
        <f>IF(OR(14&lt;$C16,14&gt;$D16),0,IF(14&gt;=$H16,$I16,IF(14&gt;=$F16,$G16,$E16)))</f>
        <v/>
      </c>
      <c r="X16" s="22">
        <f>IF(OR(15&lt;$C16,15&gt;$D16),0,IF(15&gt;=$H16,$I16,IF(15&gt;=$F16,$G16,$E16)))</f>
        <v/>
      </c>
      <c r="Y16" s="22">
        <f>IF(OR(16&lt;$C16,16&gt;$D16),0,IF(16&gt;=$H16,$I16,IF(16&gt;=$F16,$G16,$E16)))</f>
        <v/>
      </c>
      <c r="Z16" s="22">
        <f>IF(OR(17&lt;$C16,17&gt;$D16),0,IF(17&gt;=$H16,$I16,IF(17&gt;=$F16,$G16,$E16)))</f>
        <v/>
      </c>
      <c r="AA16" s="22">
        <f>IF(OR(18&lt;$C16,18&gt;$D16),0,IF(18&gt;=$H16,$I16,IF(18&gt;=$F16,$G16,$E16)))</f>
        <v/>
      </c>
      <c r="AB16" s="22">
        <f>IF(OR(19&lt;$C16,19&gt;$D16),0,IF(19&gt;=$H16,$I16,IF(19&gt;=$F16,$G16,$E16)))</f>
        <v/>
      </c>
      <c r="AC16" s="22">
        <f>IF(OR(20&lt;$C16,20&gt;$D16),0,IF(20&gt;=$H16,$I16,IF(20&gt;=$F16,$G16,$E16)))</f>
        <v/>
      </c>
      <c r="AD16" s="22">
        <f>IF(OR(21&lt;$C16,21&gt;$D16),0,IF(21&gt;=$H16,$I16,IF(21&gt;=$F16,$G16,$E16)))</f>
        <v/>
      </c>
      <c r="AE16" s="22">
        <f>IF(OR(22&lt;$C16,22&gt;$D16),0,IF(22&gt;=$H16,$I16,IF(22&gt;=$F16,$G16,$E16)))</f>
        <v/>
      </c>
      <c r="AF16" s="22">
        <f>IF(OR(23&lt;$C16,23&gt;$D16),0,IF(23&gt;=$H16,$I16,IF(23&gt;=$F16,$G16,$E16)))</f>
        <v/>
      </c>
      <c r="AG16" s="22">
        <f>IF(OR(24&lt;$C16,24&gt;$D16),0,IF(24&gt;=$H16,$I16,IF(24&gt;=$F16,$G16,$E16)))</f>
        <v/>
      </c>
      <c r="AH16" s="22">
        <f>IF(OR(25&lt;$C16,25&gt;$D16),0,IF(25&gt;=$H16,$I16,IF(25&gt;=$F16,$G16,$E16)))</f>
        <v/>
      </c>
      <c r="AI16" s="22">
        <f>IF(OR(26&lt;$C16,26&gt;$D16),0,IF(26&gt;=$H16,$I16,IF(26&gt;=$F16,$G16,$E16)))</f>
        <v/>
      </c>
      <c r="AJ16" s="22">
        <f>IF(OR(27&lt;$C16,27&gt;$D16),0,IF(27&gt;=$H16,$I16,IF(27&gt;=$F16,$G16,$E16)))</f>
        <v/>
      </c>
      <c r="AK16" s="22">
        <f>IF(OR(28&lt;$C16,28&gt;$D16),0,IF(28&gt;=$H16,$I16,IF(28&gt;=$F16,$G16,$E16)))</f>
        <v/>
      </c>
      <c r="AL16" s="22">
        <f>IF(OR(29&lt;$C16,29&gt;$D16),0,IF(29&gt;=$H16,$I16,IF(29&gt;=$F16,$G16,$E16)))</f>
        <v/>
      </c>
      <c r="AM16" s="22">
        <f>IF(OR(30&lt;$C16,30&gt;$D16),0,IF(30&gt;=$H16,$I16,IF(30&gt;=$F16,$G16,$E16)))</f>
        <v/>
      </c>
      <c r="AN16" s="22">
        <f>IF(OR(31&lt;$C16,31&gt;$D16),0,IF(31&gt;=$H16,$I16,IF(31&gt;=$F16,$G16,$E16)))</f>
        <v/>
      </c>
      <c r="AO16" s="22">
        <f>IF(OR(32&lt;$C16,32&gt;$D16),0,IF(32&gt;=$H16,$I16,IF(32&gt;=$F16,$G16,$E16)))</f>
        <v/>
      </c>
      <c r="AP16" s="22">
        <f>IF(OR(33&lt;$C16,33&gt;$D16),0,IF(33&gt;=$H16,$I16,IF(33&gt;=$F16,$G16,$E16)))</f>
        <v/>
      </c>
      <c r="AQ16" s="22">
        <f>IF(OR(34&lt;$C16,34&gt;$D16),0,IF(34&gt;=$H16,$I16,IF(34&gt;=$F16,$G16,$E16)))</f>
        <v/>
      </c>
      <c r="AR16" s="22">
        <f>IF(OR(35&lt;$C16,35&gt;$D16),0,IF(35&gt;=$H16,$I16,IF(35&gt;=$F16,$G16,$E16)))</f>
        <v/>
      </c>
      <c r="AS16" s="22">
        <f>IF(OR(36&lt;$C16,36&gt;$D16),0,IF(36&gt;=$H16,$I16,IF(36&gt;=$F16,$G16,$E16)))</f>
        <v/>
      </c>
    </row>
    <row r="17">
      <c r="B17" s="8" t="inlineStr">
        <is>
          <t>Engineer #3</t>
        </is>
      </c>
      <c r="C17" s="17" t="n">
        <v>11</v>
      </c>
      <c r="D17" s="17" t="n">
        <v>999</v>
      </c>
      <c r="E17" s="20" t="n">
        <v>8600</v>
      </c>
      <c r="F17" s="17" t="n">
        <v>999</v>
      </c>
      <c r="G17" s="20" t="n">
        <v>8600</v>
      </c>
      <c r="H17" s="17" t="n">
        <v>999</v>
      </c>
      <c r="I17" s="20" t="n">
        <v>8600</v>
      </c>
      <c r="J17" s="22">
        <f>IF(OR(1&lt;$C17,1&gt;$D17),0,IF(1&gt;=$H17,$I17,IF(1&gt;=$F17,$G17,$E17)))</f>
        <v/>
      </c>
      <c r="K17" s="22">
        <f>IF(OR(2&lt;$C17,2&gt;$D17),0,IF(2&gt;=$H17,$I17,IF(2&gt;=$F17,$G17,$E17)))</f>
        <v/>
      </c>
      <c r="L17" s="22">
        <f>IF(OR(3&lt;$C17,3&gt;$D17),0,IF(3&gt;=$H17,$I17,IF(3&gt;=$F17,$G17,$E17)))</f>
        <v/>
      </c>
      <c r="M17" s="22">
        <f>IF(OR(4&lt;$C17,4&gt;$D17),0,IF(4&gt;=$H17,$I17,IF(4&gt;=$F17,$G17,$E17)))</f>
        <v/>
      </c>
      <c r="N17" s="22">
        <f>IF(OR(5&lt;$C17,5&gt;$D17),0,IF(5&gt;=$H17,$I17,IF(5&gt;=$F17,$G17,$E17)))</f>
        <v/>
      </c>
      <c r="O17" s="22">
        <f>IF(OR(6&lt;$C17,6&gt;$D17),0,IF(6&gt;=$H17,$I17,IF(6&gt;=$F17,$G17,$E17)))</f>
        <v/>
      </c>
      <c r="P17" s="22">
        <f>IF(OR(7&lt;$C17,7&gt;$D17),0,IF(7&gt;=$H17,$I17,IF(7&gt;=$F17,$G17,$E17)))</f>
        <v/>
      </c>
      <c r="Q17" s="22">
        <f>IF(OR(8&lt;$C17,8&gt;$D17),0,IF(8&gt;=$H17,$I17,IF(8&gt;=$F17,$G17,$E17)))</f>
        <v/>
      </c>
      <c r="R17" s="22">
        <f>IF(OR(9&lt;$C17,9&gt;$D17),0,IF(9&gt;=$H17,$I17,IF(9&gt;=$F17,$G17,$E17)))</f>
        <v/>
      </c>
      <c r="S17" s="22">
        <f>IF(OR(10&lt;$C17,10&gt;$D17),0,IF(10&gt;=$H17,$I17,IF(10&gt;=$F17,$G17,$E17)))</f>
        <v/>
      </c>
      <c r="T17" s="22">
        <f>IF(OR(11&lt;$C17,11&gt;$D17),0,IF(11&gt;=$H17,$I17,IF(11&gt;=$F17,$G17,$E17)))</f>
        <v/>
      </c>
      <c r="U17" s="22">
        <f>IF(OR(12&lt;$C17,12&gt;$D17),0,IF(12&gt;=$H17,$I17,IF(12&gt;=$F17,$G17,$E17)))</f>
        <v/>
      </c>
      <c r="V17" s="22">
        <f>IF(OR(13&lt;$C17,13&gt;$D17),0,IF(13&gt;=$H17,$I17,IF(13&gt;=$F17,$G17,$E17)))</f>
        <v/>
      </c>
      <c r="W17" s="22">
        <f>IF(OR(14&lt;$C17,14&gt;$D17),0,IF(14&gt;=$H17,$I17,IF(14&gt;=$F17,$G17,$E17)))</f>
        <v/>
      </c>
      <c r="X17" s="22">
        <f>IF(OR(15&lt;$C17,15&gt;$D17),0,IF(15&gt;=$H17,$I17,IF(15&gt;=$F17,$G17,$E17)))</f>
        <v/>
      </c>
      <c r="Y17" s="22">
        <f>IF(OR(16&lt;$C17,16&gt;$D17),0,IF(16&gt;=$H17,$I17,IF(16&gt;=$F17,$G17,$E17)))</f>
        <v/>
      </c>
      <c r="Z17" s="22">
        <f>IF(OR(17&lt;$C17,17&gt;$D17),0,IF(17&gt;=$H17,$I17,IF(17&gt;=$F17,$G17,$E17)))</f>
        <v/>
      </c>
      <c r="AA17" s="22">
        <f>IF(OR(18&lt;$C17,18&gt;$D17),0,IF(18&gt;=$H17,$I17,IF(18&gt;=$F17,$G17,$E17)))</f>
        <v/>
      </c>
      <c r="AB17" s="22">
        <f>IF(OR(19&lt;$C17,19&gt;$D17),0,IF(19&gt;=$H17,$I17,IF(19&gt;=$F17,$G17,$E17)))</f>
        <v/>
      </c>
      <c r="AC17" s="22">
        <f>IF(OR(20&lt;$C17,20&gt;$D17),0,IF(20&gt;=$H17,$I17,IF(20&gt;=$F17,$G17,$E17)))</f>
        <v/>
      </c>
      <c r="AD17" s="22">
        <f>IF(OR(21&lt;$C17,21&gt;$D17),0,IF(21&gt;=$H17,$I17,IF(21&gt;=$F17,$G17,$E17)))</f>
        <v/>
      </c>
      <c r="AE17" s="22">
        <f>IF(OR(22&lt;$C17,22&gt;$D17),0,IF(22&gt;=$H17,$I17,IF(22&gt;=$F17,$G17,$E17)))</f>
        <v/>
      </c>
      <c r="AF17" s="22">
        <f>IF(OR(23&lt;$C17,23&gt;$D17),0,IF(23&gt;=$H17,$I17,IF(23&gt;=$F17,$G17,$E17)))</f>
        <v/>
      </c>
      <c r="AG17" s="22">
        <f>IF(OR(24&lt;$C17,24&gt;$D17),0,IF(24&gt;=$H17,$I17,IF(24&gt;=$F17,$G17,$E17)))</f>
        <v/>
      </c>
      <c r="AH17" s="22">
        <f>IF(OR(25&lt;$C17,25&gt;$D17),0,IF(25&gt;=$H17,$I17,IF(25&gt;=$F17,$G17,$E17)))</f>
        <v/>
      </c>
      <c r="AI17" s="22">
        <f>IF(OR(26&lt;$C17,26&gt;$D17),0,IF(26&gt;=$H17,$I17,IF(26&gt;=$F17,$G17,$E17)))</f>
        <v/>
      </c>
      <c r="AJ17" s="22">
        <f>IF(OR(27&lt;$C17,27&gt;$D17),0,IF(27&gt;=$H17,$I17,IF(27&gt;=$F17,$G17,$E17)))</f>
        <v/>
      </c>
      <c r="AK17" s="22">
        <f>IF(OR(28&lt;$C17,28&gt;$D17),0,IF(28&gt;=$H17,$I17,IF(28&gt;=$F17,$G17,$E17)))</f>
        <v/>
      </c>
      <c r="AL17" s="22">
        <f>IF(OR(29&lt;$C17,29&gt;$D17),0,IF(29&gt;=$H17,$I17,IF(29&gt;=$F17,$G17,$E17)))</f>
        <v/>
      </c>
      <c r="AM17" s="22">
        <f>IF(OR(30&lt;$C17,30&gt;$D17),0,IF(30&gt;=$H17,$I17,IF(30&gt;=$F17,$G17,$E17)))</f>
        <v/>
      </c>
      <c r="AN17" s="22">
        <f>IF(OR(31&lt;$C17,31&gt;$D17),0,IF(31&gt;=$H17,$I17,IF(31&gt;=$F17,$G17,$E17)))</f>
        <v/>
      </c>
      <c r="AO17" s="22">
        <f>IF(OR(32&lt;$C17,32&gt;$D17),0,IF(32&gt;=$H17,$I17,IF(32&gt;=$F17,$G17,$E17)))</f>
        <v/>
      </c>
      <c r="AP17" s="22">
        <f>IF(OR(33&lt;$C17,33&gt;$D17),0,IF(33&gt;=$H17,$I17,IF(33&gt;=$F17,$G17,$E17)))</f>
        <v/>
      </c>
      <c r="AQ17" s="22">
        <f>IF(OR(34&lt;$C17,34&gt;$D17),0,IF(34&gt;=$H17,$I17,IF(34&gt;=$F17,$G17,$E17)))</f>
        <v/>
      </c>
      <c r="AR17" s="22">
        <f>IF(OR(35&lt;$C17,35&gt;$D17),0,IF(35&gt;=$H17,$I17,IF(35&gt;=$F17,$G17,$E17)))</f>
        <v/>
      </c>
      <c r="AS17" s="22">
        <f>IF(OR(36&lt;$C17,36&gt;$D17),0,IF(36&gt;=$H17,$I17,IF(36&gt;=$F17,$G17,$E17)))</f>
        <v/>
      </c>
    </row>
    <row r="18">
      <c r="B18" s="8" t="inlineStr">
        <is>
          <t>Nutrition-data operations</t>
        </is>
      </c>
      <c r="C18" s="17" t="n">
        <v>12</v>
      </c>
      <c r="D18" s="17" t="n">
        <v>999</v>
      </c>
      <c r="E18" s="20" t="n">
        <v>5000</v>
      </c>
      <c r="F18" s="17" t="n">
        <v>999</v>
      </c>
      <c r="G18" s="20" t="n">
        <v>5000</v>
      </c>
      <c r="H18" s="17" t="n">
        <v>999</v>
      </c>
      <c r="I18" s="20" t="n">
        <v>5000</v>
      </c>
      <c r="J18" s="22">
        <f>IF(OR(1&lt;$C18,1&gt;$D18),0,IF(1&gt;=$H18,$I18,IF(1&gt;=$F18,$G18,$E18)))</f>
        <v/>
      </c>
      <c r="K18" s="22">
        <f>IF(OR(2&lt;$C18,2&gt;$D18),0,IF(2&gt;=$H18,$I18,IF(2&gt;=$F18,$G18,$E18)))</f>
        <v/>
      </c>
      <c r="L18" s="22">
        <f>IF(OR(3&lt;$C18,3&gt;$D18),0,IF(3&gt;=$H18,$I18,IF(3&gt;=$F18,$G18,$E18)))</f>
        <v/>
      </c>
      <c r="M18" s="22">
        <f>IF(OR(4&lt;$C18,4&gt;$D18),0,IF(4&gt;=$H18,$I18,IF(4&gt;=$F18,$G18,$E18)))</f>
        <v/>
      </c>
      <c r="N18" s="22">
        <f>IF(OR(5&lt;$C18,5&gt;$D18),0,IF(5&gt;=$H18,$I18,IF(5&gt;=$F18,$G18,$E18)))</f>
        <v/>
      </c>
      <c r="O18" s="22">
        <f>IF(OR(6&lt;$C18,6&gt;$D18),0,IF(6&gt;=$H18,$I18,IF(6&gt;=$F18,$G18,$E18)))</f>
        <v/>
      </c>
      <c r="P18" s="22">
        <f>IF(OR(7&lt;$C18,7&gt;$D18),0,IF(7&gt;=$H18,$I18,IF(7&gt;=$F18,$G18,$E18)))</f>
        <v/>
      </c>
      <c r="Q18" s="22">
        <f>IF(OR(8&lt;$C18,8&gt;$D18),0,IF(8&gt;=$H18,$I18,IF(8&gt;=$F18,$G18,$E18)))</f>
        <v/>
      </c>
      <c r="R18" s="22">
        <f>IF(OR(9&lt;$C18,9&gt;$D18),0,IF(9&gt;=$H18,$I18,IF(9&gt;=$F18,$G18,$E18)))</f>
        <v/>
      </c>
      <c r="S18" s="22">
        <f>IF(OR(10&lt;$C18,10&gt;$D18),0,IF(10&gt;=$H18,$I18,IF(10&gt;=$F18,$G18,$E18)))</f>
        <v/>
      </c>
      <c r="T18" s="22">
        <f>IF(OR(11&lt;$C18,11&gt;$D18),0,IF(11&gt;=$H18,$I18,IF(11&gt;=$F18,$G18,$E18)))</f>
        <v/>
      </c>
      <c r="U18" s="22">
        <f>IF(OR(12&lt;$C18,12&gt;$D18),0,IF(12&gt;=$H18,$I18,IF(12&gt;=$F18,$G18,$E18)))</f>
        <v/>
      </c>
      <c r="V18" s="22">
        <f>IF(OR(13&lt;$C18,13&gt;$D18),0,IF(13&gt;=$H18,$I18,IF(13&gt;=$F18,$G18,$E18)))</f>
        <v/>
      </c>
      <c r="W18" s="22">
        <f>IF(OR(14&lt;$C18,14&gt;$D18),0,IF(14&gt;=$H18,$I18,IF(14&gt;=$F18,$G18,$E18)))</f>
        <v/>
      </c>
      <c r="X18" s="22">
        <f>IF(OR(15&lt;$C18,15&gt;$D18),0,IF(15&gt;=$H18,$I18,IF(15&gt;=$F18,$G18,$E18)))</f>
        <v/>
      </c>
      <c r="Y18" s="22">
        <f>IF(OR(16&lt;$C18,16&gt;$D18),0,IF(16&gt;=$H18,$I18,IF(16&gt;=$F18,$G18,$E18)))</f>
        <v/>
      </c>
      <c r="Z18" s="22">
        <f>IF(OR(17&lt;$C18,17&gt;$D18),0,IF(17&gt;=$H18,$I18,IF(17&gt;=$F18,$G18,$E18)))</f>
        <v/>
      </c>
      <c r="AA18" s="22">
        <f>IF(OR(18&lt;$C18,18&gt;$D18),0,IF(18&gt;=$H18,$I18,IF(18&gt;=$F18,$G18,$E18)))</f>
        <v/>
      </c>
      <c r="AB18" s="22">
        <f>IF(OR(19&lt;$C18,19&gt;$D18),0,IF(19&gt;=$H18,$I18,IF(19&gt;=$F18,$G18,$E18)))</f>
        <v/>
      </c>
      <c r="AC18" s="22">
        <f>IF(OR(20&lt;$C18,20&gt;$D18),0,IF(20&gt;=$H18,$I18,IF(20&gt;=$F18,$G18,$E18)))</f>
        <v/>
      </c>
      <c r="AD18" s="22">
        <f>IF(OR(21&lt;$C18,21&gt;$D18),0,IF(21&gt;=$H18,$I18,IF(21&gt;=$F18,$G18,$E18)))</f>
        <v/>
      </c>
      <c r="AE18" s="22">
        <f>IF(OR(22&lt;$C18,22&gt;$D18),0,IF(22&gt;=$H18,$I18,IF(22&gt;=$F18,$G18,$E18)))</f>
        <v/>
      </c>
      <c r="AF18" s="22">
        <f>IF(OR(23&lt;$C18,23&gt;$D18),0,IF(23&gt;=$H18,$I18,IF(23&gt;=$F18,$G18,$E18)))</f>
        <v/>
      </c>
      <c r="AG18" s="22">
        <f>IF(OR(24&lt;$C18,24&gt;$D18),0,IF(24&gt;=$H18,$I18,IF(24&gt;=$F18,$G18,$E18)))</f>
        <v/>
      </c>
      <c r="AH18" s="22">
        <f>IF(OR(25&lt;$C18,25&gt;$D18),0,IF(25&gt;=$H18,$I18,IF(25&gt;=$F18,$G18,$E18)))</f>
        <v/>
      </c>
      <c r="AI18" s="22">
        <f>IF(OR(26&lt;$C18,26&gt;$D18),0,IF(26&gt;=$H18,$I18,IF(26&gt;=$F18,$G18,$E18)))</f>
        <v/>
      </c>
      <c r="AJ18" s="22">
        <f>IF(OR(27&lt;$C18,27&gt;$D18),0,IF(27&gt;=$H18,$I18,IF(27&gt;=$F18,$G18,$E18)))</f>
        <v/>
      </c>
      <c r="AK18" s="22">
        <f>IF(OR(28&lt;$C18,28&gt;$D18),0,IF(28&gt;=$H18,$I18,IF(28&gt;=$F18,$G18,$E18)))</f>
        <v/>
      </c>
      <c r="AL18" s="22">
        <f>IF(OR(29&lt;$C18,29&gt;$D18),0,IF(29&gt;=$H18,$I18,IF(29&gt;=$F18,$G18,$E18)))</f>
        <v/>
      </c>
      <c r="AM18" s="22">
        <f>IF(OR(30&lt;$C18,30&gt;$D18),0,IF(30&gt;=$H18,$I18,IF(30&gt;=$F18,$G18,$E18)))</f>
        <v/>
      </c>
      <c r="AN18" s="22">
        <f>IF(OR(31&lt;$C18,31&gt;$D18),0,IF(31&gt;=$H18,$I18,IF(31&gt;=$F18,$G18,$E18)))</f>
        <v/>
      </c>
      <c r="AO18" s="22">
        <f>IF(OR(32&lt;$C18,32&gt;$D18),0,IF(32&gt;=$H18,$I18,IF(32&gt;=$F18,$G18,$E18)))</f>
        <v/>
      </c>
      <c r="AP18" s="22">
        <f>IF(OR(33&lt;$C18,33&gt;$D18),0,IF(33&gt;=$H18,$I18,IF(33&gt;=$F18,$G18,$E18)))</f>
        <v/>
      </c>
      <c r="AQ18" s="22">
        <f>IF(OR(34&lt;$C18,34&gt;$D18),0,IF(34&gt;=$H18,$I18,IF(34&gt;=$F18,$G18,$E18)))</f>
        <v/>
      </c>
      <c r="AR18" s="22">
        <f>IF(OR(35&lt;$C18,35&gt;$D18),0,IF(35&gt;=$H18,$I18,IF(35&gt;=$F18,$G18,$E18)))</f>
        <v/>
      </c>
      <c r="AS18" s="22">
        <f>IF(OR(36&lt;$C18,36&gt;$D18),0,IF(36&gt;=$H18,$I18,IF(36&gt;=$F18,$G18,$E18)))</f>
        <v/>
      </c>
    </row>
    <row r="19">
      <c r="B19" s="8" t="inlineStr">
        <is>
          <t>Engineer #4</t>
        </is>
      </c>
      <c r="C19" s="17" t="n">
        <v>15</v>
      </c>
      <c r="D19" s="17" t="n">
        <v>999</v>
      </c>
      <c r="E19" s="20" t="n">
        <v>8600</v>
      </c>
      <c r="F19" s="17" t="n">
        <v>999</v>
      </c>
      <c r="G19" s="20" t="n">
        <v>8600</v>
      </c>
      <c r="H19" s="17" t="n">
        <v>999</v>
      </c>
      <c r="I19" s="20" t="n">
        <v>8600</v>
      </c>
      <c r="J19" s="22">
        <f>IF(OR(1&lt;$C19,1&gt;$D19),0,IF(1&gt;=$H19,$I19,IF(1&gt;=$F19,$G19,$E19)))</f>
        <v/>
      </c>
      <c r="K19" s="22">
        <f>IF(OR(2&lt;$C19,2&gt;$D19),0,IF(2&gt;=$H19,$I19,IF(2&gt;=$F19,$G19,$E19)))</f>
        <v/>
      </c>
      <c r="L19" s="22">
        <f>IF(OR(3&lt;$C19,3&gt;$D19),0,IF(3&gt;=$H19,$I19,IF(3&gt;=$F19,$G19,$E19)))</f>
        <v/>
      </c>
      <c r="M19" s="22">
        <f>IF(OR(4&lt;$C19,4&gt;$D19),0,IF(4&gt;=$H19,$I19,IF(4&gt;=$F19,$G19,$E19)))</f>
        <v/>
      </c>
      <c r="N19" s="22">
        <f>IF(OR(5&lt;$C19,5&gt;$D19),0,IF(5&gt;=$H19,$I19,IF(5&gt;=$F19,$G19,$E19)))</f>
        <v/>
      </c>
      <c r="O19" s="22">
        <f>IF(OR(6&lt;$C19,6&gt;$D19),0,IF(6&gt;=$H19,$I19,IF(6&gt;=$F19,$G19,$E19)))</f>
        <v/>
      </c>
      <c r="P19" s="22">
        <f>IF(OR(7&lt;$C19,7&gt;$D19),0,IF(7&gt;=$H19,$I19,IF(7&gt;=$F19,$G19,$E19)))</f>
        <v/>
      </c>
      <c r="Q19" s="22">
        <f>IF(OR(8&lt;$C19,8&gt;$D19),0,IF(8&gt;=$H19,$I19,IF(8&gt;=$F19,$G19,$E19)))</f>
        <v/>
      </c>
      <c r="R19" s="22">
        <f>IF(OR(9&lt;$C19,9&gt;$D19),0,IF(9&gt;=$H19,$I19,IF(9&gt;=$F19,$G19,$E19)))</f>
        <v/>
      </c>
      <c r="S19" s="22">
        <f>IF(OR(10&lt;$C19,10&gt;$D19),0,IF(10&gt;=$H19,$I19,IF(10&gt;=$F19,$G19,$E19)))</f>
        <v/>
      </c>
      <c r="T19" s="22">
        <f>IF(OR(11&lt;$C19,11&gt;$D19),0,IF(11&gt;=$H19,$I19,IF(11&gt;=$F19,$G19,$E19)))</f>
        <v/>
      </c>
      <c r="U19" s="22">
        <f>IF(OR(12&lt;$C19,12&gt;$D19),0,IF(12&gt;=$H19,$I19,IF(12&gt;=$F19,$G19,$E19)))</f>
        <v/>
      </c>
      <c r="V19" s="22">
        <f>IF(OR(13&lt;$C19,13&gt;$D19),0,IF(13&gt;=$H19,$I19,IF(13&gt;=$F19,$G19,$E19)))</f>
        <v/>
      </c>
      <c r="W19" s="22">
        <f>IF(OR(14&lt;$C19,14&gt;$D19),0,IF(14&gt;=$H19,$I19,IF(14&gt;=$F19,$G19,$E19)))</f>
        <v/>
      </c>
      <c r="X19" s="22">
        <f>IF(OR(15&lt;$C19,15&gt;$D19),0,IF(15&gt;=$H19,$I19,IF(15&gt;=$F19,$G19,$E19)))</f>
        <v/>
      </c>
      <c r="Y19" s="22">
        <f>IF(OR(16&lt;$C19,16&gt;$D19),0,IF(16&gt;=$H19,$I19,IF(16&gt;=$F19,$G19,$E19)))</f>
        <v/>
      </c>
      <c r="Z19" s="22">
        <f>IF(OR(17&lt;$C19,17&gt;$D19),0,IF(17&gt;=$H19,$I19,IF(17&gt;=$F19,$G19,$E19)))</f>
        <v/>
      </c>
      <c r="AA19" s="22">
        <f>IF(OR(18&lt;$C19,18&gt;$D19),0,IF(18&gt;=$H19,$I19,IF(18&gt;=$F19,$G19,$E19)))</f>
        <v/>
      </c>
      <c r="AB19" s="22">
        <f>IF(OR(19&lt;$C19,19&gt;$D19),0,IF(19&gt;=$H19,$I19,IF(19&gt;=$F19,$G19,$E19)))</f>
        <v/>
      </c>
      <c r="AC19" s="22">
        <f>IF(OR(20&lt;$C19,20&gt;$D19),0,IF(20&gt;=$H19,$I19,IF(20&gt;=$F19,$G19,$E19)))</f>
        <v/>
      </c>
      <c r="AD19" s="22">
        <f>IF(OR(21&lt;$C19,21&gt;$D19),0,IF(21&gt;=$H19,$I19,IF(21&gt;=$F19,$G19,$E19)))</f>
        <v/>
      </c>
      <c r="AE19" s="22">
        <f>IF(OR(22&lt;$C19,22&gt;$D19),0,IF(22&gt;=$H19,$I19,IF(22&gt;=$F19,$G19,$E19)))</f>
        <v/>
      </c>
      <c r="AF19" s="22">
        <f>IF(OR(23&lt;$C19,23&gt;$D19),0,IF(23&gt;=$H19,$I19,IF(23&gt;=$F19,$G19,$E19)))</f>
        <v/>
      </c>
      <c r="AG19" s="22">
        <f>IF(OR(24&lt;$C19,24&gt;$D19),0,IF(24&gt;=$H19,$I19,IF(24&gt;=$F19,$G19,$E19)))</f>
        <v/>
      </c>
      <c r="AH19" s="22">
        <f>IF(OR(25&lt;$C19,25&gt;$D19),0,IF(25&gt;=$H19,$I19,IF(25&gt;=$F19,$G19,$E19)))</f>
        <v/>
      </c>
      <c r="AI19" s="22">
        <f>IF(OR(26&lt;$C19,26&gt;$D19),0,IF(26&gt;=$H19,$I19,IF(26&gt;=$F19,$G19,$E19)))</f>
        <v/>
      </c>
      <c r="AJ19" s="22">
        <f>IF(OR(27&lt;$C19,27&gt;$D19),0,IF(27&gt;=$H19,$I19,IF(27&gt;=$F19,$G19,$E19)))</f>
        <v/>
      </c>
      <c r="AK19" s="22">
        <f>IF(OR(28&lt;$C19,28&gt;$D19),0,IF(28&gt;=$H19,$I19,IF(28&gt;=$F19,$G19,$E19)))</f>
        <v/>
      </c>
      <c r="AL19" s="22">
        <f>IF(OR(29&lt;$C19,29&gt;$D19),0,IF(29&gt;=$H19,$I19,IF(29&gt;=$F19,$G19,$E19)))</f>
        <v/>
      </c>
      <c r="AM19" s="22">
        <f>IF(OR(30&lt;$C19,30&gt;$D19),0,IF(30&gt;=$H19,$I19,IF(30&gt;=$F19,$G19,$E19)))</f>
        <v/>
      </c>
      <c r="AN19" s="22">
        <f>IF(OR(31&lt;$C19,31&gt;$D19),0,IF(31&gt;=$H19,$I19,IF(31&gt;=$F19,$G19,$E19)))</f>
        <v/>
      </c>
      <c r="AO19" s="22">
        <f>IF(OR(32&lt;$C19,32&gt;$D19),0,IF(32&gt;=$H19,$I19,IF(32&gt;=$F19,$G19,$E19)))</f>
        <v/>
      </c>
      <c r="AP19" s="22">
        <f>IF(OR(33&lt;$C19,33&gt;$D19),0,IF(33&gt;=$H19,$I19,IF(33&gt;=$F19,$G19,$E19)))</f>
        <v/>
      </c>
      <c r="AQ19" s="22">
        <f>IF(OR(34&lt;$C19,34&gt;$D19),0,IF(34&gt;=$H19,$I19,IF(34&gt;=$F19,$G19,$E19)))</f>
        <v/>
      </c>
      <c r="AR19" s="22">
        <f>IF(OR(35&lt;$C19,35&gt;$D19),0,IF(35&gt;=$H19,$I19,IF(35&gt;=$F19,$G19,$E19)))</f>
        <v/>
      </c>
      <c r="AS19" s="22">
        <f>IF(OR(36&lt;$C19,36&gt;$D19),0,IF(36&gt;=$H19,$I19,IF(36&gt;=$F19,$G19,$E19)))</f>
        <v/>
      </c>
    </row>
    <row r="20">
      <c r="B20" s="8" t="inlineStr">
        <is>
          <t>Data scientist / evaluations</t>
        </is>
      </c>
      <c r="C20" s="17" t="n">
        <v>17</v>
      </c>
      <c r="D20" s="17" t="n">
        <v>999</v>
      </c>
      <c r="E20" s="20" t="n">
        <v>9200</v>
      </c>
      <c r="F20" s="17" t="n">
        <v>999</v>
      </c>
      <c r="G20" s="20" t="n">
        <v>9200</v>
      </c>
      <c r="H20" s="17" t="n">
        <v>999</v>
      </c>
      <c r="I20" s="20" t="n">
        <v>9200</v>
      </c>
      <c r="J20" s="22">
        <f>IF(OR(1&lt;$C20,1&gt;$D20),0,IF(1&gt;=$H20,$I20,IF(1&gt;=$F20,$G20,$E20)))</f>
        <v/>
      </c>
      <c r="K20" s="22">
        <f>IF(OR(2&lt;$C20,2&gt;$D20),0,IF(2&gt;=$H20,$I20,IF(2&gt;=$F20,$G20,$E20)))</f>
        <v/>
      </c>
      <c r="L20" s="22">
        <f>IF(OR(3&lt;$C20,3&gt;$D20),0,IF(3&gt;=$H20,$I20,IF(3&gt;=$F20,$G20,$E20)))</f>
        <v/>
      </c>
      <c r="M20" s="22">
        <f>IF(OR(4&lt;$C20,4&gt;$D20),0,IF(4&gt;=$H20,$I20,IF(4&gt;=$F20,$G20,$E20)))</f>
        <v/>
      </c>
      <c r="N20" s="22">
        <f>IF(OR(5&lt;$C20,5&gt;$D20),0,IF(5&gt;=$H20,$I20,IF(5&gt;=$F20,$G20,$E20)))</f>
        <v/>
      </c>
      <c r="O20" s="22">
        <f>IF(OR(6&lt;$C20,6&gt;$D20),0,IF(6&gt;=$H20,$I20,IF(6&gt;=$F20,$G20,$E20)))</f>
        <v/>
      </c>
      <c r="P20" s="22">
        <f>IF(OR(7&lt;$C20,7&gt;$D20),0,IF(7&gt;=$H20,$I20,IF(7&gt;=$F20,$G20,$E20)))</f>
        <v/>
      </c>
      <c r="Q20" s="22">
        <f>IF(OR(8&lt;$C20,8&gt;$D20),0,IF(8&gt;=$H20,$I20,IF(8&gt;=$F20,$G20,$E20)))</f>
        <v/>
      </c>
      <c r="R20" s="22">
        <f>IF(OR(9&lt;$C20,9&gt;$D20),0,IF(9&gt;=$H20,$I20,IF(9&gt;=$F20,$G20,$E20)))</f>
        <v/>
      </c>
      <c r="S20" s="22">
        <f>IF(OR(10&lt;$C20,10&gt;$D20),0,IF(10&gt;=$H20,$I20,IF(10&gt;=$F20,$G20,$E20)))</f>
        <v/>
      </c>
      <c r="T20" s="22">
        <f>IF(OR(11&lt;$C20,11&gt;$D20),0,IF(11&gt;=$H20,$I20,IF(11&gt;=$F20,$G20,$E20)))</f>
        <v/>
      </c>
      <c r="U20" s="22">
        <f>IF(OR(12&lt;$C20,12&gt;$D20),0,IF(12&gt;=$H20,$I20,IF(12&gt;=$F20,$G20,$E20)))</f>
        <v/>
      </c>
      <c r="V20" s="22">
        <f>IF(OR(13&lt;$C20,13&gt;$D20),0,IF(13&gt;=$H20,$I20,IF(13&gt;=$F20,$G20,$E20)))</f>
        <v/>
      </c>
      <c r="W20" s="22">
        <f>IF(OR(14&lt;$C20,14&gt;$D20),0,IF(14&gt;=$H20,$I20,IF(14&gt;=$F20,$G20,$E20)))</f>
        <v/>
      </c>
      <c r="X20" s="22">
        <f>IF(OR(15&lt;$C20,15&gt;$D20),0,IF(15&gt;=$H20,$I20,IF(15&gt;=$F20,$G20,$E20)))</f>
        <v/>
      </c>
      <c r="Y20" s="22">
        <f>IF(OR(16&lt;$C20,16&gt;$D20),0,IF(16&gt;=$H20,$I20,IF(16&gt;=$F20,$G20,$E20)))</f>
        <v/>
      </c>
      <c r="Z20" s="22">
        <f>IF(OR(17&lt;$C20,17&gt;$D20),0,IF(17&gt;=$H20,$I20,IF(17&gt;=$F20,$G20,$E20)))</f>
        <v/>
      </c>
      <c r="AA20" s="22">
        <f>IF(OR(18&lt;$C20,18&gt;$D20),0,IF(18&gt;=$H20,$I20,IF(18&gt;=$F20,$G20,$E20)))</f>
        <v/>
      </c>
      <c r="AB20" s="22">
        <f>IF(OR(19&lt;$C20,19&gt;$D20),0,IF(19&gt;=$H20,$I20,IF(19&gt;=$F20,$G20,$E20)))</f>
        <v/>
      </c>
      <c r="AC20" s="22">
        <f>IF(OR(20&lt;$C20,20&gt;$D20),0,IF(20&gt;=$H20,$I20,IF(20&gt;=$F20,$G20,$E20)))</f>
        <v/>
      </c>
      <c r="AD20" s="22">
        <f>IF(OR(21&lt;$C20,21&gt;$D20),0,IF(21&gt;=$H20,$I20,IF(21&gt;=$F20,$G20,$E20)))</f>
        <v/>
      </c>
      <c r="AE20" s="22">
        <f>IF(OR(22&lt;$C20,22&gt;$D20),0,IF(22&gt;=$H20,$I20,IF(22&gt;=$F20,$G20,$E20)))</f>
        <v/>
      </c>
      <c r="AF20" s="22">
        <f>IF(OR(23&lt;$C20,23&gt;$D20),0,IF(23&gt;=$H20,$I20,IF(23&gt;=$F20,$G20,$E20)))</f>
        <v/>
      </c>
      <c r="AG20" s="22">
        <f>IF(OR(24&lt;$C20,24&gt;$D20),0,IF(24&gt;=$H20,$I20,IF(24&gt;=$F20,$G20,$E20)))</f>
        <v/>
      </c>
      <c r="AH20" s="22">
        <f>IF(OR(25&lt;$C20,25&gt;$D20),0,IF(25&gt;=$H20,$I20,IF(25&gt;=$F20,$G20,$E20)))</f>
        <v/>
      </c>
      <c r="AI20" s="22">
        <f>IF(OR(26&lt;$C20,26&gt;$D20),0,IF(26&gt;=$H20,$I20,IF(26&gt;=$F20,$G20,$E20)))</f>
        <v/>
      </c>
      <c r="AJ20" s="22">
        <f>IF(OR(27&lt;$C20,27&gt;$D20),0,IF(27&gt;=$H20,$I20,IF(27&gt;=$F20,$G20,$E20)))</f>
        <v/>
      </c>
      <c r="AK20" s="22">
        <f>IF(OR(28&lt;$C20,28&gt;$D20),0,IF(28&gt;=$H20,$I20,IF(28&gt;=$F20,$G20,$E20)))</f>
        <v/>
      </c>
      <c r="AL20" s="22">
        <f>IF(OR(29&lt;$C20,29&gt;$D20),0,IF(29&gt;=$H20,$I20,IF(29&gt;=$F20,$G20,$E20)))</f>
        <v/>
      </c>
      <c r="AM20" s="22">
        <f>IF(OR(30&lt;$C20,30&gt;$D20),0,IF(30&gt;=$H20,$I20,IF(30&gt;=$F20,$G20,$E20)))</f>
        <v/>
      </c>
      <c r="AN20" s="22">
        <f>IF(OR(31&lt;$C20,31&gt;$D20),0,IF(31&gt;=$H20,$I20,IF(31&gt;=$F20,$G20,$E20)))</f>
        <v/>
      </c>
      <c r="AO20" s="22">
        <f>IF(OR(32&lt;$C20,32&gt;$D20),0,IF(32&gt;=$H20,$I20,IF(32&gt;=$F20,$G20,$E20)))</f>
        <v/>
      </c>
      <c r="AP20" s="22">
        <f>IF(OR(33&lt;$C20,33&gt;$D20),0,IF(33&gt;=$H20,$I20,IF(33&gt;=$F20,$G20,$E20)))</f>
        <v/>
      </c>
      <c r="AQ20" s="22">
        <f>IF(OR(34&lt;$C20,34&gt;$D20),0,IF(34&gt;=$H20,$I20,IF(34&gt;=$F20,$G20,$E20)))</f>
        <v/>
      </c>
      <c r="AR20" s="22">
        <f>IF(OR(35&lt;$C20,35&gt;$D20),0,IF(35&gt;=$H20,$I20,IF(35&gt;=$F20,$G20,$E20)))</f>
        <v/>
      </c>
      <c r="AS20" s="22">
        <f>IF(OR(36&lt;$C20,36&gt;$D20),0,IF(36&gt;=$H20,$I20,IF(36&gt;=$F20,$G20,$E20)))</f>
        <v/>
      </c>
    </row>
    <row r="21">
      <c r="B21" s="8" t="inlineStr">
        <is>
          <t>Lifecycle and retention marketer</t>
        </is>
      </c>
      <c r="C21" s="17" t="n">
        <v>19</v>
      </c>
      <c r="D21" s="17" t="n">
        <v>999</v>
      </c>
      <c r="E21" s="20" t="n">
        <v>7500</v>
      </c>
      <c r="F21" s="17" t="n">
        <v>999</v>
      </c>
      <c r="G21" s="20" t="n">
        <v>7500</v>
      </c>
      <c r="H21" s="17" t="n">
        <v>999</v>
      </c>
      <c r="I21" s="20" t="n">
        <v>7500</v>
      </c>
      <c r="J21" s="22">
        <f>IF(OR(1&lt;$C21,1&gt;$D21),0,IF(1&gt;=$H21,$I21,IF(1&gt;=$F21,$G21,$E21)))</f>
        <v/>
      </c>
      <c r="K21" s="22">
        <f>IF(OR(2&lt;$C21,2&gt;$D21),0,IF(2&gt;=$H21,$I21,IF(2&gt;=$F21,$G21,$E21)))</f>
        <v/>
      </c>
      <c r="L21" s="22">
        <f>IF(OR(3&lt;$C21,3&gt;$D21),0,IF(3&gt;=$H21,$I21,IF(3&gt;=$F21,$G21,$E21)))</f>
        <v/>
      </c>
      <c r="M21" s="22">
        <f>IF(OR(4&lt;$C21,4&gt;$D21),0,IF(4&gt;=$H21,$I21,IF(4&gt;=$F21,$G21,$E21)))</f>
        <v/>
      </c>
      <c r="N21" s="22">
        <f>IF(OR(5&lt;$C21,5&gt;$D21),0,IF(5&gt;=$H21,$I21,IF(5&gt;=$F21,$G21,$E21)))</f>
        <v/>
      </c>
      <c r="O21" s="22">
        <f>IF(OR(6&lt;$C21,6&gt;$D21),0,IF(6&gt;=$H21,$I21,IF(6&gt;=$F21,$G21,$E21)))</f>
        <v/>
      </c>
      <c r="P21" s="22">
        <f>IF(OR(7&lt;$C21,7&gt;$D21),0,IF(7&gt;=$H21,$I21,IF(7&gt;=$F21,$G21,$E21)))</f>
        <v/>
      </c>
      <c r="Q21" s="22">
        <f>IF(OR(8&lt;$C21,8&gt;$D21),0,IF(8&gt;=$H21,$I21,IF(8&gt;=$F21,$G21,$E21)))</f>
        <v/>
      </c>
      <c r="R21" s="22">
        <f>IF(OR(9&lt;$C21,9&gt;$D21),0,IF(9&gt;=$H21,$I21,IF(9&gt;=$F21,$G21,$E21)))</f>
        <v/>
      </c>
      <c r="S21" s="22">
        <f>IF(OR(10&lt;$C21,10&gt;$D21),0,IF(10&gt;=$H21,$I21,IF(10&gt;=$F21,$G21,$E21)))</f>
        <v/>
      </c>
      <c r="T21" s="22">
        <f>IF(OR(11&lt;$C21,11&gt;$D21),0,IF(11&gt;=$H21,$I21,IF(11&gt;=$F21,$G21,$E21)))</f>
        <v/>
      </c>
      <c r="U21" s="22">
        <f>IF(OR(12&lt;$C21,12&gt;$D21),0,IF(12&gt;=$H21,$I21,IF(12&gt;=$F21,$G21,$E21)))</f>
        <v/>
      </c>
      <c r="V21" s="22">
        <f>IF(OR(13&lt;$C21,13&gt;$D21),0,IF(13&gt;=$H21,$I21,IF(13&gt;=$F21,$G21,$E21)))</f>
        <v/>
      </c>
      <c r="W21" s="22">
        <f>IF(OR(14&lt;$C21,14&gt;$D21),0,IF(14&gt;=$H21,$I21,IF(14&gt;=$F21,$G21,$E21)))</f>
        <v/>
      </c>
      <c r="X21" s="22">
        <f>IF(OR(15&lt;$C21,15&gt;$D21),0,IF(15&gt;=$H21,$I21,IF(15&gt;=$F21,$G21,$E21)))</f>
        <v/>
      </c>
      <c r="Y21" s="22">
        <f>IF(OR(16&lt;$C21,16&gt;$D21),0,IF(16&gt;=$H21,$I21,IF(16&gt;=$F21,$G21,$E21)))</f>
        <v/>
      </c>
      <c r="Z21" s="22">
        <f>IF(OR(17&lt;$C21,17&gt;$D21),0,IF(17&gt;=$H21,$I21,IF(17&gt;=$F21,$G21,$E21)))</f>
        <v/>
      </c>
      <c r="AA21" s="22">
        <f>IF(OR(18&lt;$C21,18&gt;$D21),0,IF(18&gt;=$H21,$I21,IF(18&gt;=$F21,$G21,$E21)))</f>
        <v/>
      </c>
      <c r="AB21" s="22">
        <f>IF(OR(19&lt;$C21,19&gt;$D21),0,IF(19&gt;=$H21,$I21,IF(19&gt;=$F21,$G21,$E21)))</f>
        <v/>
      </c>
      <c r="AC21" s="22">
        <f>IF(OR(20&lt;$C21,20&gt;$D21),0,IF(20&gt;=$H21,$I21,IF(20&gt;=$F21,$G21,$E21)))</f>
        <v/>
      </c>
      <c r="AD21" s="22">
        <f>IF(OR(21&lt;$C21,21&gt;$D21),0,IF(21&gt;=$H21,$I21,IF(21&gt;=$F21,$G21,$E21)))</f>
        <v/>
      </c>
      <c r="AE21" s="22">
        <f>IF(OR(22&lt;$C21,22&gt;$D21),0,IF(22&gt;=$H21,$I21,IF(22&gt;=$F21,$G21,$E21)))</f>
        <v/>
      </c>
      <c r="AF21" s="22">
        <f>IF(OR(23&lt;$C21,23&gt;$D21),0,IF(23&gt;=$H21,$I21,IF(23&gt;=$F21,$G21,$E21)))</f>
        <v/>
      </c>
      <c r="AG21" s="22">
        <f>IF(OR(24&lt;$C21,24&gt;$D21),0,IF(24&gt;=$H21,$I21,IF(24&gt;=$F21,$G21,$E21)))</f>
        <v/>
      </c>
      <c r="AH21" s="22">
        <f>IF(OR(25&lt;$C21,25&gt;$D21),0,IF(25&gt;=$H21,$I21,IF(25&gt;=$F21,$G21,$E21)))</f>
        <v/>
      </c>
      <c r="AI21" s="22">
        <f>IF(OR(26&lt;$C21,26&gt;$D21),0,IF(26&gt;=$H21,$I21,IF(26&gt;=$F21,$G21,$E21)))</f>
        <v/>
      </c>
      <c r="AJ21" s="22">
        <f>IF(OR(27&lt;$C21,27&gt;$D21),0,IF(27&gt;=$H21,$I21,IF(27&gt;=$F21,$G21,$E21)))</f>
        <v/>
      </c>
      <c r="AK21" s="22">
        <f>IF(OR(28&lt;$C21,28&gt;$D21),0,IF(28&gt;=$H21,$I21,IF(28&gt;=$F21,$G21,$E21)))</f>
        <v/>
      </c>
      <c r="AL21" s="22">
        <f>IF(OR(29&lt;$C21,29&gt;$D21),0,IF(29&gt;=$H21,$I21,IF(29&gt;=$F21,$G21,$E21)))</f>
        <v/>
      </c>
      <c r="AM21" s="22">
        <f>IF(OR(30&lt;$C21,30&gt;$D21),0,IF(30&gt;=$H21,$I21,IF(30&gt;=$F21,$G21,$E21)))</f>
        <v/>
      </c>
      <c r="AN21" s="22">
        <f>IF(OR(31&lt;$C21,31&gt;$D21),0,IF(31&gt;=$H21,$I21,IF(31&gt;=$F21,$G21,$E21)))</f>
        <v/>
      </c>
      <c r="AO21" s="22">
        <f>IF(OR(32&lt;$C21,32&gt;$D21),0,IF(32&gt;=$H21,$I21,IF(32&gt;=$F21,$G21,$E21)))</f>
        <v/>
      </c>
      <c r="AP21" s="22">
        <f>IF(OR(33&lt;$C21,33&gt;$D21),0,IF(33&gt;=$H21,$I21,IF(33&gt;=$F21,$G21,$E21)))</f>
        <v/>
      </c>
      <c r="AQ21" s="22">
        <f>IF(OR(34&lt;$C21,34&gt;$D21),0,IF(34&gt;=$H21,$I21,IF(34&gt;=$F21,$G21,$E21)))</f>
        <v/>
      </c>
      <c r="AR21" s="22">
        <f>IF(OR(35&lt;$C21,35&gt;$D21),0,IF(35&gt;=$H21,$I21,IF(35&gt;=$F21,$G21,$E21)))</f>
        <v/>
      </c>
      <c r="AS21" s="22">
        <f>IF(OR(36&lt;$C21,36&gt;$D21),0,IF(36&gt;=$H21,$I21,IF(36&gt;=$F21,$G21,$E21)))</f>
        <v/>
      </c>
    </row>
    <row r="22">
      <c r="B22" s="8" t="inlineStr">
        <is>
          <t>Engineer #5</t>
        </is>
      </c>
      <c r="C22" s="17" t="n">
        <v>22</v>
      </c>
      <c r="D22" s="17" t="n">
        <v>999</v>
      </c>
      <c r="E22" s="20" t="n">
        <v>8800</v>
      </c>
      <c r="F22" s="17" t="n">
        <v>999</v>
      </c>
      <c r="G22" s="20" t="n">
        <v>8800</v>
      </c>
      <c r="H22" s="17" t="n">
        <v>999</v>
      </c>
      <c r="I22" s="20" t="n">
        <v>8800</v>
      </c>
      <c r="J22" s="22">
        <f>IF(OR(1&lt;$C22,1&gt;$D22),0,IF(1&gt;=$H22,$I22,IF(1&gt;=$F22,$G22,$E22)))</f>
        <v/>
      </c>
      <c r="K22" s="22">
        <f>IF(OR(2&lt;$C22,2&gt;$D22),0,IF(2&gt;=$H22,$I22,IF(2&gt;=$F22,$G22,$E22)))</f>
        <v/>
      </c>
      <c r="L22" s="22">
        <f>IF(OR(3&lt;$C22,3&gt;$D22),0,IF(3&gt;=$H22,$I22,IF(3&gt;=$F22,$G22,$E22)))</f>
        <v/>
      </c>
      <c r="M22" s="22">
        <f>IF(OR(4&lt;$C22,4&gt;$D22),0,IF(4&gt;=$H22,$I22,IF(4&gt;=$F22,$G22,$E22)))</f>
        <v/>
      </c>
      <c r="N22" s="22">
        <f>IF(OR(5&lt;$C22,5&gt;$D22),0,IF(5&gt;=$H22,$I22,IF(5&gt;=$F22,$G22,$E22)))</f>
        <v/>
      </c>
      <c r="O22" s="22">
        <f>IF(OR(6&lt;$C22,6&gt;$D22),0,IF(6&gt;=$H22,$I22,IF(6&gt;=$F22,$G22,$E22)))</f>
        <v/>
      </c>
      <c r="P22" s="22">
        <f>IF(OR(7&lt;$C22,7&gt;$D22),0,IF(7&gt;=$H22,$I22,IF(7&gt;=$F22,$G22,$E22)))</f>
        <v/>
      </c>
      <c r="Q22" s="22">
        <f>IF(OR(8&lt;$C22,8&gt;$D22),0,IF(8&gt;=$H22,$I22,IF(8&gt;=$F22,$G22,$E22)))</f>
        <v/>
      </c>
      <c r="R22" s="22">
        <f>IF(OR(9&lt;$C22,9&gt;$D22),0,IF(9&gt;=$H22,$I22,IF(9&gt;=$F22,$G22,$E22)))</f>
        <v/>
      </c>
      <c r="S22" s="22">
        <f>IF(OR(10&lt;$C22,10&gt;$D22),0,IF(10&gt;=$H22,$I22,IF(10&gt;=$F22,$G22,$E22)))</f>
        <v/>
      </c>
      <c r="T22" s="22">
        <f>IF(OR(11&lt;$C22,11&gt;$D22),0,IF(11&gt;=$H22,$I22,IF(11&gt;=$F22,$G22,$E22)))</f>
        <v/>
      </c>
      <c r="U22" s="22">
        <f>IF(OR(12&lt;$C22,12&gt;$D22),0,IF(12&gt;=$H22,$I22,IF(12&gt;=$F22,$G22,$E22)))</f>
        <v/>
      </c>
      <c r="V22" s="22">
        <f>IF(OR(13&lt;$C22,13&gt;$D22),0,IF(13&gt;=$H22,$I22,IF(13&gt;=$F22,$G22,$E22)))</f>
        <v/>
      </c>
      <c r="W22" s="22">
        <f>IF(OR(14&lt;$C22,14&gt;$D22),0,IF(14&gt;=$H22,$I22,IF(14&gt;=$F22,$G22,$E22)))</f>
        <v/>
      </c>
      <c r="X22" s="22">
        <f>IF(OR(15&lt;$C22,15&gt;$D22),0,IF(15&gt;=$H22,$I22,IF(15&gt;=$F22,$G22,$E22)))</f>
        <v/>
      </c>
      <c r="Y22" s="22">
        <f>IF(OR(16&lt;$C22,16&gt;$D22),0,IF(16&gt;=$H22,$I22,IF(16&gt;=$F22,$G22,$E22)))</f>
        <v/>
      </c>
      <c r="Z22" s="22">
        <f>IF(OR(17&lt;$C22,17&gt;$D22),0,IF(17&gt;=$H22,$I22,IF(17&gt;=$F22,$G22,$E22)))</f>
        <v/>
      </c>
      <c r="AA22" s="22">
        <f>IF(OR(18&lt;$C22,18&gt;$D22),0,IF(18&gt;=$H22,$I22,IF(18&gt;=$F22,$G22,$E22)))</f>
        <v/>
      </c>
      <c r="AB22" s="22">
        <f>IF(OR(19&lt;$C22,19&gt;$D22),0,IF(19&gt;=$H22,$I22,IF(19&gt;=$F22,$G22,$E22)))</f>
        <v/>
      </c>
      <c r="AC22" s="22">
        <f>IF(OR(20&lt;$C22,20&gt;$D22),0,IF(20&gt;=$H22,$I22,IF(20&gt;=$F22,$G22,$E22)))</f>
        <v/>
      </c>
      <c r="AD22" s="22">
        <f>IF(OR(21&lt;$C22,21&gt;$D22),0,IF(21&gt;=$H22,$I22,IF(21&gt;=$F22,$G22,$E22)))</f>
        <v/>
      </c>
      <c r="AE22" s="22">
        <f>IF(OR(22&lt;$C22,22&gt;$D22),0,IF(22&gt;=$H22,$I22,IF(22&gt;=$F22,$G22,$E22)))</f>
        <v/>
      </c>
      <c r="AF22" s="22">
        <f>IF(OR(23&lt;$C22,23&gt;$D22),0,IF(23&gt;=$H22,$I22,IF(23&gt;=$F22,$G22,$E22)))</f>
        <v/>
      </c>
      <c r="AG22" s="22">
        <f>IF(OR(24&lt;$C22,24&gt;$D22),0,IF(24&gt;=$H22,$I22,IF(24&gt;=$F22,$G22,$E22)))</f>
        <v/>
      </c>
      <c r="AH22" s="22">
        <f>IF(OR(25&lt;$C22,25&gt;$D22),0,IF(25&gt;=$H22,$I22,IF(25&gt;=$F22,$G22,$E22)))</f>
        <v/>
      </c>
      <c r="AI22" s="22">
        <f>IF(OR(26&lt;$C22,26&gt;$D22),0,IF(26&gt;=$H22,$I22,IF(26&gt;=$F22,$G22,$E22)))</f>
        <v/>
      </c>
      <c r="AJ22" s="22">
        <f>IF(OR(27&lt;$C22,27&gt;$D22),0,IF(27&gt;=$H22,$I22,IF(27&gt;=$F22,$G22,$E22)))</f>
        <v/>
      </c>
      <c r="AK22" s="22">
        <f>IF(OR(28&lt;$C22,28&gt;$D22),0,IF(28&gt;=$H22,$I22,IF(28&gt;=$F22,$G22,$E22)))</f>
        <v/>
      </c>
      <c r="AL22" s="22">
        <f>IF(OR(29&lt;$C22,29&gt;$D22),0,IF(29&gt;=$H22,$I22,IF(29&gt;=$F22,$G22,$E22)))</f>
        <v/>
      </c>
      <c r="AM22" s="22">
        <f>IF(OR(30&lt;$C22,30&gt;$D22),0,IF(30&gt;=$H22,$I22,IF(30&gt;=$F22,$G22,$E22)))</f>
        <v/>
      </c>
      <c r="AN22" s="22">
        <f>IF(OR(31&lt;$C22,31&gt;$D22),0,IF(31&gt;=$H22,$I22,IF(31&gt;=$F22,$G22,$E22)))</f>
        <v/>
      </c>
      <c r="AO22" s="22">
        <f>IF(OR(32&lt;$C22,32&gt;$D22),0,IF(32&gt;=$H22,$I22,IF(32&gt;=$F22,$G22,$E22)))</f>
        <v/>
      </c>
      <c r="AP22" s="22">
        <f>IF(OR(33&lt;$C22,33&gt;$D22),0,IF(33&gt;=$H22,$I22,IF(33&gt;=$F22,$G22,$E22)))</f>
        <v/>
      </c>
      <c r="AQ22" s="22">
        <f>IF(OR(34&lt;$C22,34&gt;$D22),0,IF(34&gt;=$H22,$I22,IF(34&gt;=$F22,$G22,$E22)))</f>
        <v/>
      </c>
      <c r="AR22" s="22">
        <f>IF(OR(35&lt;$C22,35&gt;$D22),0,IF(35&gt;=$H22,$I22,IF(35&gt;=$F22,$G22,$E22)))</f>
        <v/>
      </c>
      <c r="AS22" s="22">
        <f>IF(OR(36&lt;$C22,36&gt;$D22),0,IF(36&gt;=$H22,$I22,IF(36&gt;=$F22,$G22,$E22)))</f>
        <v/>
      </c>
    </row>
    <row r="23">
      <c r="B23" s="8" t="inlineStr">
        <is>
          <t>Head of growth</t>
        </is>
      </c>
      <c r="C23" s="17" t="n">
        <v>23</v>
      </c>
      <c r="D23" s="17" t="n">
        <v>999</v>
      </c>
      <c r="E23" s="20" t="n">
        <v>12500</v>
      </c>
      <c r="F23" s="17" t="n">
        <v>999</v>
      </c>
      <c r="G23" s="20" t="n">
        <v>12500</v>
      </c>
      <c r="H23" s="17" t="n">
        <v>999</v>
      </c>
      <c r="I23" s="20" t="n">
        <v>12500</v>
      </c>
      <c r="J23" s="22">
        <f>IF(OR(1&lt;$C23,1&gt;$D23),0,IF(1&gt;=$H23,$I23,IF(1&gt;=$F23,$G23,$E23)))</f>
        <v/>
      </c>
      <c r="K23" s="22">
        <f>IF(OR(2&lt;$C23,2&gt;$D23),0,IF(2&gt;=$H23,$I23,IF(2&gt;=$F23,$G23,$E23)))</f>
        <v/>
      </c>
      <c r="L23" s="22">
        <f>IF(OR(3&lt;$C23,3&gt;$D23),0,IF(3&gt;=$H23,$I23,IF(3&gt;=$F23,$G23,$E23)))</f>
        <v/>
      </c>
      <c r="M23" s="22">
        <f>IF(OR(4&lt;$C23,4&gt;$D23),0,IF(4&gt;=$H23,$I23,IF(4&gt;=$F23,$G23,$E23)))</f>
        <v/>
      </c>
      <c r="N23" s="22">
        <f>IF(OR(5&lt;$C23,5&gt;$D23),0,IF(5&gt;=$H23,$I23,IF(5&gt;=$F23,$G23,$E23)))</f>
        <v/>
      </c>
      <c r="O23" s="22">
        <f>IF(OR(6&lt;$C23,6&gt;$D23),0,IF(6&gt;=$H23,$I23,IF(6&gt;=$F23,$G23,$E23)))</f>
        <v/>
      </c>
      <c r="P23" s="22">
        <f>IF(OR(7&lt;$C23,7&gt;$D23),0,IF(7&gt;=$H23,$I23,IF(7&gt;=$F23,$G23,$E23)))</f>
        <v/>
      </c>
      <c r="Q23" s="22">
        <f>IF(OR(8&lt;$C23,8&gt;$D23),0,IF(8&gt;=$H23,$I23,IF(8&gt;=$F23,$G23,$E23)))</f>
        <v/>
      </c>
      <c r="R23" s="22">
        <f>IF(OR(9&lt;$C23,9&gt;$D23),0,IF(9&gt;=$H23,$I23,IF(9&gt;=$F23,$G23,$E23)))</f>
        <v/>
      </c>
      <c r="S23" s="22">
        <f>IF(OR(10&lt;$C23,10&gt;$D23),0,IF(10&gt;=$H23,$I23,IF(10&gt;=$F23,$G23,$E23)))</f>
        <v/>
      </c>
      <c r="T23" s="22">
        <f>IF(OR(11&lt;$C23,11&gt;$D23),0,IF(11&gt;=$H23,$I23,IF(11&gt;=$F23,$G23,$E23)))</f>
        <v/>
      </c>
      <c r="U23" s="22">
        <f>IF(OR(12&lt;$C23,12&gt;$D23),0,IF(12&gt;=$H23,$I23,IF(12&gt;=$F23,$G23,$E23)))</f>
        <v/>
      </c>
      <c r="V23" s="22">
        <f>IF(OR(13&lt;$C23,13&gt;$D23),0,IF(13&gt;=$H23,$I23,IF(13&gt;=$F23,$G23,$E23)))</f>
        <v/>
      </c>
      <c r="W23" s="22">
        <f>IF(OR(14&lt;$C23,14&gt;$D23),0,IF(14&gt;=$H23,$I23,IF(14&gt;=$F23,$G23,$E23)))</f>
        <v/>
      </c>
      <c r="X23" s="22">
        <f>IF(OR(15&lt;$C23,15&gt;$D23),0,IF(15&gt;=$H23,$I23,IF(15&gt;=$F23,$G23,$E23)))</f>
        <v/>
      </c>
      <c r="Y23" s="22">
        <f>IF(OR(16&lt;$C23,16&gt;$D23),0,IF(16&gt;=$H23,$I23,IF(16&gt;=$F23,$G23,$E23)))</f>
        <v/>
      </c>
      <c r="Z23" s="22">
        <f>IF(OR(17&lt;$C23,17&gt;$D23),0,IF(17&gt;=$H23,$I23,IF(17&gt;=$F23,$G23,$E23)))</f>
        <v/>
      </c>
      <c r="AA23" s="22">
        <f>IF(OR(18&lt;$C23,18&gt;$D23),0,IF(18&gt;=$H23,$I23,IF(18&gt;=$F23,$G23,$E23)))</f>
        <v/>
      </c>
      <c r="AB23" s="22">
        <f>IF(OR(19&lt;$C23,19&gt;$D23),0,IF(19&gt;=$H23,$I23,IF(19&gt;=$F23,$G23,$E23)))</f>
        <v/>
      </c>
      <c r="AC23" s="22">
        <f>IF(OR(20&lt;$C23,20&gt;$D23),0,IF(20&gt;=$H23,$I23,IF(20&gt;=$F23,$G23,$E23)))</f>
        <v/>
      </c>
      <c r="AD23" s="22">
        <f>IF(OR(21&lt;$C23,21&gt;$D23),0,IF(21&gt;=$H23,$I23,IF(21&gt;=$F23,$G23,$E23)))</f>
        <v/>
      </c>
      <c r="AE23" s="22">
        <f>IF(OR(22&lt;$C23,22&gt;$D23),0,IF(22&gt;=$H23,$I23,IF(22&gt;=$F23,$G23,$E23)))</f>
        <v/>
      </c>
      <c r="AF23" s="22">
        <f>IF(OR(23&lt;$C23,23&gt;$D23),0,IF(23&gt;=$H23,$I23,IF(23&gt;=$F23,$G23,$E23)))</f>
        <v/>
      </c>
      <c r="AG23" s="22">
        <f>IF(OR(24&lt;$C23,24&gt;$D23),0,IF(24&gt;=$H23,$I23,IF(24&gt;=$F23,$G23,$E23)))</f>
        <v/>
      </c>
      <c r="AH23" s="22">
        <f>IF(OR(25&lt;$C23,25&gt;$D23),0,IF(25&gt;=$H23,$I23,IF(25&gt;=$F23,$G23,$E23)))</f>
        <v/>
      </c>
      <c r="AI23" s="22">
        <f>IF(OR(26&lt;$C23,26&gt;$D23),0,IF(26&gt;=$H23,$I23,IF(26&gt;=$F23,$G23,$E23)))</f>
        <v/>
      </c>
      <c r="AJ23" s="22">
        <f>IF(OR(27&lt;$C23,27&gt;$D23),0,IF(27&gt;=$H23,$I23,IF(27&gt;=$F23,$G23,$E23)))</f>
        <v/>
      </c>
      <c r="AK23" s="22">
        <f>IF(OR(28&lt;$C23,28&gt;$D23),0,IF(28&gt;=$H23,$I23,IF(28&gt;=$F23,$G23,$E23)))</f>
        <v/>
      </c>
      <c r="AL23" s="22">
        <f>IF(OR(29&lt;$C23,29&gt;$D23),0,IF(29&gt;=$H23,$I23,IF(29&gt;=$F23,$G23,$E23)))</f>
        <v/>
      </c>
      <c r="AM23" s="22">
        <f>IF(OR(30&lt;$C23,30&gt;$D23),0,IF(30&gt;=$H23,$I23,IF(30&gt;=$F23,$G23,$E23)))</f>
        <v/>
      </c>
      <c r="AN23" s="22">
        <f>IF(OR(31&lt;$C23,31&gt;$D23),0,IF(31&gt;=$H23,$I23,IF(31&gt;=$F23,$G23,$E23)))</f>
        <v/>
      </c>
      <c r="AO23" s="22">
        <f>IF(OR(32&lt;$C23,32&gt;$D23),0,IF(32&gt;=$H23,$I23,IF(32&gt;=$F23,$G23,$E23)))</f>
        <v/>
      </c>
      <c r="AP23" s="22">
        <f>IF(OR(33&lt;$C23,33&gt;$D23),0,IF(33&gt;=$H23,$I23,IF(33&gt;=$F23,$G23,$E23)))</f>
        <v/>
      </c>
      <c r="AQ23" s="22">
        <f>IF(OR(34&lt;$C23,34&gt;$D23),0,IF(34&gt;=$H23,$I23,IF(34&gt;=$F23,$G23,$E23)))</f>
        <v/>
      </c>
      <c r="AR23" s="22">
        <f>IF(OR(35&lt;$C23,35&gt;$D23),0,IF(35&gt;=$H23,$I23,IF(35&gt;=$F23,$G23,$E23)))</f>
        <v/>
      </c>
      <c r="AS23" s="22">
        <f>IF(OR(36&lt;$C23,36&gt;$D23),0,IF(36&gt;=$H23,$I23,IF(36&gt;=$F23,$G23,$E23)))</f>
        <v/>
      </c>
    </row>
    <row r="24">
      <c r="B24" s="8" t="inlineStr">
        <is>
          <t>Engineer #6</t>
        </is>
      </c>
      <c r="C24" s="17" t="n">
        <v>26</v>
      </c>
      <c r="D24" s="17" t="n">
        <v>999</v>
      </c>
      <c r="E24" s="20" t="n">
        <v>8800</v>
      </c>
      <c r="F24" s="17" t="n">
        <v>999</v>
      </c>
      <c r="G24" s="20" t="n">
        <v>8800</v>
      </c>
      <c r="H24" s="17" t="n">
        <v>999</v>
      </c>
      <c r="I24" s="20" t="n">
        <v>8800</v>
      </c>
      <c r="J24" s="22">
        <f>IF(OR(1&lt;$C24,1&gt;$D24),0,IF(1&gt;=$H24,$I24,IF(1&gt;=$F24,$G24,$E24)))</f>
        <v/>
      </c>
      <c r="K24" s="22">
        <f>IF(OR(2&lt;$C24,2&gt;$D24),0,IF(2&gt;=$H24,$I24,IF(2&gt;=$F24,$G24,$E24)))</f>
        <v/>
      </c>
      <c r="L24" s="22">
        <f>IF(OR(3&lt;$C24,3&gt;$D24),0,IF(3&gt;=$H24,$I24,IF(3&gt;=$F24,$G24,$E24)))</f>
        <v/>
      </c>
      <c r="M24" s="22">
        <f>IF(OR(4&lt;$C24,4&gt;$D24),0,IF(4&gt;=$H24,$I24,IF(4&gt;=$F24,$G24,$E24)))</f>
        <v/>
      </c>
      <c r="N24" s="22">
        <f>IF(OR(5&lt;$C24,5&gt;$D24),0,IF(5&gt;=$H24,$I24,IF(5&gt;=$F24,$G24,$E24)))</f>
        <v/>
      </c>
      <c r="O24" s="22">
        <f>IF(OR(6&lt;$C24,6&gt;$D24),0,IF(6&gt;=$H24,$I24,IF(6&gt;=$F24,$G24,$E24)))</f>
        <v/>
      </c>
      <c r="P24" s="22">
        <f>IF(OR(7&lt;$C24,7&gt;$D24),0,IF(7&gt;=$H24,$I24,IF(7&gt;=$F24,$G24,$E24)))</f>
        <v/>
      </c>
      <c r="Q24" s="22">
        <f>IF(OR(8&lt;$C24,8&gt;$D24),0,IF(8&gt;=$H24,$I24,IF(8&gt;=$F24,$G24,$E24)))</f>
        <v/>
      </c>
      <c r="R24" s="22">
        <f>IF(OR(9&lt;$C24,9&gt;$D24),0,IF(9&gt;=$H24,$I24,IF(9&gt;=$F24,$G24,$E24)))</f>
        <v/>
      </c>
      <c r="S24" s="22">
        <f>IF(OR(10&lt;$C24,10&gt;$D24),0,IF(10&gt;=$H24,$I24,IF(10&gt;=$F24,$G24,$E24)))</f>
        <v/>
      </c>
      <c r="T24" s="22">
        <f>IF(OR(11&lt;$C24,11&gt;$D24),0,IF(11&gt;=$H24,$I24,IF(11&gt;=$F24,$G24,$E24)))</f>
        <v/>
      </c>
      <c r="U24" s="22">
        <f>IF(OR(12&lt;$C24,12&gt;$D24),0,IF(12&gt;=$H24,$I24,IF(12&gt;=$F24,$G24,$E24)))</f>
        <v/>
      </c>
      <c r="V24" s="22">
        <f>IF(OR(13&lt;$C24,13&gt;$D24),0,IF(13&gt;=$H24,$I24,IF(13&gt;=$F24,$G24,$E24)))</f>
        <v/>
      </c>
      <c r="W24" s="22">
        <f>IF(OR(14&lt;$C24,14&gt;$D24),0,IF(14&gt;=$H24,$I24,IF(14&gt;=$F24,$G24,$E24)))</f>
        <v/>
      </c>
      <c r="X24" s="22">
        <f>IF(OR(15&lt;$C24,15&gt;$D24),0,IF(15&gt;=$H24,$I24,IF(15&gt;=$F24,$G24,$E24)))</f>
        <v/>
      </c>
      <c r="Y24" s="22">
        <f>IF(OR(16&lt;$C24,16&gt;$D24),0,IF(16&gt;=$H24,$I24,IF(16&gt;=$F24,$G24,$E24)))</f>
        <v/>
      </c>
      <c r="Z24" s="22">
        <f>IF(OR(17&lt;$C24,17&gt;$D24),0,IF(17&gt;=$H24,$I24,IF(17&gt;=$F24,$G24,$E24)))</f>
        <v/>
      </c>
      <c r="AA24" s="22">
        <f>IF(OR(18&lt;$C24,18&gt;$D24),0,IF(18&gt;=$H24,$I24,IF(18&gt;=$F24,$G24,$E24)))</f>
        <v/>
      </c>
      <c r="AB24" s="22">
        <f>IF(OR(19&lt;$C24,19&gt;$D24),0,IF(19&gt;=$H24,$I24,IF(19&gt;=$F24,$G24,$E24)))</f>
        <v/>
      </c>
      <c r="AC24" s="22">
        <f>IF(OR(20&lt;$C24,20&gt;$D24),0,IF(20&gt;=$H24,$I24,IF(20&gt;=$F24,$G24,$E24)))</f>
        <v/>
      </c>
      <c r="AD24" s="22">
        <f>IF(OR(21&lt;$C24,21&gt;$D24),0,IF(21&gt;=$H24,$I24,IF(21&gt;=$F24,$G24,$E24)))</f>
        <v/>
      </c>
      <c r="AE24" s="22">
        <f>IF(OR(22&lt;$C24,22&gt;$D24),0,IF(22&gt;=$H24,$I24,IF(22&gt;=$F24,$G24,$E24)))</f>
        <v/>
      </c>
      <c r="AF24" s="22">
        <f>IF(OR(23&lt;$C24,23&gt;$D24),0,IF(23&gt;=$H24,$I24,IF(23&gt;=$F24,$G24,$E24)))</f>
        <v/>
      </c>
      <c r="AG24" s="22">
        <f>IF(OR(24&lt;$C24,24&gt;$D24),0,IF(24&gt;=$H24,$I24,IF(24&gt;=$F24,$G24,$E24)))</f>
        <v/>
      </c>
      <c r="AH24" s="22">
        <f>IF(OR(25&lt;$C24,25&gt;$D24),0,IF(25&gt;=$H24,$I24,IF(25&gt;=$F24,$G24,$E24)))</f>
        <v/>
      </c>
      <c r="AI24" s="22">
        <f>IF(OR(26&lt;$C24,26&gt;$D24),0,IF(26&gt;=$H24,$I24,IF(26&gt;=$F24,$G24,$E24)))</f>
        <v/>
      </c>
      <c r="AJ24" s="22">
        <f>IF(OR(27&lt;$C24,27&gt;$D24),0,IF(27&gt;=$H24,$I24,IF(27&gt;=$F24,$G24,$E24)))</f>
        <v/>
      </c>
      <c r="AK24" s="22">
        <f>IF(OR(28&lt;$C24,28&gt;$D24),0,IF(28&gt;=$H24,$I24,IF(28&gt;=$F24,$G24,$E24)))</f>
        <v/>
      </c>
      <c r="AL24" s="22">
        <f>IF(OR(29&lt;$C24,29&gt;$D24),0,IF(29&gt;=$H24,$I24,IF(29&gt;=$F24,$G24,$E24)))</f>
        <v/>
      </c>
      <c r="AM24" s="22">
        <f>IF(OR(30&lt;$C24,30&gt;$D24),0,IF(30&gt;=$H24,$I24,IF(30&gt;=$F24,$G24,$E24)))</f>
        <v/>
      </c>
      <c r="AN24" s="22">
        <f>IF(OR(31&lt;$C24,31&gt;$D24),0,IF(31&gt;=$H24,$I24,IF(31&gt;=$F24,$G24,$E24)))</f>
        <v/>
      </c>
      <c r="AO24" s="22">
        <f>IF(OR(32&lt;$C24,32&gt;$D24),0,IF(32&gt;=$H24,$I24,IF(32&gt;=$F24,$G24,$E24)))</f>
        <v/>
      </c>
      <c r="AP24" s="22">
        <f>IF(OR(33&lt;$C24,33&gt;$D24),0,IF(33&gt;=$H24,$I24,IF(33&gt;=$F24,$G24,$E24)))</f>
        <v/>
      </c>
      <c r="AQ24" s="22">
        <f>IF(OR(34&lt;$C24,34&gt;$D24),0,IF(34&gt;=$H24,$I24,IF(34&gt;=$F24,$G24,$E24)))</f>
        <v/>
      </c>
      <c r="AR24" s="22">
        <f>IF(OR(35&lt;$C24,35&gt;$D24),0,IF(35&gt;=$H24,$I24,IF(35&gt;=$F24,$G24,$E24)))</f>
        <v/>
      </c>
      <c r="AS24" s="22">
        <f>IF(OR(36&lt;$C24,36&gt;$D24),0,IF(36&gt;=$H24,$I24,IF(36&gt;=$F24,$G24,$E24)))</f>
        <v/>
      </c>
    </row>
    <row r="25">
      <c r="B25" s="8" t="inlineStr">
        <is>
          <t>Engineer #7</t>
        </is>
      </c>
      <c r="C25" s="17" t="n">
        <v>26</v>
      </c>
      <c r="D25" s="17" t="n">
        <v>999</v>
      </c>
      <c r="E25" s="20" t="n">
        <v>8800</v>
      </c>
      <c r="F25" s="17" t="n">
        <v>999</v>
      </c>
      <c r="G25" s="20" t="n">
        <v>8800</v>
      </c>
      <c r="H25" s="17" t="n">
        <v>999</v>
      </c>
      <c r="I25" s="20" t="n">
        <v>8800</v>
      </c>
      <c r="J25" s="22">
        <f>IF(OR(1&lt;$C25,1&gt;$D25),0,IF(1&gt;=$H25,$I25,IF(1&gt;=$F25,$G25,$E25)))</f>
        <v/>
      </c>
      <c r="K25" s="22">
        <f>IF(OR(2&lt;$C25,2&gt;$D25),0,IF(2&gt;=$H25,$I25,IF(2&gt;=$F25,$G25,$E25)))</f>
        <v/>
      </c>
      <c r="L25" s="22">
        <f>IF(OR(3&lt;$C25,3&gt;$D25),0,IF(3&gt;=$H25,$I25,IF(3&gt;=$F25,$G25,$E25)))</f>
        <v/>
      </c>
      <c r="M25" s="22">
        <f>IF(OR(4&lt;$C25,4&gt;$D25),0,IF(4&gt;=$H25,$I25,IF(4&gt;=$F25,$G25,$E25)))</f>
        <v/>
      </c>
      <c r="N25" s="22">
        <f>IF(OR(5&lt;$C25,5&gt;$D25),0,IF(5&gt;=$H25,$I25,IF(5&gt;=$F25,$G25,$E25)))</f>
        <v/>
      </c>
      <c r="O25" s="22">
        <f>IF(OR(6&lt;$C25,6&gt;$D25),0,IF(6&gt;=$H25,$I25,IF(6&gt;=$F25,$G25,$E25)))</f>
        <v/>
      </c>
      <c r="P25" s="22">
        <f>IF(OR(7&lt;$C25,7&gt;$D25),0,IF(7&gt;=$H25,$I25,IF(7&gt;=$F25,$G25,$E25)))</f>
        <v/>
      </c>
      <c r="Q25" s="22">
        <f>IF(OR(8&lt;$C25,8&gt;$D25),0,IF(8&gt;=$H25,$I25,IF(8&gt;=$F25,$G25,$E25)))</f>
        <v/>
      </c>
      <c r="R25" s="22">
        <f>IF(OR(9&lt;$C25,9&gt;$D25),0,IF(9&gt;=$H25,$I25,IF(9&gt;=$F25,$G25,$E25)))</f>
        <v/>
      </c>
      <c r="S25" s="22">
        <f>IF(OR(10&lt;$C25,10&gt;$D25),0,IF(10&gt;=$H25,$I25,IF(10&gt;=$F25,$G25,$E25)))</f>
        <v/>
      </c>
      <c r="T25" s="22">
        <f>IF(OR(11&lt;$C25,11&gt;$D25),0,IF(11&gt;=$H25,$I25,IF(11&gt;=$F25,$G25,$E25)))</f>
        <v/>
      </c>
      <c r="U25" s="22">
        <f>IF(OR(12&lt;$C25,12&gt;$D25),0,IF(12&gt;=$H25,$I25,IF(12&gt;=$F25,$G25,$E25)))</f>
        <v/>
      </c>
      <c r="V25" s="22">
        <f>IF(OR(13&lt;$C25,13&gt;$D25),0,IF(13&gt;=$H25,$I25,IF(13&gt;=$F25,$G25,$E25)))</f>
        <v/>
      </c>
      <c r="W25" s="22">
        <f>IF(OR(14&lt;$C25,14&gt;$D25),0,IF(14&gt;=$H25,$I25,IF(14&gt;=$F25,$G25,$E25)))</f>
        <v/>
      </c>
      <c r="X25" s="22">
        <f>IF(OR(15&lt;$C25,15&gt;$D25),0,IF(15&gt;=$H25,$I25,IF(15&gt;=$F25,$G25,$E25)))</f>
        <v/>
      </c>
      <c r="Y25" s="22">
        <f>IF(OR(16&lt;$C25,16&gt;$D25),0,IF(16&gt;=$H25,$I25,IF(16&gt;=$F25,$G25,$E25)))</f>
        <v/>
      </c>
      <c r="Z25" s="22">
        <f>IF(OR(17&lt;$C25,17&gt;$D25),0,IF(17&gt;=$H25,$I25,IF(17&gt;=$F25,$G25,$E25)))</f>
        <v/>
      </c>
      <c r="AA25" s="22">
        <f>IF(OR(18&lt;$C25,18&gt;$D25),0,IF(18&gt;=$H25,$I25,IF(18&gt;=$F25,$G25,$E25)))</f>
        <v/>
      </c>
      <c r="AB25" s="22">
        <f>IF(OR(19&lt;$C25,19&gt;$D25),0,IF(19&gt;=$H25,$I25,IF(19&gt;=$F25,$G25,$E25)))</f>
        <v/>
      </c>
      <c r="AC25" s="22">
        <f>IF(OR(20&lt;$C25,20&gt;$D25),0,IF(20&gt;=$H25,$I25,IF(20&gt;=$F25,$G25,$E25)))</f>
        <v/>
      </c>
      <c r="AD25" s="22">
        <f>IF(OR(21&lt;$C25,21&gt;$D25),0,IF(21&gt;=$H25,$I25,IF(21&gt;=$F25,$G25,$E25)))</f>
        <v/>
      </c>
      <c r="AE25" s="22">
        <f>IF(OR(22&lt;$C25,22&gt;$D25),0,IF(22&gt;=$H25,$I25,IF(22&gt;=$F25,$G25,$E25)))</f>
        <v/>
      </c>
      <c r="AF25" s="22">
        <f>IF(OR(23&lt;$C25,23&gt;$D25),0,IF(23&gt;=$H25,$I25,IF(23&gt;=$F25,$G25,$E25)))</f>
        <v/>
      </c>
      <c r="AG25" s="22">
        <f>IF(OR(24&lt;$C25,24&gt;$D25),0,IF(24&gt;=$H25,$I25,IF(24&gt;=$F25,$G25,$E25)))</f>
        <v/>
      </c>
      <c r="AH25" s="22">
        <f>IF(OR(25&lt;$C25,25&gt;$D25),0,IF(25&gt;=$H25,$I25,IF(25&gt;=$F25,$G25,$E25)))</f>
        <v/>
      </c>
      <c r="AI25" s="22">
        <f>IF(OR(26&lt;$C25,26&gt;$D25),0,IF(26&gt;=$H25,$I25,IF(26&gt;=$F25,$G25,$E25)))</f>
        <v/>
      </c>
      <c r="AJ25" s="22">
        <f>IF(OR(27&lt;$C25,27&gt;$D25),0,IF(27&gt;=$H25,$I25,IF(27&gt;=$F25,$G25,$E25)))</f>
        <v/>
      </c>
      <c r="AK25" s="22">
        <f>IF(OR(28&lt;$C25,28&gt;$D25),0,IF(28&gt;=$H25,$I25,IF(28&gt;=$F25,$G25,$E25)))</f>
        <v/>
      </c>
      <c r="AL25" s="22">
        <f>IF(OR(29&lt;$C25,29&gt;$D25),0,IF(29&gt;=$H25,$I25,IF(29&gt;=$F25,$G25,$E25)))</f>
        <v/>
      </c>
      <c r="AM25" s="22">
        <f>IF(OR(30&lt;$C25,30&gt;$D25),0,IF(30&gt;=$H25,$I25,IF(30&gt;=$F25,$G25,$E25)))</f>
        <v/>
      </c>
      <c r="AN25" s="22">
        <f>IF(OR(31&lt;$C25,31&gt;$D25),0,IF(31&gt;=$H25,$I25,IF(31&gt;=$F25,$G25,$E25)))</f>
        <v/>
      </c>
      <c r="AO25" s="22">
        <f>IF(OR(32&lt;$C25,32&gt;$D25),0,IF(32&gt;=$H25,$I25,IF(32&gt;=$F25,$G25,$E25)))</f>
        <v/>
      </c>
      <c r="AP25" s="22">
        <f>IF(OR(33&lt;$C25,33&gt;$D25),0,IF(33&gt;=$H25,$I25,IF(33&gt;=$F25,$G25,$E25)))</f>
        <v/>
      </c>
      <c r="AQ25" s="22">
        <f>IF(OR(34&lt;$C25,34&gt;$D25),0,IF(34&gt;=$H25,$I25,IF(34&gt;=$F25,$G25,$E25)))</f>
        <v/>
      </c>
      <c r="AR25" s="22">
        <f>IF(OR(35&lt;$C25,35&gt;$D25),0,IF(35&gt;=$H25,$I25,IF(35&gt;=$F25,$G25,$E25)))</f>
        <v/>
      </c>
      <c r="AS25" s="22">
        <f>IF(OR(36&lt;$C25,36&gt;$D25),0,IF(36&gt;=$H25,$I25,IF(36&gt;=$F25,$G25,$E25)))</f>
        <v/>
      </c>
    </row>
    <row r="26">
      <c r="B26" s="8" t="inlineStr">
        <is>
          <t>Clinical ops and partnerships</t>
        </is>
      </c>
      <c r="C26" s="17" t="n">
        <v>27</v>
      </c>
      <c r="D26" s="17" t="n">
        <v>999</v>
      </c>
      <c r="E26" s="20" t="n">
        <v>7000</v>
      </c>
      <c r="F26" s="17" t="n">
        <v>999</v>
      </c>
      <c r="G26" s="20" t="n">
        <v>7000</v>
      </c>
      <c r="H26" s="17" t="n">
        <v>999</v>
      </c>
      <c r="I26" s="20" t="n">
        <v>7000</v>
      </c>
      <c r="J26" s="22">
        <f>IF(OR(1&lt;$C26,1&gt;$D26),0,IF(1&gt;=$H26,$I26,IF(1&gt;=$F26,$G26,$E26)))</f>
        <v/>
      </c>
      <c r="K26" s="22">
        <f>IF(OR(2&lt;$C26,2&gt;$D26),0,IF(2&gt;=$H26,$I26,IF(2&gt;=$F26,$G26,$E26)))</f>
        <v/>
      </c>
      <c r="L26" s="22">
        <f>IF(OR(3&lt;$C26,3&gt;$D26),0,IF(3&gt;=$H26,$I26,IF(3&gt;=$F26,$G26,$E26)))</f>
        <v/>
      </c>
      <c r="M26" s="22">
        <f>IF(OR(4&lt;$C26,4&gt;$D26),0,IF(4&gt;=$H26,$I26,IF(4&gt;=$F26,$G26,$E26)))</f>
        <v/>
      </c>
      <c r="N26" s="22">
        <f>IF(OR(5&lt;$C26,5&gt;$D26),0,IF(5&gt;=$H26,$I26,IF(5&gt;=$F26,$G26,$E26)))</f>
        <v/>
      </c>
      <c r="O26" s="22">
        <f>IF(OR(6&lt;$C26,6&gt;$D26),0,IF(6&gt;=$H26,$I26,IF(6&gt;=$F26,$G26,$E26)))</f>
        <v/>
      </c>
      <c r="P26" s="22">
        <f>IF(OR(7&lt;$C26,7&gt;$D26),0,IF(7&gt;=$H26,$I26,IF(7&gt;=$F26,$G26,$E26)))</f>
        <v/>
      </c>
      <c r="Q26" s="22">
        <f>IF(OR(8&lt;$C26,8&gt;$D26),0,IF(8&gt;=$H26,$I26,IF(8&gt;=$F26,$G26,$E26)))</f>
        <v/>
      </c>
      <c r="R26" s="22">
        <f>IF(OR(9&lt;$C26,9&gt;$D26),0,IF(9&gt;=$H26,$I26,IF(9&gt;=$F26,$G26,$E26)))</f>
        <v/>
      </c>
      <c r="S26" s="22">
        <f>IF(OR(10&lt;$C26,10&gt;$D26),0,IF(10&gt;=$H26,$I26,IF(10&gt;=$F26,$G26,$E26)))</f>
        <v/>
      </c>
      <c r="T26" s="22">
        <f>IF(OR(11&lt;$C26,11&gt;$D26),0,IF(11&gt;=$H26,$I26,IF(11&gt;=$F26,$G26,$E26)))</f>
        <v/>
      </c>
      <c r="U26" s="22">
        <f>IF(OR(12&lt;$C26,12&gt;$D26),0,IF(12&gt;=$H26,$I26,IF(12&gt;=$F26,$G26,$E26)))</f>
        <v/>
      </c>
      <c r="V26" s="22">
        <f>IF(OR(13&lt;$C26,13&gt;$D26),0,IF(13&gt;=$H26,$I26,IF(13&gt;=$F26,$G26,$E26)))</f>
        <v/>
      </c>
      <c r="W26" s="22">
        <f>IF(OR(14&lt;$C26,14&gt;$D26),0,IF(14&gt;=$H26,$I26,IF(14&gt;=$F26,$G26,$E26)))</f>
        <v/>
      </c>
      <c r="X26" s="22">
        <f>IF(OR(15&lt;$C26,15&gt;$D26),0,IF(15&gt;=$H26,$I26,IF(15&gt;=$F26,$G26,$E26)))</f>
        <v/>
      </c>
      <c r="Y26" s="22">
        <f>IF(OR(16&lt;$C26,16&gt;$D26),0,IF(16&gt;=$H26,$I26,IF(16&gt;=$F26,$G26,$E26)))</f>
        <v/>
      </c>
      <c r="Z26" s="22">
        <f>IF(OR(17&lt;$C26,17&gt;$D26),0,IF(17&gt;=$H26,$I26,IF(17&gt;=$F26,$G26,$E26)))</f>
        <v/>
      </c>
      <c r="AA26" s="22">
        <f>IF(OR(18&lt;$C26,18&gt;$D26),0,IF(18&gt;=$H26,$I26,IF(18&gt;=$F26,$G26,$E26)))</f>
        <v/>
      </c>
      <c r="AB26" s="22">
        <f>IF(OR(19&lt;$C26,19&gt;$D26),0,IF(19&gt;=$H26,$I26,IF(19&gt;=$F26,$G26,$E26)))</f>
        <v/>
      </c>
      <c r="AC26" s="22">
        <f>IF(OR(20&lt;$C26,20&gt;$D26),0,IF(20&gt;=$H26,$I26,IF(20&gt;=$F26,$G26,$E26)))</f>
        <v/>
      </c>
      <c r="AD26" s="22">
        <f>IF(OR(21&lt;$C26,21&gt;$D26),0,IF(21&gt;=$H26,$I26,IF(21&gt;=$F26,$G26,$E26)))</f>
        <v/>
      </c>
      <c r="AE26" s="22">
        <f>IF(OR(22&lt;$C26,22&gt;$D26),0,IF(22&gt;=$H26,$I26,IF(22&gt;=$F26,$G26,$E26)))</f>
        <v/>
      </c>
      <c r="AF26" s="22">
        <f>IF(OR(23&lt;$C26,23&gt;$D26),0,IF(23&gt;=$H26,$I26,IF(23&gt;=$F26,$G26,$E26)))</f>
        <v/>
      </c>
      <c r="AG26" s="22">
        <f>IF(OR(24&lt;$C26,24&gt;$D26),0,IF(24&gt;=$H26,$I26,IF(24&gt;=$F26,$G26,$E26)))</f>
        <v/>
      </c>
      <c r="AH26" s="22">
        <f>IF(OR(25&lt;$C26,25&gt;$D26),0,IF(25&gt;=$H26,$I26,IF(25&gt;=$F26,$G26,$E26)))</f>
        <v/>
      </c>
      <c r="AI26" s="22">
        <f>IF(OR(26&lt;$C26,26&gt;$D26),0,IF(26&gt;=$H26,$I26,IF(26&gt;=$F26,$G26,$E26)))</f>
        <v/>
      </c>
      <c r="AJ26" s="22">
        <f>IF(OR(27&lt;$C26,27&gt;$D26),0,IF(27&gt;=$H26,$I26,IF(27&gt;=$F26,$G26,$E26)))</f>
        <v/>
      </c>
      <c r="AK26" s="22">
        <f>IF(OR(28&lt;$C26,28&gt;$D26),0,IF(28&gt;=$H26,$I26,IF(28&gt;=$F26,$G26,$E26)))</f>
        <v/>
      </c>
      <c r="AL26" s="22">
        <f>IF(OR(29&lt;$C26,29&gt;$D26),0,IF(29&gt;=$H26,$I26,IF(29&gt;=$F26,$G26,$E26)))</f>
        <v/>
      </c>
      <c r="AM26" s="22">
        <f>IF(OR(30&lt;$C26,30&gt;$D26),0,IF(30&gt;=$H26,$I26,IF(30&gt;=$F26,$G26,$E26)))</f>
        <v/>
      </c>
      <c r="AN26" s="22">
        <f>IF(OR(31&lt;$C26,31&gt;$D26),0,IF(31&gt;=$H26,$I26,IF(31&gt;=$F26,$G26,$E26)))</f>
        <v/>
      </c>
      <c r="AO26" s="22">
        <f>IF(OR(32&lt;$C26,32&gt;$D26),0,IF(32&gt;=$H26,$I26,IF(32&gt;=$F26,$G26,$E26)))</f>
        <v/>
      </c>
      <c r="AP26" s="22">
        <f>IF(OR(33&lt;$C26,33&gt;$D26),0,IF(33&gt;=$H26,$I26,IF(33&gt;=$F26,$G26,$E26)))</f>
        <v/>
      </c>
      <c r="AQ26" s="22">
        <f>IF(OR(34&lt;$C26,34&gt;$D26),0,IF(34&gt;=$H26,$I26,IF(34&gt;=$F26,$G26,$E26)))</f>
        <v/>
      </c>
      <c r="AR26" s="22">
        <f>IF(OR(35&lt;$C26,35&gt;$D26),0,IF(35&gt;=$H26,$I26,IF(35&gt;=$F26,$G26,$E26)))</f>
        <v/>
      </c>
      <c r="AS26" s="22">
        <f>IF(OR(36&lt;$C26,36&gt;$D26),0,IF(36&gt;=$H26,$I26,IF(36&gt;=$F26,$G26,$E26)))</f>
        <v/>
      </c>
    </row>
    <row r="27">
      <c r="B27" s="8" t="inlineStr">
        <is>
          <t>Support #2</t>
        </is>
      </c>
      <c r="C27" s="17" t="n">
        <v>28</v>
      </c>
      <c r="D27" s="17" t="n">
        <v>999</v>
      </c>
      <c r="E27" s="20" t="n">
        <v>4000</v>
      </c>
      <c r="F27" s="17" t="n">
        <v>999</v>
      </c>
      <c r="G27" s="20" t="n">
        <v>4000</v>
      </c>
      <c r="H27" s="17" t="n">
        <v>999</v>
      </c>
      <c r="I27" s="20" t="n">
        <v>4000</v>
      </c>
      <c r="J27" s="22">
        <f>IF(OR(1&lt;$C27,1&gt;$D27),0,IF(1&gt;=$H27,$I27,IF(1&gt;=$F27,$G27,$E27)))</f>
        <v/>
      </c>
      <c r="K27" s="22">
        <f>IF(OR(2&lt;$C27,2&gt;$D27),0,IF(2&gt;=$H27,$I27,IF(2&gt;=$F27,$G27,$E27)))</f>
        <v/>
      </c>
      <c r="L27" s="22">
        <f>IF(OR(3&lt;$C27,3&gt;$D27),0,IF(3&gt;=$H27,$I27,IF(3&gt;=$F27,$G27,$E27)))</f>
        <v/>
      </c>
      <c r="M27" s="22">
        <f>IF(OR(4&lt;$C27,4&gt;$D27),0,IF(4&gt;=$H27,$I27,IF(4&gt;=$F27,$G27,$E27)))</f>
        <v/>
      </c>
      <c r="N27" s="22">
        <f>IF(OR(5&lt;$C27,5&gt;$D27),0,IF(5&gt;=$H27,$I27,IF(5&gt;=$F27,$G27,$E27)))</f>
        <v/>
      </c>
      <c r="O27" s="22">
        <f>IF(OR(6&lt;$C27,6&gt;$D27),0,IF(6&gt;=$H27,$I27,IF(6&gt;=$F27,$G27,$E27)))</f>
        <v/>
      </c>
      <c r="P27" s="22">
        <f>IF(OR(7&lt;$C27,7&gt;$D27),0,IF(7&gt;=$H27,$I27,IF(7&gt;=$F27,$G27,$E27)))</f>
        <v/>
      </c>
      <c r="Q27" s="22">
        <f>IF(OR(8&lt;$C27,8&gt;$D27),0,IF(8&gt;=$H27,$I27,IF(8&gt;=$F27,$G27,$E27)))</f>
        <v/>
      </c>
      <c r="R27" s="22">
        <f>IF(OR(9&lt;$C27,9&gt;$D27),0,IF(9&gt;=$H27,$I27,IF(9&gt;=$F27,$G27,$E27)))</f>
        <v/>
      </c>
      <c r="S27" s="22">
        <f>IF(OR(10&lt;$C27,10&gt;$D27),0,IF(10&gt;=$H27,$I27,IF(10&gt;=$F27,$G27,$E27)))</f>
        <v/>
      </c>
      <c r="T27" s="22">
        <f>IF(OR(11&lt;$C27,11&gt;$D27),0,IF(11&gt;=$H27,$I27,IF(11&gt;=$F27,$G27,$E27)))</f>
        <v/>
      </c>
      <c r="U27" s="22">
        <f>IF(OR(12&lt;$C27,12&gt;$D27),0,IF(12&gt;=$H27,$I27,IF(12&gt;=$F27,$G27,$E27)))</f>
        <v/>
      </c>
      <c r="V27" s="22">
        <f>IF(OR(13&lt;$C27,13&gt;$D27),0,IF(13&gt;=$H27,$I27,IF(13&gt;=$F27,$G27,$E27)))</f>
        <v/>
      </c>
      <c r="W27" s="22">
        <f>IF(OR(14&lt;$C27,14&gt;$D27),0,IF(14&gt;=$H27,$I27,IF(14&gt;=$F27,$G27,$E27)))</f>
        <v/>
      </c>
      <c r="X27" s="22">
        <f>IF(OR(15&lt;$C27,15&gt;$D27),0,IF(15&gt;=$H27,$I27,IF(15&gt;=$F27,$G27,$E27)))</f>
        <v/>
      </c>
      <c r="Y27" s="22">
        <f>IF(OR(16&lt;$C27,16&gt;$D27),0,IF(16&gt;=$H27,$I27,IF(16&gt;=$F27,$G27,$E27)))</f>
        <v/>
      </c>
      <c r="Z27" s="22">
        <f>IF(OR(17&lt;$C27,17&gt;$D27),0,IF(17&gt;=$H27,$I27,IF(17&gt;=$F27,$G27,$E27)))</f>
        <v/>
      </c>
      <c r="AA27" s="22">
        <f>IF(OR(18&lt;$C27,18&gt;$D27),0,IF(18&gt;=$H27,$I27,IF(18&gt;=$F27,$G27,$E27)))</f>
        <v/>
      </c>
      <c r="AB27" s="22">
        <f>IF(OR(19&lt;$C27,19&gt;$D27),0,IF(19&gt;=$H27,$I27,IF(19&gt;=$F27,$G27,$E27)))</f>
        <v/>
      </c>
      <c r="AC27" s="22">
        <f>IF(OR(20&lt;$C27,20&gt;$D27),0,IF(20&gt;=$H27,$I27,IF(20&gt;=$F27,$G27,$E27)))</f>
        <v/>
      </c>
      <c r="AD27" s="22">
        <f>IF(OR(21&lt;$C27,21&gt;$D27),0,IF(21&gt;=$H27,$I27,IF(21&gt;=$F27,$G27,$E27)))</f>
        <v/>
      </c>
      <c r="AE27" s="22">
        <f>IF(OR(22&lt;$C27,22&gt;$D27),0,IF(22&gt;=$H27,$I27,IF(22&gt;=$F27,$G27,$E27)))</f>
        <v/>
      </c>
      <c r="AF27" s="22">
        <f>IF(OR(23&lt;$C27,23&gt;$D27),0,IF(23&gt;=$H27,$I27,IF(23&gt;=$F27,$G27,$E27)))</f>
        <v/>
      </c>
      <c r="AG27" s="22">
        <f>IF(OR(24&lt;$C27,24&gt;$D27),0,IF(24&gt;=$H27,$I27,IF(24&gt;=$F27,$G27,$E27)))</f>
        <v/>
      </c>
      <c r="AH27" s="22">
        <f>IF(OR(25&lt;$C27,25&gt;$D27),0,IF(25&gt;=$H27,$I27,IF(25&gt;=$F27,$G27,$E27)))</f>
        <v/>
      </c>
      <c r="AI27" s="22">
        <f>IF(OR(26&lt;$C27,26&gt;$D27),0,IF(26&gt;=$H27,$I27,IF(26&gt;=$F27,$G27,$E27)))</f>
        <v/>
      </c>
      <c r="AJ27" s="22">
        <f>IF(OR(27&lt;$C27,27&gt;$D27),0,IF(27&gt;=$H27,$I27,IF(27&gt;=$F27,$G27,$E27)))</f>
        <v/>
      </c>
      <c r="AK27" s="22">
        <f>IF(OR(28&lt;$C27,28&gt;$D27),0,IF(28&gt;=$H27,$I27,IF(28&gt;=$F27,$G27,$E27)))</f>
        <v/>
      </c>
      <c r="AL27" s="22">
        <f>IF(OR(29&lt;$C27,29&gt;$D27),0,IF(29&gt;=$H27,$I27,IF(29&gt;=$F27,$G27,$E27)))</f>
        <v/>
      </c>
      <c r="AM27" s="22">
        <f>IF(OR(30&lt;$C27,30&gt;$D27),0,IF(30&gt;=$H27,$I27,IF(30&gt;=$F27,$G27,$E27)))</f>
        <v/>
      </c>
      <c r="AN27" s="22">
        <f>IF(OR(31&lt;$C27,31&gt;$D27),0,IF(31&gt;=$H27,$I27,IF(31&gt;=$F27,$G27,$E27)))</f>
        <v/>
      </c>
      <c r="AO27" s="22">
        <f>IF(OR(32&lt;$C27,32&gt;$D27),0,IF(32&gt;=$H27,$I27,IF(32&gt;=$F27,$G27,$E27)))</f>
        <v/>
      </c>
      <c r="AP27" s="22">
        <f>IF(OR(33&lt;$C27,33&gt;$D27),0,IF(33&gt;=$H27,$I27,IF(33&gt;=$F27,$G27,$E27)))</f>
        <v/>
      </c>
      <c r="AQ27" s="22">
        <f>IF(OR(34&lt;$C27,34&gt;$D27),0,IF(34&gt;=$H27,$I27,IF(34&gt;=$F27,$G27,$E27)))</f>
        <v/>
      </c>
      <c r="AR27" s="22">
        <f>IF(OR(35&lt;$C27,35&gt;$D27),0,IF(35&gt;=$H27,$I27,IF(35&gt;=$F27,$G27,$E27)))</f>
        <v/>
      </c>
      <c r="AS27" s="22">
        <f>IF(OR(36&lt;$C27,36&gt;$D27),0,IF(36&gt;=$H27,$I27,IF(36&gt;=$F27,$G27,$E27)))</f>
        <v/>
      </c>
    </row>
    <row r="28">
      <c r="B28" s="8" t="inlineStr">
        <is>
          <t>Support #3</t>
        </is>
      </c>
      <c r="C28" s="17" t="n">
        <v>28</v>
      </c>
      <c r="D28" s="17" t="n">
        <v>999</v>
      </c>
      <c r="E28" s="20" t="n">
        <v>4000</v>
      </c>
      <c r="F28" s="17" t="n">
        <v>999</v>
      </c>
      <c r="G28" s="20" t="n">
        <v>4000</v>
      </c>
      <c r="H28" s="17" t="n">
        <v>999</v>
      </c>
      <c r="I28" s="20" t="n">
        <v>4000</v>
      </c>
      <c r="J28" s="22">
        <f>IF(OR(1&lt;$C28,1&gt;$D28),0,IF(1&gt;=$H28,$I28,IF(1&gt;=$F28,$G28,$E28)))</f>
        <v/>
      </c>
      <c r="K28" s="22">
        <f>IF(OR(2&lt;$C28,2&gt;$D28),0,IF(2&gt;=$H28,$I28,IF(2&gt;=$F28,$G28,$E28)))</f>
        <v/>
      </c>
      <c r="L28" s="22">
        <f>IF(OR(3&lt;$C28,3&gt;$D28),0,IF(3&gt;=$H28,$I28,IF(3&gt;=$F28,$G28,$E28)))</f>
        <v/>
      </c>
      <c r="M28" s="22">
        <f>IF(OR(4&lt;$C28,4&gt;$D28),0,IF(4&gt;=$H28,$I28,IF(4&gt;=$F28,$G28,$E28)))</f>
        <v/>
      </c>
      <c r="N28" s="22">
        <f>IF(OR(5&lt;$C28,5&gt;$D28),0,IF(5&gt;=$H28,$I28,IF(5&gt;=$F28,$G28,$E28)))</f>
        <v/>
      </c>
      <c r="O28" s="22">
        <f>IF(OR(6&lt;$C28,6&gt;$D28),0,IF(6&gt;=$H28,$I28,IF(6&gt;=$F28,$G28,$E28)))</f>
        <v/>
      </c>
      <c r="P28" s="22">
        <f>IF(OR(7&lt;$C28,7&gt;$D28),0,IF(7&gt;=$H28,$I28,IF(7&gt;=$F28,$G28,$E28)))</f>
        <v/>
      </c>
      <c r="Q28" s="22">
        <f>IF(OR(8&lt;$C28,8&gt;$D28),0,IF(8&gt;=$H28,$I28,IF(8&gt;=$F28,$G28,$E28)))</f>
        <v/>
      </c>
      <c r="R28" s="22">
        <f>IF(OR(9&lt;$C28,9&gt;$D28),0,IF(9&gt;=$H28,$I28,IF(9&gt;=$F28,$G28,$E28)))</f>
        <v/>
      </c>
      <c r="S28" s="22">
        <f>IF(OR(10&lt;$C28,10&gt;$D28),0,IF(10&gt;=$H28,$I28,IF(10&gt;=$F28,$G28,$E28)))</f>
        <v/>
      </c>
      <c r="T28" s="22">
        <f>IF(OR(11&lt;$C28,11&gt;$D28),0,IF(11&gt;=$H28,$I28,IF(11&gt;=$F28,$G28,$E28)))</f>
        <v/>
      </c>
      <c r="U28" s="22">
        <f>IF(OR(12&lt;$C28,12&gt;$D28),0,IF(12&gt;=$H28,$I28,IF(12&gt;=$F28,$G28,$E28)))</f>
        <v/>
      </c>
      <c r="V28" s="22">
        <f>IF(OR(13&lt;$C28,13&gt;$D28),0,IF(13&gt;=$H28,$I28,IF(13&gt;=$F28,$G28,$E28)))</f>
        <v/>
      </c>
      <c r="W28" s="22">
        <f>IF(OR(14&lt;$C28,14&gt;$D28),0,IF(14&gt;=$H28,$I28,IF(14&gt;=$F28,$G28,$E28)))</f>
        <v/>
      </c>
      <c r="X28" s="22">
        <f>IF(OR(15&lt;$C28,15&gt;$D28),0,IF(15&gt;=$H28,$I28,IF(15&gt;=$F28,$G28,$E28)))</f>
        <v/>
      </c>
      <c r="Y28" s="22">
        <f>IF(OR(16&lt;$C28,16&gt;$D28),0,IF(16&gt;=$H28,$I28,IF(16&gt;=$F28,$G28,$E28)))</f>
        <v/>
      </c>
      <c r="Z28" s="22">
        <f>IF(OR(17&lt;$C28,17&gt;$D28),0,IF(17&gt;=$H28,$I28,IF(17&gt;=$F28,$G28,$E28)))</f>
        <v/>
      </c>
      <c r="AA28" s="22">
        <f>IF(OR(18&lt;$C28,18&gt;$D28),0,IF(18&gt;=$H28,$I28,IF(18&gt;=$F28,$G28,$E28)))</f>
        <v/>
      </c>
      <c r="AB28" s="22">
        <f>IF(OR(19&lt;$C28,19&gt;$D28),0,IF(19&gt;=$H28,$I28,IF(19&gt;=$F28,$G28,$E28)))</f>
        <v/>
      </c>
      <c r="AC28" s="22">
        <f>IF(OR(20&lt;$C28,20&gt;$D28),0,IF(20&gt;=$H28,$I28,IF(20&gt;=$F28,$G28,$E28)))</f>
        <v/>
      </c>
      <c r="AD28" s="22">
        <f>IF(OR(21&lt;$C28,21&gt;$D28),0,IF(21&gt;=$H28,$I28,IF(21&gt;=$F28,$G28,$E28)))</f>
        <v/>
      </c>
      <c r="AE28" s="22">
        <f>IF(OR(22&lt;$C28,22&gt;$D28),0,IF(22&gt;=$H28,$I28,IF(22&gt;=$F28,$G28,$E28)))</f>
        <v/>
      </c>
      <c r="AF28" s="22">
        <f>IF(OR(23&lt;$C28,23&gt;$D28),0,IF(23&gt;=$H28,$I28,IF(23&gt;=$F28,$G28,$E28)))</f>
        <v/>
      </c>
      <c r="AG28" s="22">
        <f>IF(OR(24&lt;$C28,24&gt;$D28),0,IF(24&gt;=$H28,$I28,IF(24&gt;=$F28,$G28,$E28)))</f>
        <v/>
      </c>
      <c r="AH28" s="22">
        <f>IF(OR(25&lt;$C28,25&gt;$D28),0,IF(25&gt;=$H28,$I28,IF(25&gt;=$F28,$G28,$E28)))</f>
        <v/>
      </c>
      <c r="AI28" s="22">
        <f>IF(OR(26&lt;$C28,26&gt;$D28),0,IF(26&gt;=$H28,$I28,IF(26&gt;=$F28,$G28,$E28)))</f>
        <v/>
      </c>
      <c r="AJ28" s="22">
        <f>IF(OR(27&lt;$C28,27&gt;$D28),0,IF(27&gt;=$H28,$I28,IF(27&gt;=$F28,$G28,$E28)))</f>
        <v/>
      </c>
      <c r="AK28" s="22">
        <f>IF(OR(28&lt;$C28,28&gt;$D28),0,IF(28&gt;=$H28,$I28,IF(28&gt;=$F28,$G28,$E28)))</f>
        <v/>
      </c>
      <c r="AL28" s="22">
        <f>IF(OR(29&lt;$C28,29&gt;$D28),0,IF(29&gt;=$H28,$I28,IF(29&gt;=$F28,$G28,$E28)))</f>
        <v/>
      </c>
      <c r="AM28" s="22">
        <f>IF(OR(30&lt;$C28,30&gt;$D28),0,IF(30&gt;=$H28,$I28,IF(30&gt;=$F28,$G28,$E28)))</f>
        <v/>
      </c>
      <c r="AN28" s="22">
        <f>IF(OR(31&lt;$C28,31&gt;$D28),0,IF(31&gt;=$H28,$I28,IF(31&gt;=$F28,$G28,$E28)))</f>
        <v/>
      </c>
      <c r="AO28" s="22">
        <f>IF(OR(32&lt;$C28,32&gt;$D28),0,IF(32&gt;=$H28,$I28,IF(32&gt;=$F28,$G28,$E28)))</f>
        <v/>
      </c>
      <c r="AP28" s="22">
        <f>IF(OR(33&lt;$C28,33&gt;$D28),0,IF(33&gt;=$H28,$I28,IF(33&gt;=$F28,$G28,$E28)))</f>
        <v/>
      </c>
      <c r="AQ28" s="22">
        <f>IF(OR(34&lt;$C28,34&gt;$D28),0,IF(34&gt;=$H28,$I28,IF(34&gt;=$F28,$G28,$E28)))</f>
        <v/>
      </c>
      <c r="AR28" s="22">
        <f>IF(OR(35&lt;$C28,35&gt;$D28),0,IF(35&gt;=$H28,$I28,IF(35&gt;=$F28,$G28,$E28)))</f>
        <v/>
      </c>
      <c r="AS28" s="22">
        <f>IF(OR(36&lt;$C28,36&gt;$D28),0,IF(36&gt;=$H28,$I28,IF(36&gt;=$F28,$G28,$E28)))</f>
        <v/>
      </c>
    </row>
    <row r="29">
      <c r="B29" s="8" t="inlineStr">
        <is>
          <t>Engineer #8</t>
        </is>
      </c>
      <c r="C29" s="17" t="n">
        <v>31</v>
      </c>
      <c r="D29" s="17" t="n">
        <v>999</v>
      </c>
      <c r="E29" s="20" t="n">
        <v>9000</v>
      </c>
      <c r="F29" s="17" t="n">
        <v>999</v>
      </c>
      <c r="G29" s="20" t="n">
        <v>9000</v>
      </c>
      <c r="H29" s="17" t="n">
        <v>999</v>
      </c>
      <c r="I29" s="20" t="n">
        <v>9000</v>
      </c>
      <c r="J29" s="22">
        <f>IF(OR(1&lt;$C29,1&gt;$D29),0,IF(1&gt;=$H29,$I29,IF(1&gt;=$F29,$G29,$E29)))</f>
        <v/>
      </c>
      <c r="K29" s="22">
        <f>IF(OR(2&lt;$C29,2&gt;$D29),0,IF(2&gt;=$H29,$I29,IF(2&gt;=$F29,$G29,$E29)))</f>
        <v/>
      </c>
      <c r="L29" s="22">
        <f>IF(OR(3&lt;$C29,3&gt;$D29),0,IF(3&gt;=$H29,$I29,IF(3&gt;=$F29,$G29,$E29)))</f>
        <v/>
      </c>
      <c r="M29" s="22">
        <f>IF(OR(4&lt;$C29,4&gt;$D29),0,IF(4&gt;=$H29,$I29,IF(4&gt;=$F29,$G29,$E29)))</f>
        <v/>
      </c>
      <c r="N29" s="22">
        <f>IF(OR(5&lt;$C29,5&gt;$D29),0,IF(5&gt;=$H29,$I29,IF(5&gt;=$F29,$G29,$E29)))</f>
        <v/>
      </c>
      <c r="O29" s="22">
        <f>IF(OR(6&lt;$C29,6&gt;$D29),0,IF(6&gt;=$H29,$I29,IF(6&gt;=$F29,$G29,$E29)))</f>
        <v/>
      </c>
      <c r="P29" s="22">
        <f>IF(OR(7&lt;$C29,7&gt;$D29),0,IF(7&gt;=$H29,$I29,IF(7&gt;=$F29,$G29,$E29)))</f>
        <v/>
      </c>
      <c r="Q29" s="22">
        <f>IF(OR(8&lt;$C29,8&gt;$D29),0,IF(8&gt;=$H29,$I29,IF(8&gt;=$F29,$G29,$E29)))</f>
        <v/>
      </c>
      <c r="R29" s="22">
        <f>IF(OR(9&lt;$C29,9&gt;$D29),0,IF(9&gt;=$H29,$I29,IF(9&gt;=$F29,$G29,$E29)))</f>
        <v/>
      </c>
      <c r="S29" s="22">
        <f>IF(OR(10&lt;$C29,10&gt;$D29),0,IF(10&gt;=$H29,$I29,IF(10&gt;=$F29,$G29,$E29)))</f>
        <v/>
      </c>
      <c r="T29" s="22">
        <f>IF(OR(11&lt;$C29,11&gt;$D29),0,IF(11&gt;=$H29,$I29,IF(11&gt;=$F29,$G29,$E29)))</f>
        <v/>
      </c>
      <c r="U29" s="22">
        <f>IF(OR(12&lt;$C29,12&gt;$D29),0,IF(12&gt;=$H29,$I29,IF(12&gt;=$F29,$G29,$E29)))</f>
        <v/>
      </c>
      <c r="V29" s="22">
        <f>IF(OR(13&lt;$C29,13&gt;$D29),0,IF(13&gt;=$H29,$I29,IF(13&gt;=$F29,$G29,$E29)))</f>
        <v/>
      </c>
      <c r="W29" s="22">
        <f>IF(OR(14&lt;$C29,14&gt;$D29),0,IF(14&gt;=$H29,$I29,IF(14&gt;=$F29,$G29,$E29)))</f>
        <v/>
      </c>
      <c r="X29" s="22">
        <f>IF(OR(15&lt;$C29,15&gt;$D29),0,IF(15&gt;=$H29,$I29,IF(15&gt;=$F29,$G29,$E29)))</f>
        <v/>
      </c>
      <c r="Y29" s="22">
        <f>IF(OR(16&lt;$C29,16&gt;$D29),0,IF(16&gt;=$H29,$I29,IF(16&gt;=$F29,$G29,$E29)))</f>
        <v/>
      </c>
      <c r="Z29" s="22">
        <f>IF(OR(17&lt;$C29,17&gt;$D29),0,IF(17&gt;=$H29,$I29,IF(17&gt;=$F29,$G29,$E29)))</f>
        <v/>
      </c>
      <c r="AA29" s="22">
        <f>IF(OR(18&lt;$C29,18&gt;$D29),0,IF(18&gt;=$H29,$I29,IF(18&gt;=$F29,$G29,$E29)))</f>
        <v/>
      </c>
      <c r="AB29" s="22">
        <f>IF(OR(19&lt;$C29,19&gt;$D29),0,IF(19&gt;=$H29,$I29,IF(19&gt;=$F29,$G29,$E29)))</f>
        <v/>
      </c>
      <c r="AC29" s="22">
        <f>IF(OR(20&lt;$C29,20&gt;$D29),0,IF(20&gt;=$H29,$I29,IF(20&gt;=$F29,$G29,$E29)))</f>
        <v/>
      </c>
      <c r="AD29" s="22">
        <f>IF(OR(21&lt;$C29,21&gt;$D29),0,IF(21&gt;=$H29,$I29,IF(21&gt;=$F29,$G29,$E29)))</f>
        <v/>
      </c>
      <c r="AE29" s="22">
        <f>IF(OR(22&lt;$C29,22&gt;$D29),0,IF(22&gt;=$H29,$I29,IF(22&gt;=$F29,$G29,$E29)))</f>
        <v/>
      </c>
      <c r="AF29" s="22">
        <f>IF(OR(23&lt;$C29,23&gt;$D29),0,IF(23&gt;=$H29,$I29,IF(23&gt;=$F29,$G29,$E29)))</f>
        <v/>
      </c>
      <c r="AG29" s="22">
        <f>IF(OR(24&lt;$C29,24&gt;$D29),0,IF(24&gt;=$H29,$I29,IF(24&gt;=$F29,$G29,$E29)))</f>
        <v/>
      </c>
      <c r="AH29" s="22">
        <f>IF(OR(25&lt;$C29,25&gt;$D29),0,IF(25&gt;=$H29,$I29,IF(25&gt;=$F29,$G29,$E29)))</f>
        <v/>
      </c>
      <c r="AI29" s="22">
        <f>IF(OR(26&lt;$C29,26&gt;$D29),0,IF(26&gt;=$H29,$I29,IF(26&gt;=$F29,$G29,$E29)))</f>
        <v/>
      </c>
      <c r="AJ29" s="22">
        <f>IF(OR(27&lt;$C29,27&gt;$D29),0,IF(27&gt;=$H29,$I29,IF(27&gt;=$F29,$G29,$E29)))</f>
        <v/>
      </c>
      <c r="AK29" s="22">
        <f>IF(OR(28&lt;$C29,28&gt;$D29),0,IF(28&gt;=$H29,$I29,IF(28&gt;=$F29,$G29,$E29)))</f>
        <v/>
      </c>
      <c r="AL29" s="22">
        <f>IF(OR(29&lt;$C29,29&gt;$D29),0,IF(29&gt;=$H29,$I29,IF(29&gt;=$F29,$G29,$E29)))</f>
        <v/>
      </c>
      <c r="AM29" s="22">
        <f>IF(OR(30&lt;$C29,30&gt;$D29),0,IF(30&gt;=$H29,$I29,IF(30&gt;=$F29,$G29,$E29)))</f>
        <v/>
      </c>
      <c r="AN29" s="22">
        <f>IF(OR(31&lt;$C29,31&gt;$D29),0,IF(31&gt;=$H29,$I29,IF(31&gt;=$F29,$G29,$E29)))</f>
        <v/>
      </c>
      <c r="AO29" s="22">
        <f>IF(OR(32&lt;$C29,32&gt;$D29),0,IF(32&gt;=$H29,$I29,IF(32&gt;=$F29,$G29,$E29)))</f>
        <v/>
      </c>
      <c r="AP29" s="22">
        <f>IF(OR(33&lt;$C29,33&gt;$D29),0,IF(33&gt;=$H29,$I29,IF(33&gt;=$F29,$G29,$E29)))</f>
        <v/>
      </c>
      <c r="AQ29" s="22">
        <f>IF(OR(34&lt;$C29,34&gt;$D29),0,IF(34&gt;=$H29,$I29,IF(34&gt;=$F29,$G29,$E29)))</f>
        <v/>
      </c>
      <c r="AR29" s="22">
        <f>IF(OR(35&lt;$C29,35&gt;$D29),0,IF(35&gt;=$H29,$I29,IF(35&gt;=$F29,$G29,$E29)))</f>
        <v/>
      </c>
      <c r="AS29" s="22">
        <f>IF(OR(36&lt;$C29,36&gt;$D29),0,IF(36&gt;=$H29,$I29,IF(36&gt;=$F29,$G29,$E29)))</f>
        <v/>
      </c>
    </row>
    <row r="30">
      <c r="B30" s="8" t="inlineStr">
        <is>
          <t>Engineer #9</t>
        </is>
      </c>
      <c r="C30" s="17" t="n">
        <v>31</v>
      </c>
      <c r="D30" s="17" t="n">
        <v>999</v>
      </c>
      <c r="E30" s="20" t="n">
        <v>9000</v>
      </c>
      <c r="F30" s="17" t="n">
        <v>999</v>
      </c>
      <c r="G30" s="20" t="n">
        <v>9000</v>
      </c>
      <c r="H30" s="17" t="n">
        <v>999</v>
      </c>
      <c r="I30" s="20" t="n">
        <v>9000</v>
      </c>
      <c r="J30" s="22">
        <f>IF(OR(1&lt;$C30,1&gt;$D30),0,IF(1&gt;=$H30,$I30,IF(1&gt;=$F30,$G30,$E30)))</f>
        <v/>
      </c>
      <c r="K30" s="22">
        <f>IF(OR(2&lt;$C30,2&gt;$D30),0,IF(2&gt;=$H30,$I30,IF(2&gt;=$F30,$G30,$E30)))</f>
        <v/>
      </c>
      <c r="L30" s="22">
        <f>IF(OR(3&lt;$C30,3&gt;$D30),0,IF(3&gt;=$H30,$I30,IF(3&gt;=$F30,$G30,$E30)))</f>
        <v/>
      </c>
      <c r="M30" s="22">
        <f>IF(OR(4&lt;$C30,4&gt;$D30),0,IF(4&gt;=$H30,$I30,IF(4&gt;=$F30,$G30,$E30)))</f>
        <v/>
      </c>
      <c r="N30" s="22">
        <f>IF(OR(5&lt;$C30,5&gt;$D30),0,IF(5&gt;=$H30,$I30,IF(5&gt;=$F30,$G30,$E30)))</f>
        <v/>
      </c>
      <c r="O30" s="22">
        <f>IF(OR(6&lt;$C30,6&gt;$D30),0,IF(6&gt;=$H30,$I30,IF(6&gt;=$F30,$G30,$E30)))</f>
        <v/>
      </c>
      <c r="P30" s="22">
        <f>IF(OR(7&lt;$C30,7&gt;$D30),0,IF(7&gt;=$H30,$I30,IF(7&gt;=$F30,$G30,$E30)))</f>
        <v/>
      </c>
      <c r="Q30" s="22">
        <f>IF(OR(8&lt;$C30,8&gt;$D30),0,IF(8&gt;=$H30,$I30,IF(8&gt;=$F30,$G30,$E30)))</f>
        <v/>
      </c>
      <c r="R30" s="22">
        <f>IF(OR(9&lt;$C30,9&gt;$D30),0,IF(9&gt;=$H30,$I30,IF(9&gt;=$F30,$G30,$E30)))</f>
        <v/>
      </c>
      <c r="S30" s="22">
        <f>IF(OR(10&lt;$C30,10&gt;$D30),0,IF(10&gt;=$H30,$I30,IF(10&gt;=$F30,$G30,$E30)))</f>
        <v/>
      </c>
      <c r="T30" s="22">
        <f>IF(OR(11&lt;$C30,11&gt;$D30),0,IF(11&gt;=$H30,$I30,IF(11&gt;=$F30,$G30,$E30)))</f>
        <v/>
      </c>
      <c r="U30" s="22">
        <f>IF(OR(12&lt;$C30,12&gt;$D30),0,IF(12&gt;=$H30,$I30,IF(12&gt;=$F30,$G30,$E30)))</f>
        <v/>
      </c>
      <c r="V30" s="22">
        <f>IF(OR(13&lt;$C30,13&gt;$D30),0,IF(13&gt;=$H30,$I30,IF(13&gt;=$F30,$G30,$E30)))</f>
        <v/>
      </c>
      <c r="W30" s="22">
        <f>IF(OR(14&lt;$C30,14&gt;$D30),0,IF(14&gt;=$H30,$I30,IF(14&gt;=$F30,$G30,$E30)))</f>
        <v/>
      </c>
      <c r="X30" s="22">
        <f>IF(OR(15&lt;$C30,15&gt;$D30),0,IF(15&gt;=$H30,$I30,IF(15&gt;=$F30,$G30,$E30)))</f>
        <v/>
      </c>
      <c r="Y30" s="22">
        <f>IF(OR(16&lt;$C30,16&gt;$D30),0,IF(16&gt;=$H30,$I30,IF(16&gt;=$F30,$G30,$E30)))</f>
        <v/>
      </c>
      <c r="Z30" s="22">
        <f>IF(OR(17&lt;$C30,17&gt;$D30),0,IF(17&gt;=$H30,$I30,IF(17&gt;=$F30,$G30,$E30)))</f>
        <v/>
      </c>
      <c r="AA30" s="22">
        <f>IF(OR(18&lt;$C30,18&gt;$D30),0,IF(18&gt;=$H30,$I30,IF(18&gt;=$F30,$G30,$E30)))</f>
        <v/>
      </c>
      <c r="AB30" s="22">
        <f>IF(OR(19&lt;$C30,19&gt;$D30),0,IF(19&gt;=$H30,$I30,IF(19&gt;=$F30,$G30,$E30)))</f>
        <v/>
      </c>
      <c r="AC30" s="22">
        <f>IF(OR(20&lt;$C30,20&gt;$D30),0,IF(20&gt;=$H30,$I30,IF(20&gt;=$F30,$G30,$E30)))</f>
        <v/>
      </c>
      <c r="AD30" s="22">
        <f>IF(OR(21&lt;$C30,21&gt;$D30),0,IF(21&gt;=$H30,$I30,IF(21&gt;=$F30,$G30,$E30)))</f>
        <v/>
      </c>
      <c r="AE30" s="22">
        <f>IF(OR(22&lt;$C30,22&gt;$D30),0,IF(22&gt;=$H30,$I30,IF(22&gt;=$F30,$G30,$E30)))</f>
        <v/>
      </c>
      <c r="AF30" s="22">
        <f>IF(OR(23&lt;$C30,23&gt;$D30),0,IF(23&gt;=$H30,$I30,IF(23&gt;=$F30,$G30,$E30)))</f>
        <v/>
      </c>
      <c r="AG30" s="22">
        <f>IF(OR(24&lt;$C30,24&gt;$D30),0,IF(24&gt;=$H30,$I30,IF(24&gt;=$F30,$G30,$E30)))</f>
        <v/>
      </c>
      <c r="AH30" s="22">
        <f>IF(OR(25&lt;$C30,25&gt;$D30),0,IF(25&gt;=$H30,$I30,IF(25&gt;=$F30,$G30,$E30)))</f>
        <v/>
      </c>
      <c r="AI30" s="22">
        <f>IF(OR(26&lt;$C30,26&gt;$D30),0,IF(26&gt;=$H30,$I30,IF(26&gt;=$F30,$G30,$E30)))</f>
        <v/>
      </c>
      <c r="AJ30" s="22">
        <f>IF(OR(27&lt;$C30,27&gt;$D30),0,IF(27&gt;=$H30,$I30,IF(27&gt;=$F30,$G30,$E30)))</f>
        <v/>
      </c>
      <c r="AK30" s="22">
        <f>IF(OR(28&lt;$C30,28&gt;$D30),0,IF(28&gt;=$H30,$I30,IF(28&gt;=$F30,$G30,$E30)))</f>
        <v/>
      </c>
      <c r="AL30" s="22">
        <f>IF(OR(29&lt;$C30,29&gt;$D30),0,IF(29&gt;=$H30,$I30,IF(29&gt;=$F30,$G30,$E30)))</f>
        <v/>
      </c>
      <c r="AM30" s="22">
        <f>IF(OR(30&lt;$C30,30&gt;$D30),0,IF(30&gt;=$H30,$I30,IF(30&gt;=$F30,$G30,$E30)))</f>
        <v/>
      </c>
      <c r="AN30" s="22">
        <f>IF(OR(31&lt;$C30,31&gt;$D30),0,IF(31&gt;=$H30,$I30,IF(31&gt;=$F30,$G30,$E30)))</f>
        <v/>
      </c>
      <c r="AO30" s="22">
        <f>IF(OR(32&lt;$C30,32&gt;$D30),0,IF(32&gt;=$H30,$I30,IF(32&gt;=$F30,$G30,$E30)))</f>
        <v/>
      </c>
      <c r="AP30" s="22">
        <f>IF(OR(33&lt;$C30,33&gt;$D30),0,IF(33&gt;=$H30,$I30,IF(33&gt;=$F30,$G30,$E30)))</f>
        <v/>
      </c>
      <c r="AQ30" s="22">
        <f>IF(OR(34&lt;$C30,34&gt;$D30),0,IF(34&gt;=$H30,$I30,IF(34&gt;=$F30,$G30,$E30)))</f>
        <v/>
      </c>
      <c r="AR30" s="22">
        <f>IF(OR(35&lt;$C30,35&gt;$D30),0,IF(35&gt;=$H30,$I30,IF(35&gt;=$F30,$G30,$E30)))</f>
        <v/>
      </c>
      <c r="AS30" s="22">
        <f>IF(OR(36&lt;$C30,36&gt;$D30),0,IF(36&gt;=$H30,$I30,IF(36&gt;=$F30,$G30,$E30)))</f>
        <v/>
      </c>
    </row>
    <row r="31">
      <c r="B31" s="8" t="inlineStr">
        <is>
          <t>Finance and operations lead</t>
        </is>
      </c>
      <c r="C31" s="17" t="n">
        <v>32</v>
      </c>
      <c r="D31" s="17" t="n">
        <v>999</v>
      </c>
      <c r="E31" s="20" t="n">
        <v>8500</v>
      </c>
      <c r="F31" s="17" t="n">
        <v>999</v>
      </c>
      <c r="G31" s="20" t="n">
        <v>8500</v>
      </c>
      <c r="H31" s="17" t="n">
        <v>999</v>
      </c>
      <c r="I31" s="20" t="n">
        <v>8500</v>
      </c>
      <c r="J31" s="22">
        <f>IF(OR(1&lt;$C31,1&gt;$D31),0,IF(1&gt;=$H31,$I31,IF(1&gt;=$F31,$G31,$E31)))</f>
        <v/>
      </c>
      <c r="K31" s="22">
        <f>IF(OR(2&lt;$C31,2&gt;$D31),0,IF(2&gt;=$H31,$I31,IF(2&gt;=$F31,$G31,$E31)))</f>
        <v/>
      </c>
      <c r="L31" s="22">
        <f>IF(OR(3&lt;$C31,3&gt;$D31),0,IF(3&gt;=$H31,$I31,IF(3&gt;=$F31,$G31,$E31)))</f>
        <v/>
      </c>
      <c r="M31" s="22">
        <f>IF(OR(4&lt;$C31,4&gt;$D31),0,IF(4&gt;=$H31,$I31,IF(4&gt;=$F31,$G31,$E31)))</f>
        <v/>
      </c>
      <c r="N31" s="22">
        <f>IF(OR(5&lt;$C31,5&gt;$D31),0,IF(5&gt;=$H31,$I31,IF(5&gt;=$F31,$G31,$E31)))</f>
        <v/>
      </c>
      <c r="O31" s="22">
        <f>IF(OR(6&lt;$C31,6&gt;$D31),0,IF(6&gt;=$H31,$I31,IF(6&gt;=$F31,$G31,$E31)))</f>
        <v/>
      </c>
      <c r="P31" s="22">
        <f>IF(OR(7&lt;$C31,7&gt;$D31),0,IF(7&gt;=$H31,$I31,IF(7&gt;=$F31,$G31,$E31)))</f>
        <v/>
      </c>
      <c r="Q31" s="22">
        <f>IF(OR(8&lt;$C31,8&gt;$D31),0,IF(8&gt;=$H31,$I31,IF(8&gt;=$F31,$G31,$E31)))</f>
        <v/>
      </c>
      <c r="R31" s="22">
        <f>IF(OR(9&lt;$C31,9&gt;$D31),0,IF(9&gt;=$H31,$I31,IF(9&gt;=$F31,$G31,$E31)))</f>
        <v/>
      </c>
      <c r="S31" s="22">
        <f>IF(OR(10&lt;$C31,10&gt;$D31),0,IF(10&gt;=$H31,$I31,IF(10&gt;=$F31,$G31,$E31)))</f>
        <v/>
      </c>
      <c r="T31" s="22">
        <f>IF(OR(11&lt;$C31,11&gt;$D31),0,IF(11&gt;=$H31,$I31,IF(11&gt;=$F31,$G31,$E31)))</f>
        <v/>
      </c>
      <c r="U31" s="22">
        <f>IF(OR(12&lt;$C31,12&gt;$D31),0,IF(12&gt;=$H31,$I31,IF(12&gt;=$F31,$G31,$E31)))</f>
        <v/>
      </c>
      <c r="V31" s="22">
        <f>IF(OR(13&lt;$C31,13&gt;$D31),0,IF(13&gt;=$H31,$I31,IF(13&gt;=$F31,$G31,$E31)))</f>
        <v/>
      </c>
      <c r="W31" s="22">
        <f>IF(OR(14&lt;$C31,14&gt;$D31),0,IF(14&gt;=$H31,$I31,IF(14&gt;=$F31,$G31,$E31)))</f>
        <v/>
      </c>
      <c r="X31" s="22">
        <f>IF(OR(15&lt;$C31,15&gt;$D31),0,IF(15&gt;=$H31,$I31,IF(15&gt;=$F31,$G31,$E31)))</f>
        <v/>
      </c>
      <c r="Y31" s="22">
        <f>IF(OR(16&lt;$C31,16&gt;$D31),0,IF(16&gt;=$H31,$I31,IF(16&gt;=$F31,$G31,$E31)))</f>
        <v/>
      </c>
      <c r="Z31" s="22">
        <f>IF(OR(17&lt;$C31,17&gt;$D31),0,IF(17&gt;=$H31,$I31,IF(17&gt;=$F31,$G31,$E31)))</f>
        <v/>
      </c>
      <c r="AA31" s="22">
        <f>IF(OR(18&lt;$C31,18&gt;$D31),0,IF(18&gt;=$H31,$I31,IF(18&gt;=$F31,$G31,$E31)))</f>
        <v/>
      </c>
      <c r="AB31" s="22">
        <f>IF(OR(19&lt;$C31,19&gt;$D31),0,IF(19&gt;=$H31,$I31,IF(19&gt;=$F31,$G31,$E31)))</f>
        <v/>
      </c>
      <c r="AC31" s="22">
        <f>IF(OR(20&lt;$C31,20&gt;$D31),0,IF(20&gt;=$H31,$I31,IF(20&gt;=$F31,$G31,$E31)))</f>
        <v/>
      </c>
      <c r="AD31" s="22">
        <f>IF(OR(21&lt;$C31,21&gt;$D31),0,IF(21&gt;=$H31,$I31,IF(21&gt;=$F31,$G31,$E31)))</f>
        <v/>
      </c>
      <c r="AE31" s="22">
        <f>IF(OR(22&lt;$C31,22&gt;$D31),0,IF(22&gt;=$H31,$I31,IF(22&gt;=$F31,$G31,$E31)))</f>
        <v/>
      </c>
      <c r="AF31" s="22">
        <f>IF(OR(23&lt;$C31,23&gt;$D31),0,IF(23&gt;=$H31,$I31,IF(23&gt;=$F31,$G31,$E31)))</f>
        <v/>
      </c>
      <c r="AG31" s="22">
        <f>IF(OR(24&lt;$C31,24&gt;$D31),0,IF(24&gt;=$H31,$I31,IF(24&gt;=$F31,$G31,$E31)))</f>
        <v/>
      </c>
      <c r="AH31" s="22">
        <f>IF(OR(25&lt;$C31,25&gt;$D31),0,IF(25&gt;=$H31,$I31,IF(25&gt;=$F31,$G31,$E31)))</f>
        <v/>
      </c>
      <c r="AI31" s="22">
        <f>IF(OR(26&lt;$C31,26&gt;$D31),0,IF(26&gt;=$H31,$I31,IF(26&gt;=$F31,$G31,$E31)))</f>
        <v/>
      </c>
      <c r="AJ31" s="22">
        <f>IF(OR(27&lt;$C31,27&gt;$D31),0,IF(27&gt;=$H31,$I31,IF(27&gt;=$F31,$G31,$E31)))</f>
        <v/>
      </c>
      <c r="AK31" s="22">
        <f>IF(OR(28&lt;$C31,28&gt;$D31),0,IF(28&gt;=$H31,$I31,IF(28&gt;=$F31,$G31,$E31)))</f>
        <v/>
      </c>
      <c r="AL31" s="22">
        <f>IF(OR(29&lt;$C31,29&gt;$D31),0,IF(29&gt;=$H31,$I31,IF(29&gt;=$F31,$G31,$E31)))</f>
        <v/>
      </c>
      <c r="AM31" s="22">
        <f>IF(OR(30&lt;$C31,30&gt;$D31),0,IF(30&gt;=$H31,$I31,IF(30&gt;=$F31,$G31,$E31)))</f>
        <v/>
      </c>
      <c r="AN31" s="22">
        <f>IF(OR(31&lt;$C31,31&gt;$D31),0,IF(31&gt;=$H31,$I31,IF(31&gt;=$F31,$G31,$E31)))</f>
        <v/>
      </c>
      <c r="AO31" s="22">
        <f>IF(OR(32&lt;$C31,32&gt;$D31),0,IF(32&gt;=$H31,$I31,IF(32&gt;=$F31,$G31,$E31)))</f>
        <v/>
      </c>
      <c r="AP31" s="22">
        <f>IF(OR(33&lt;$C31,33&gt;$D31),0,IF(33&gt;=$H31,$I31,IF(33&gt;=$F31,$G31,$E31)))</f>
        <v/>
      </c>
      <c r="AQ31" s="22">
        <f>IF(OR(34&lt;$C31,34&gt;$D31),0,IF(34&gt;=$H31,$I31,IF(34&gt;=$F31,$G31,$E31)))</f>
        <v/>
      </c>
      <c r="AR31" s="22">
        <f>IF(OR(35&lt;$C31,35&gt;$D31),0,IF(35&gt;=$H31,$I31,IF(35&gt;=$F31,$G31,$E31)))</f>
        <v/>
      </c>
      <c r="AS31" s="22">
        <f>IF(OR(36&lt;$C31,36&gt;$D31),0,IF(36&gt;=$H31,$I31,IF(36&gt;=$F31,$G31,$E31)))</f>
        <v/>
      </c>
    </row>
    <row r="32">
      <c r="B32" s="8" t="inlineStr">
        <is>
          <t>Growth analyst</t>
        </is>
      </c>
      <c r="C32" s="17" t="n">
        <v>33</v>
      </c>
      <c r="D32" s="17" t="n">
        <v>999</v>
      </c>
      <c r="E32" s="20" t="n">
        <v>7000</v>
      </c>
      <c r="F32" s="17" t="n">
        <v>999</v>
      </c>
      <c r="G32" s="20" t="n">
        <v>7000</v>
      </c>
      <c r="H32" s="17" t="n">
        <v>999</v>
      </c>
      <c r="I32" s="20" t="n">
        <v>7000</v>
      </c>
      <c r="J32" s="22">
        <f>IF(OR(1&lt;$C32,1&gt;$D32),0,IF(1&gt;=$H32,$I32,IF(1&gt;=$F32,$G32,$E32)))</f>
        <v/>
      </c>
      <c r="K32" s="22">
        <f>IF(OR(2&lt;$C32,2&gt;$D32),0,IF(2&gt;=$H32,$I32,IF(2&gt;=$F32,$G32,$E32)))</f>
        <v/>
      </c>
      <c r="L32" s="22">
        <f>IF(OR(3&lt;$C32,3&gt;$D32),0,IF(3&gt;=$H32,$I32,IF(3&gt;=$F32,$G32,$E32)))</f>
        <v/>
      </c>
      <c r="M32" s="22">
        <f>IF(OR(4&lt;$C32,4&gt;$D32),0,IF(4&gt;=$H32,$I32,IF(4&gt;=$F32,$G32,$E32)))</f>
        <v/>
      </c>
      <c r="N32" s="22">
        <f>IF(OR(5&lt;$C32,5&gt;$D32),0,IF(5&gt;=$H32,$I32,IF(5&gt;=$F32,$G32,$E32)))</f>
        <v/>
      </c>
      <c r="O32" s="22">
        <f>IF(OR(6&lt;$C32,6&gt;$D32),0,IF(6&gt;=$H32,$I32,IF(6&gt;=$F32,$G32,$E32)))</f>
        <v/>
      </c>
      <c r="P32" s="22">
        <f>IF(OR(7&lt;$C32,7&gt;$D32),0,IF(7&gt;=$H32,$I32,IF(7&gt;=$F32,$G32,$E32)))</f>
        <v/>
      </c>
      <c r="Q32" s="22">
        <f>IF(OR(8&lt;$C32,8&gt;$D32),0,IF(8&gt;=$H32,$I32,IF(8&gt;=$F32,$G32,$E32)))</f>
        <v/>
      </c>
      <c r="R32" s="22">
        <f>IF(OR(9&lt;$C32,9&gt;$D32),0,IF(9&gt;=$H32,$I32,IF(9&gt;=$F32,$G32,$E32)))</f>
        <v/>
      </c>
      <c r="S32" s="22">
        <f>IF(OR(10&lt;$C32,10&gt;$D32),0,IF(10&gt;=$H32,$I32,IF(10&gt;=$F32,$G32,$E32)))</f>
        <v/>
      </c>
      <c r="T32" s="22">
        <f>IF(OR(11&lt;$C32,11&gt;$D32),0,IF(11&gt;=$H32,$I32,IF(11&gt;=$F32,$G32,$E32)))</f>
        <v/>
      </c>
      <c r="U32" s="22">
        <f>IF(OR(12&lt;$C32,12&gt;$D32),0,IF(12&gt;=$H32,$I32,IF(12&gt;=$F32,$G32,$E32)))</f>
        <v/>
      </c>
      <c r="V32" s="22">
        <f>IF(OR(13&lt;$C32,13&gt;$D32),0,IF(13&gt;=$H32,$I32,IF(13&gt;=$F32,$G32,$E32)))</f>
        <v/>
      </c>
      <c r="W32" s="22">
        <f>IF(OR(14&lt;$C32,14&gt;$D32),0,IF(14&gt;=$H32,$I32,IF(14&gt;=$F32,$G32,$E32)))</f>
        <v/>
      </c>
      <c r="X32" s="22">
        <f>IF(OR(15&lt;$C32,15&gt;$D32),0,IF(15&gt;=$H32,$I32,IF(15&gt;=$F32,$G32,$E32)))</f>
        <v/>
      </c>
      <c r="Y32" s="22">
        <f>IF(OR(16&lt;$C32,16&gt;$D32),0,IF(16&gt;=$H32,$I32,IF(16&gt;=$F32,$G32,$E32)))</f>
        <v/>
      </c>
      <c r="Z32" s="22">
        <f>IF(OR(17&lt;$C32,17&gt;$D32),0,IF(17&gt;=$H32,$I32,IF(17&gt;=$F32,$G32,$E32)))</f>
        <v/>
      </c>
      <c r="AA32" s="22">
        <f>IF(OR(18&lt;$C32,18&gt;$D32),0,IF(18&gt;=$H32,$I32,IF(18&gt;=$F32,$G32,$E32)))</f>
        <v/>
      </c>
      <c r="AB32" s="22">
        <f>IF(OR(19&lt;$C32,19&gt;$D32),0,IF(19&gt;=$H32,$I32,IF(19&gt;=$F32,$G32,$E32)))</f>
        <v/>
      </c>
      <c r="AC32" s="22">
        <f>IF(OR(20&lt;$C32,20&gt;$D32),0,IF(20&gt;=$H32,$I32,IF(20&gt;=$F32,$G32,$E32)))</f>
        <v/>
      </c>
      <c r="AD32" s="22">
        <f>IF(OR(21&lt;$C32,21&gt;$D32),0,IF(21&gt;=$H32,$I32,IF(21&gt;=$F32,$G32,$E32)))</f>
        <v/>
      </c>
      <c r="AE32" s="22">
        <f>IF(OR(22&lt;$C32,22&gt;$D32),0,IF(22&gt;=$H32,$I32,IF(22&gt;=$F32,$G32,$E32)))</f>
        <v/>
      </c>
      <c r="AF32" s="22">
        <f>IF(OR(23&lt;$C32,23&gt;$D32),0,IF(23&gt;=$H32,$I32,IF(23&gt;=$F32,$G32,$E32)))</f>
        <v/>
      </c>
      <c r="AG32" s="22">
        <f>IF(OR(24&lt;$C32,24&gt;$D32),0,IF(24&gt;=$H32,$I32,IF(24&gt;=$F32,$G32,$E32)))</f>
        <v/>
      </c>
      <c r="AH32" s="22">
        <f>IF(OR(25&lt;$C32,25&gt;$D32),0,IF(25&gt;=$H32,$I32,IF(25&gt;=$F32,$G32,$E32)))</f>
        <v/>
      </c>
      <c r="AI32" s="22">
        <f>IF(OR(26&lt;$C32,26&gt;$D32),0,IF(26&gt;=$H32,$I32,IF(26&gt;=$F32,$G32,$E32)))</f>
        <v/>
      </c>
      <c r="AJ32" s="22">
        <f>IF(OR(27&lt;$C32,27&gt;$D32),0,IF(27&gt;=$H32,$I32,IF(27&gt;=$F32,$G32,$E32)))</f>
        <v/>
      </c>
      <c r="AK32" s="22">
        <f>IF(OR(28&lt;$C32,28&gt;$D32),0,IF(28&gt;=$H32,$I32,IF(28&gt;=$F32,$G32,$E32)))</f>
        <v/>
      </c>
      <c r="AL32" s="22">
        <f>IF(OR(29&lt;$C32,29&gt;$D32),0,IF(29&gt;=$H32,$I32,IF(29&gt;=$F32,$G32,$E32)))</f>
        <v/>
      </c>
      <c r="AM32" s="22">
        <f>IF(OR(30&lt;$C32,30&gt;$D32),0,IF(30&gt;=$H32,$I32,IF(30&gt;=$F32,$G32,$E32)))</f>
        <v/>
      </c>
      <c r="AN32" s="22">
        <f>IF(OR(31&lt;$C32,31&gt;$D32),0,IF(31&gt;=$H32,$I32,IF(31&gt;=$F32,$G32,$E32)))</f>
        <v/>
      </c>
      <c r="AO32" s="22">
        <f>IF(OR(32&lt;$C32,32&gt;$D32),0,IF(32&gt;=$H32,$I32,IF(32&gt;=$F32,$G32,$E32)))</f>
        <v/>
      </c>
      <c r="AP32" s="22">
        <f>IF(OR(33&lt;$C32,33&gt;$D32),0,IF(33&gt;=$H32,$I32,IF(33&gt;=$F32,$G32,$E32)))</f>
        <v/>
      </c>
      <c r="AQ32" s="22">
        <f>IF(OR(34&lt;$C32,34&gt;$D32),0,IF(34&gt;=$H32,$I32,IF(34&gt;=$F32,$G32,$E32)))</f>
        <v/>
      </c>
      <c r="AR32" s="22">
        <f>IF(OR(35&lt;$C32,35&gt;$D32),0,IF(35&gt;=$H32,$I32,IF(35&gt;=$F32,$G32,$E32)))</f>
        <v/>
      </c>
      <c r="AS32" s="22">
        <f>IF(OR(36&lt;$C32,36&gt;$D32),0,IF(36&gt;=$H32,$I32,IF(36&gt;=$F32,$G32,$E32)))</f>
        <v/>
      </c>
    </row>
    <row r="34">
      <c r="B34" s="23" t="inlineStr">
        <is>
          <t>Total personnel cost</t>
        </is>
      </c>
      <c r="C34" s="4" t="n"/>
      <c r="D34" s="4" t="n"/>
      <c r="E34" s="4" t="n"/>
      <c r="F34" s="4" t="n"/>
      <c r="G34" s="4" t="n"/>
      <c r="H34" s="4" t="n"/>
      <c r="I34" s="4" t="n"/>
      <c r="J34" s="24">
        <f>SUM(J7:J32)</f>
        <v/>
      </c>
      <c r="K34" s="24">
        <f>SUM(K7:K32)</f>
        <v/>
      </c>
      <c r="L34" s="24">
        <f>SUM(L7:L32)</f>
        <v/>
      </c>
      <c r="M34" s="24">
        <f>SUM(M7:M32)</f>
        <v/>
      </c>
      <c r="N34" s="24">
        <f>SUM(N7:N32)</f>
        <v/>
      </c>
      <c r="O34" s="24">
        <f>SUM(O7:O32)</f>
        <v/>
      </c>
      <c r="P34" s="24">
        <f>SUM(P7:P32)</f>
        <v/>
      </c>
      <c r="Q34" s="24">
        <f>SUM(Q7:Q32)</f>
        <v/>
      </c>
      <c r="R34" s="24">
        <f>SUM(R7:R32)</f>
        <v/>
      </c>
      <c r="S34" s="24">
        <f>SUM(S7:S32)</f>
        <v/>
      </c>
      <c r="T34" s="24">
        <f>SUM(T7:T32)</f>
        <v/>
      </c>
      <c r="U34" s="24">
        <f>SUM(U7:U32)</f>
        <v/>
      </c>
      <c r="V34" s="24">
        <f>SUM(V7:V32)</f>
        <v/>
      </c>
      <c r="W34" s="24">
        <f>SUM(W7:W32)</f>
        <v/>
      </c>
      <c r="X34" s="24">
        <f>SUM(X7:X32)</f>
        <v/>
      </c>
      <c r="Y34" s="24">
        <f>SUM(Y7:Y32)</f>
        <v/>
      </c>
      <c r="Z34" s="24">
        <f>SUM(Z7:Z32)</f>
        <v/>
      </c>
      <c r="AA34" s="24">
        <f>SUM(AA7:AA32)</f>
        <v/>
      </c>
      <c r="AB34" s="24">
        <f>SUM(AB7:AB32)</f>
        <v/>
      </c>
      <c r="AC34" s="24">
        <f>SUM(AC7:AC32)</f>
        <v/>
      </c>
      <c r="AD34" s="24">
        <f>SUM(AD7:AD32)</f>
        <v/>
      </c>
      <c r="AE34" s="24">
        <f>SUM(AE7:AE32)</f>
        <v/>
      </c>
      <c r="AF34" s="24">
        <f>SUM(AF7:AF32)</f>
        <v/>
      </c>
      <c r="AG34" s="24">
        <f>SUM(AG7:AG32)</f>
        <v/>
      </c>
      <c r="AH34" s="24">
        <f>SUM(AH7:AH32)</f>
        <v/>
      </c>
      <c r="AI34" s="24">
        <f>SUM(AI7:AI32)</f>
        <v/>
      </c>
      <c r="AJ34" s="24">
        <f>SUM(AJ7:AJ32)</f>
        <v/>
      </c>
      <c r="AK34" s="24">
        <f>SUM(AK7:AK32)</f>
        <v/>
      </c>
      <c r="AL34" s="24">
        <f>SUM(AL7:AL32)</f>
        <v/>
      </c>
      <c r="AM34" s="24">
        <f>SUM(AM7:AM32)</f>
        <v/>
      </c>
      <c r="AN34" s="24">
        <f>SUM(AN7:AN32)</f>
        <v/>
      </c>
      <c r="AO34" s="24">
        <f>SUM(AO7:AO32)</f>
        <v/>
      </c>
      <c r="AP34" s="24">
        <f>SUM(AP7:AP32)</f>
        <v/>
      </c>
      <c r="AQ34" s="24">
        <f>SUM(AQ7:AQ32)</f>
        <v/>
      </c>
      <c r="AR34" s="24">
        <f>SUM(AR7:AR32)</f>
        <v/>
      </c>
      <c r="AS34" s="24">
        <f>SUM(AS7:AS32)</f>
        <v/>
      </c>
    </row>
    <row r="35">
      <c r="B35" s="5" t="inlineStr">
        <is>
          <t>Headcount</t>
        </is>
      </c>
      <c r="J35" s="25">
        <f>COUNTIF(J7:J32,"&gt;0")</f>
        <v/>
      </c>
      <c r="K35" s="25">
        <f>COUNTIF(K7:K32,"&gt;0")</f>
        <v/>
      </c>
      <c r="L35" s="25">
        <f>COUNTIF(L7:L32,"&gt;0")</f>
        <v/>
      </c>
      <c r="M35" s="25">
        <f>COUNTIF(M7:M32,"&gt;0")</f>
        <v/>
      </c>
      <c r="N35" s="25">
        <f>COUNTIF(N7:N32,"&gt;0")</f>
        <v/>
      </c>
      <c r="O35" s="25">
        <f>COUNTIF(O7:O32,"&gt;0")</f>
        <v/>
      </c>
      <c r="P35" s="25">
        <f>COUNTIF(P7:P32,"&gt;0")</f>
        <v/>
      </c>
      <c r="Q35" s="25">
        <f>COUNTIF(Q7:Q32,"&gt;0")</f>
        <v/>
      </c>
      <c r="R35" s="25">
        <f>COUNTIF(R7:R32,"&gt;0")</f>
        <v/>
      </c>
      <c r="S35" s="25">
        <f>COUNTIF(S7:S32,"&gt;0")</f>
        <v/>
      </c>
      <c r="T35" s="25">
        <f>COUNTIF(T7:T32,"&gt;0")</f>
        <v/>
      </c>
      <c r="U35" s="25">
        <f>COUNTIF(U7:U32,"&gt;0")</f>
        <v/>
      </c>
      <c r="V35" s="25">
        <f>COUNTIF(V7:V32,"&gt;0")</f>
        <v/>
      </c>
      <c r="W35" s="25">
        <f>COUNTIF(W7:W32,"&gt;0")</f>
        <v/>
      </c>
      <c r="X35" s="25">
        <f>COUNTIF(X7:X32,"&gt;0")</f>
        <v/>
      </c>
      <c r="Y35" s="25">
        <f>COUNTIF(Y7:Y32,"&gt;0")</f>
        <v/>
      </c>
      <c r="Z35" s="25">
        <f>COUNTIF(Z7:Z32,"&gt;0")</f>
        <v/>
      </c>
      <c r="AA35" s="25">
        <f>COUNTIF(AA7:AA32,"&gt;0")</f>
        <v/>
      </c>
      <c r="AB35" s="25">
        <f>COUNTIF(AB7:AB32,"&gt;0")</f>
        <v/>
      </c>
      <c r="AC35" s="25">
        <f>COUNTIF(AC7:AC32,"&gt;0")</f>
        <v/>
      </c>
      <c r="AD35" s="25">
        <f>COUNTIF(AD7:AD32,"&gt;0")</f>
        <v/>
      </c>
      <c r="AE35" s="25">
        <f>COUNTIF(AE7:AE32,"&gt;0")</f>
        <v/>
      </c>
      <c r="AF35" s="25">
        <f>COUNTIF(AF7:AF32,"&gt;0")</f>
        <v/>
      </c>
      <c r="AG35" s="25">
        <f>COUNTIF(AG7:AG32,"&gt;0")</f>
        <v/>
      </c>
      <c r="AH35" s="25">
        <f>COUNTIF(AH7:AH32,"&gt;0")</f>
        <v/>
      </c>
      <c r="AI35" s="25">
        <f>COUNTIF(AI7:AI32,"&gt;0")</f>
        <v/>
      </c>
      <c r="AJ35" s="25">
        <f>COUNTIF(AJ7:AJ32,"&gt;0")</f>
        <v/>
      </c>
      <c r="AK35" s="25">
        <f>COUNTIF(AK7:AK32,"&gt;0")</f>
        <v/>
      </c>
      <c r="AL35" s="25">
        <f>COUNTIF(AL7:AL32,"&gt;0")</f>
        <v/>
      </c>
      <c r="AM35" s="25">
        <f>COUNTIF(AM7:AM32,"&gt;0")</f>
        <v/>
      </c>
      <c r="AN35" s="25">
        <f>COUNTIF(AN7:AN32,"&gt;0")</f>
        <v/>
      </c>
      <c r="AO35" s="25">
        <f>COUNTIF(AO7:AO32,"&gt;0")</f>
        <v/>
      </c>
      <c r="AP35" s="25">
        <f>COUNTIF(AP7:AP32,"&gt;0")</f>
        <v/>
      </c>
      <c r="AQ35" s="25">
        <f>COUNTIF(AQ7:AQ32,"&gt;0")</f>
        <v/>
      </c>
      <c r="AR35" s="25">
        <f>COUNTIF(AR7:AR32,"&gt;0")</f>
        <v/>
      </c>
      <c r="AS35" s="25">
        <f>COUNTIF(AS7:AS32,"&gt;0")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L5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2">
      <c r="B2" s="1" t="inlineStr">
        <is>
          <t>DiaBite — monthly model · Base case</t>
        </is>
      </c>
    </row>
    <row r="3">
      <c r="B3" s="2" t="inlineStr">
        <is>
          <t>Every figure is a formula reading column D of the Assumptions tab and the Team tab. Change an assumption and this sheet follows. Month 1 is November 2026.</t>
        </is>
      </c>
    </row>
    <row r="4">
      <c r="B4" s="12" t="inlineStr">
        <is>
          <t>Month</t>
        </is>
      </c>
      <c r="C4" s="21" t="n">
        <v>1</v>
      </c>
      <c r="D4" s="21" t="n">
        <v>2</v>
      </c>
      <c r="E4" s="21" t="n">
        <v>3</v>
      </c>
      <c r="F4" s="21" t="n">
        <v>4</v>
      </c>
      <c r="G4" s="21" t="n">
        <v>5</v>
      </c>
      <c r="H4" s="21" t="n">
        <v>6</v>
      </c>
      <c r="I4" s="21" t="n">
        <v>7</v>
      </c>
      <c r="J4" s="21" t="n">
        <v>8</v>
      </c>
      <c r="K4" s="21" t="n">
        <v>9</v>
      </c>
      <c r="L4" s="21" t="n">
        <v>10</v>
      </c>
      <c r="M4" s="21" t="n">
        <v>11</v>
      </c>
      <c r="N4" s="21" t="n">
        <v>12</v>
      </c>
      <c r="O4" s="21" t="n">
        <v>13</v>
      </c>
      <c r="P4" s="21" t="n">
        <v>14</v>
      </c>
      <c r="Q4" s="21" t="n">
        <v>15</v>
      </c>
      <c r="R4" s="21" t="n">
        <v>16</v>
      </c>
      <c r="S4" s="21" t="n">
        <v>17</v>
      </c>
      <c r="T4" s="21" t="n">
        <v>18</v>
      </c>
      <c r="U4" s="21" t="n">
        <v>19</v>
      </c>
      <c r="V4" s="21" t="n">
        <v>20</v>
      </c>
      <c r="W4" s="21" t="n">
        <v>21</v>
      </c>
      <c r="X4" s="21" t="n">
        <v>22</v>
      </c>
      <c r="Y4" s="21" t="n">
        <v>23</v>
      </c>
      <c r="Z4" s="21" t="n">
        <v>24</v>
      </c>
      <c r="AA4" s="21" t="n">
        <v>25</v>
      </c>
      <c r="AB4" s="21" t="n">
        <v>26</v>
      </c>
      <c r="AC4" s="21" t="n">
        <v>27</v>
      </c>
      <c r="AD4" s="21" t="n">
        <v>28</v>
      </c>
      <c r="AE4" s="21" t="n">
        <v>29</v>
      </c>
      <c r="AF4" s="21" t="n">
        <v>30</v>
      </c>
      <c r="AG4" s="21" t="n">
        <v>31</v>
      </c>
      <c r="AH4" s="21" t="n">
        <v>32</v>
      </c>
      <c r="AI4" s="21" t="n">
        <v>33</v>
      </c>
      <c r="AJ4" s="21" t="n">
        <v>34</v>
      </c>
      <c r="AK4" s="21" t="n">
        <v>35</v>
      </c>
      <c r="AL4" s="21" t="n">
        <v>36</v>
      </c>
    </row>
    <row r="5">
      <c r="B5" s="26" t="inlineStr">
        <is>
          <t>Year</t>
        </is>
      </c>
      <c r="C5" s="27">
        <f>MIN(3,ROUNDUP(C4/12,0))</f>
        <v/>
      </c>
      <c r="D5" s="27">
        <f>MIN(3,ROUNDUP(D4/12,0))</f>
        <v/>
      </c>
      <c r="E5" s="27">
        <f>MIN(3,ROUNDUP(E4/12,0))</f>
        <v/>
      </c>
      <c r="F5" s="27">
        <f>MIN(3,ROUNDUP(F4/12,0))</f>
        <v/>
      </c>
      <c r="G5" s="27">
        <f>MIN(3,ROUNDUP(G4/12,0))</f>
        <v/>
      </c>
      <c r="H5" s="27">
        <f>MIN(3,ROUNDUP(H4/12,0))</f>
        <v/>
      </c>
      <c r="I5" s="27">
        <f>MIN(3,ROUNDUP(I4/12,0))</f>
        <v/>
      </c>
      <c r="J5" s="27">
        <f>MIN(3,ROUNDUP(J4/12,0))</f>
        <v/>
      </c>
      <c r="K5" s="27">
        <f>MIN(3,ROUNDUP(K4/12,0))</f>
        <v/>
      </c>
      <c r="L5" s="27">
        <f>MIN(3,ROUNDUP(L4/12,0))</f>
        <v/>
      </c>
      <c r="M5" s="27">
        <f>MIN(3,ROUNDUP(M4/12,0))</f>
        <v/>
      </c>
      <c r="N5" s="27">
        <f>MIN(3,ROUNDUP(N4/12,0))</f>
        <v/>
      </c>
      <c r="O5" s="27">
        <f>MIN(3,ROUNDUP(O4/12,0))</f>
        <v/>
      </c>
      <c r="P5" s="27">
        <f>MIN(3,ROUNDUP(P4/12,0))</f>
        <v/>
      </c>
      <c r="Q5" s="27">
        <f>MIN(3,ROUNDUP(Q4/12,0))</f>
        <v/>
      </c>
      <c r="R5" s="27">
        <f>MIN(3,ROUNDUP(R4/12,0))</f>
        <v/>
      </c>
      <c r="S5" s="27">
        <f>MIN(3,ROUNDUP(S4/12,0))</f>
        <v/>
      </c>
      <c r="T5" s="27">
        <f>MIN(3,ROUNDUP(T4/12,0))</f>
        <v/>
      </c>
      <c r="U5" s="27">
        <f>MIN(3,ROUNDUP(U4/12,0))</f>
        <v/>
      </c>
      <c r="V5" s="27">
        <f>MIN(3,ROUNDUP(V4/12,0))</f>
        <v/>
      </c>
      <c r="W5" s="27">
        <f>MIN(3,ROUNDUP(W4/12,0))</f>
        <v/>
      </c>
      <c r="X5" s="27">
        <f>MIN(3,ROUNDUP(X4/12,0))</f>
        <v/>
      </c>
      <c r="Y5" s="27">
        <f>MIN(3,ROUNDUP(Y4/12,0))</f>
        <v/>
      </c>
      <c r="Z5" s="27">
        <f>MIN(3,ROUNDUP(Z4/12,0))</f>
        <v/>
      </c>
      <c r="AA5" s="27">
        <f>MIN(3,ROUNDUP(AA4/12,0))</f>
        <v/>
      </c>
      <c r="AB5" s="27">
        <f>MIN(3,ROUNDUP(AB4/12,0))</f>
        <v/>
      </c>
      <c r="AC5" s="27">
        <f>MIN(3,ROUNDUP(AC4/12,0))</f>
        <v/>
      </c>
      <c r="AD5" s="27">
        <f>MIN(3,ROUNDUP(AD4/12,0))</f>
        <v/>
      </c>
      <c r="AE5" s="27">
        <f>MIN(3,ROUNDUP(AE4/12,0))</f>
        <v/>
      </c>
      <c r="AF5" s="27">
        <f>MIN(3,ROUNDUP(AF4/12,0))</f>
        <v/>
      </c>
      <c r="AG5" s="27">
        <f>MIN(3,ROUNDUP(AG4/12,0))</f>
        <v/>
      </c>
      <c r="AH5" s="27">
        <f>MIN(3,ROUNDUP(AH4/12,0))</f>
        <v/>
      </c>
      <c r="AI5" s="27">
        <f>MIN(3,ROUNDUP(AI4/12,0))</f>
        <v/>
      </c>
      <c r="AJ5" s="27">
        <f>MIN(3,ROUNDUP(AJ4/12,0))</f>
        <v/>
      </c>
      <c r="AK5" s="27">
        <f>MIN(3,ROUNDUP(AK4/12,0))</f>
        <v/>
      </c>
      <c r="AL5" s="27">
        <f>MIN(3,ROUNDUP(AL4/12,0))</f>
        <v/>
      </c>
    </row>
    <row r="7">
      <c r="B7" s="28" t="inlineStr">
        <is>
          <t>ACQUISITION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</row>
    <row r="8">
      <c r="B8" s="8" t="inlineStr">
        <is>
          <t>Organic signups</t>
        </is>
      </c>
      <c r="C8" s="29">
        <f>IF(C$4&lt;Assumptions!$D$25,0,Assumptions!$D$26*(1+Assumptions!$D$27)^(C$4-Assumptions!$D$25))</f>
        <v/>
      </c>
      <c r="D8" s="29">
        <f>IF(D$4&lt;Assumptions!$D$25,0,Assumptions!$D$26*(1+Assumptions!$D$27)^(D$4-Assumptions!$D$25))</f>
        <v/>
      </c>
      <c r="E8" s="29">
        <f>IF(E$4&lt;Assumptions!$D$25,0,Assumptions!$D$26*(1+Assumptions!$D$27)^(E$4-Assumptions!$D$25))</f>
        <v/>
      </c>
      <c r="F8" s="29">
        <f>IF(F$4&lt;Assumptions!$D$25,0,Assumptions!$D$26*(1+Assumptions!$D$27)^(F$4-Assumptions!$D$25))</f>
        <v/>
      </c>
      <c r="G8" s="29">
        <f>IF(G$4&lt;Assumptions!$D$25,0,Assumptions!$D$26*(1+Assumptions!$D$27)^(G$4-Assumptions!$D$25))</f>
        <v/>
      </c>
      <c r="H8" s="29">
        <f>IF(H$4&lt;Assumptions!$D$25,0,Assumptions!$D$26*(1+Assumptions!$D$27)^(H$4-Assumptions!$D$25))</f>
        <v/>
      </c>
      <c r="I8" s="29">
        <f>IF(I$4&lt;Assumptions!$D$25,0,Assumptions!$D$26*(1+Assumptions!$D$27)^(I$4-Assumptions!$D$25))</f>
        <v/>
      </c>
      <c r="J8" s="29">
        <f>IF(J$4&lt;Assumptions!$D$25,0,Assumptions!$D$26*(1+Assumptions!$D$27)^(J$4-Assumptions!$D$25))</f>
        <v/>
      </c>
      <c r="K8" s="29">
        <f>IF(K$4&lt;Assumptions!$D$25,0,Assumptions!$D$26*(1+Assumptions!$D$27)^(K$4-Assumptions!$D$25))</f>
        <v/>
      </c>
      <c r="L8" s="29">
        <f>IF(L$4&lt;Assumptions!$D$25,0,Assumptions!$D$26*(1+Assumptions!$D$27)^(L$4-Assumptions!$D$25))</f>
        <v/>
      </c>
      <c r="M8" s="29">
        <f>IF(M$4&lt;Assumptions!$D$25,0,Assumptions!$D$26*(1+Assumptions!$D$27)^(M$4-Assumptions!$D$25))</f>
        <v/>
      </c>
      <c r="N8" s="29">
        <f>IF(N$4&lt;Assumptions!$D$25,0,Assumptions!$D$26*(1+Assumptions!$D$27)^(N$4-Assumptions!$D$25))</f>
        <v/>
      </c>
      <c r="O8" s="29">
        <f>IF(O$4&lt;Assumptions!$D$25,0,Assumptions!$D$26*(1+Assumptions!$D$27)^(O$4-Assumptions!$D$25))</f>
        <v/>
      </c>
      <c r="P8" s="29">
        <f>IF(P$4&lt;Assumptions!$D$25,0,Assumptions!$D$26*(1+Assumptions!$D$27)^(P$4-Assumptions!$D$25))</f>
        <v/>
      </c>
      <c r="Q8" s="29">
        <f>IF(Q$4&lt;Assumptions!$D$25,0,Assumptions!$D$26*(1+Assumptions!$D$27)^(Q$4-Assumptions!$D$25))</f>
        <v/>
      </c>
      <c r="R8" s="29">
        <f>IF(R$4&lt;Assumptions!$D$25,0,Assumptions!$D$26*(1+Assumptions!$D$27)^(R$4-Assumptions!$D$25))</f>
        <v/>
      </c>
      <c r="S8" s="29">
        <f>IF(S$4&lt;Assumptions!$D$25,0,Assumptions!$D$26*(1+Assumptions!$D$27)^(S$4-Assumptions!$D$25))</f>
        <v/>
      </c>
      <c r="T8" s="29">
        <f>IF(T$4&lt;Assumptions!$D$25,0,Assumptions!$D$26*(1+Assumptions!$D$27)^(T$4-Assumptions!$D$25))</f>
        <v/>
      </c>
      <c r="U8" s="29">
        <f>IF(U$4&lt;Assumptions!$D$25,0,Assumptions!$D$26*(1+Assumptions!$D$27)^(U$4-Assumptions!$D$25))</f>
        <v/>
      </c>
      <c r="V8" s="29">
        <f>IF(V$4&lt;Assumptions!$D$25,0,Assumptions!$D$26*(1+Assumptions!$D$27)^(V$4-Assumptions!$D$25))</f>
        <v/>
      </c>
      <c r="W8" s="29">
        <f>IF(W$4&lt;Assumptions!$D$25,0,Assumptions!$D$26*(1+Assumptions!$D$27)^(W$4-Assumptions!$D$25))</f>
        <v/>
      </c>
      <c r="X8" s="29">
        <f>IF(X$4&lt;Assumptions!$D$25,0,Assumptions!$D$26*(1+Assumptions!$D$27)^(X$4-Assumptions!$D$25))</f>
        <v/>
      </c>
      <c r="Y8" s="29">
        <f>IF(Y$4&lt;Assumptions!$D$25,0,Assumptions!$D$26*(1+Assumptions!$D$27)^(Y$4-Assumptions!$D$25))</f>
        <v/>
      </c>
      <c r="Z8" s="29">
        <f>IF(Z$4&lt;Assumptions!$D$25,0,Assumptions!$D$26*(1+Assumptions!$D$27)^(Z$4-Assumptions!$D$25))</f>
        <v/>
      </c>
      <c r="AA8" s="29">
        <f>IF(AA$4&lt;Assumptions!$D$25,0,Assumptions!$D$26*(1+Assumptions!$D$27)^(AA$4-Assumptions!$D$25))</f>
        <v/>
      </c>
      <c r="AB8" s="29">
        <f>IF(AB$4&lt;Assumptions!$D$25,0,Assumptions!$D$26*(1+Assumptions!$D$27)^(AB$4-Assumptions!$D$25))</f>
        <v/>
      </c>
      <c r="AC8" s="29">
        <f>IF(AC$4&lt;Assumptions!$D$25,0,Assumptions!$D$26*(1+Assumptions!$D$27)^(AC$4-Assumptions!$D$25))</f>
        <v/>
      </c>
      <c r="AD8" s="29">
        <f>IF(AD$4&lt;Assumptions!$D$25,0,Assumptions!$D$26*(1+Assumptions!$D$27)^(AD$4-Assumptions!$D$25))</f>
        <v/>
      </c>
      <c r="AE8" s="29">
        <f>IF(AE$4&lt;Assumptions!$D$25,0,Assumptions!$D$26*(1+Assumptions!$D$27)^(AE$4-Assumptions!$D$25))</f>
        <v/>
      </c>
      <c r="AF8" s="29">
        <f>IF(AF$4&lt;Assumptions!$D$25,0,Assumptions!$D$26*(1+Assumptions!$D$27)^(AF$4-Assumptions!$D$25))</f>
        <v/>
      </c>
      <c r="AG8" s="29">
        <f>IF(AG$4&lt;Assumptions!$D$25,0,Assumptions!$D$26*(1+Assumptions!$D$27)^(AG$4-Assumptions!$D$25))</f>
        <v/>
      </c>
      <c r="AH8" s="29">
        <f>IF(AH$4&lt;Assumptions!$D$25,0,Assumptions!$D$26*(1+Assumptions!$D$27)^(AH$4-Assumptions!$D$25))</f>
        <v/>
      </c>
      <c r="AI8" s="29">
        <f>IF(AI$4&lt;Assumptions!$D$25,0,Assumptions!$D$26*(1+Assumptions!$D$27)^(AI$4-Assumptions!$D$25))</f>
        <v/>
      </c>
      <c r="AJ8" s="29">
        <f>IF(AJ$4&lt;Assumptions!$D$25,0,Assumptions!$D$26*(1+Assumptions!$D$27)^(AJ$4-Assumptions!$D$25))</f>
        <v/>
      </c>
      <c r="AK8" s="29">
        <f>IF(AK$4&lt;Assumptions!$D$25,0,Assumptions!$D$26*(1+Assumptions!$D$27)^(AK$4-Assumptions!$D$25))</f>
        <v/>
      </c>
      <c r="AL8" s="29">
        <f>IF(AL$4&lt;Assumptions!$D$25,0,Assumptions!$D$26*(1+Assumptions!$D$27)^(AL$4-Assumptions!$D$25))</f>
        <v/>
      </c>
    </row>
    <row r="9">
      <c r="B9" s="8" t="inlineStr">
        <is>
          <t>Marketing spend</t>
        </is>
      </c>
      <c r="C9" s="22">
        <f>INDEX(Assumptions!$D$70:$D$76,MATCH(C$4,Assumptions!$B$70:$B$76,1))</f>
        <v/>
      </c>
      <c r="D9" s="22">
        <f>INDEX(Assumptions!$D$70:$D$76,MATCH(D$4,Assumptions!$B$70:$B$76,1))</f>
        <v/>
      </c>
      <c r="E9" s="22">
        <f>INDEX(Assumptions!$D$70:$D$76,MATCH(E$4,Assumptions!$B$70:$B$76,1))</f>
        <v/>
      </c>
      <c r="F9" s="22">
        <f>INDEX(Assumptions!$D$70:$D$76,MATCH(F$4,Assumptions!$B$70:$B$76,1))</f>
        <v/>
      </c>
      <c r="G9" s="22">
        <f>INDEX(Assumptions!$D$70:$D$76,MATCH(G$4,Assumptions!$B$70:$B$76,1))</f>
        <v/>
      </c>
      <c r="H9" s="22">
        <f>INDEX(Assumptions!$D$70:$D$76,MATCH(H$4,Assumptions!$B$70:$B$76,1))</f>
        <v/>
      </c>
      <c r="I9" s="22">
        <f>INDEX(Assumptions!$D$70:$D$76,MATCH(I$4,Assumptions!$B$70:$B$76,1))</f>
        <v/>
      </c>
      <c r="J9" s="22">
        <f>INDEX(Assumptions!$D$70:$D$76,MATCH(J$4,Assumptions!$B$70:$B$76,1))</f>
        <v/>
      </c>
      <c r="K9" s="22">
        <f>INDEX(Assumptions!$D$70:$D$76,MATCH(K$4,Assumptions!$B$70:$B$76,1))</f>
        <v/>
      </c>
      <c r="L9" s="22">
        <f>INDEX(Assumptions!$D$70:$D$76,MATCH(L$4,Assumptions!$B$70:$B$76,1))</f>
        <v/>
      </c>
      <c r="M9" s="22">
        <f>INDEX(Assumptions!$D$70:$D$76,MATCH(M$4,Assumptions!$B$70:$B$76,1))</f>
        <v/>
      </c>
      <c r="N9" s="22">
        <f>INDEX(Assumptions!$D$70:$D$76,MATCH(N$4,Assumptions!$B$70:$B$76,1))</f>
        <v/>
      </c>
      <c r="O9" s="22">
        <f>INDEX(Assumptions!$D$70:$D$76,MATCH(O$4,Assumptions!$B$70:$B$76,1))</f>
        <v/>
      </c>
      <c r="P9" s="22">
        <f>INDEX(Assumptions!$D$70:$D$76,MATCH(P$4,Assumptions!$B$70:$B$76,1))</f>
        <v/>
      </c>
      <c r="Q9" s="22">
        <f>INDEX(Assumptions!$D$70:$D$76,MATCH(Q$4,Assumptions!$B$70:$B$76,1))</f>
        <v/>
      </c>
      <c r="R9" s="22">
        <f>INDEX(Assumptions!$D$70:$D$76,MATCH(R$4,Assumptions!$B$70:$B$76,1))</f>
        <v/>
      </c>
      <c r="S9" s="22">
        <f>INDEX(Assumptions!$D$70:$D$76,MATCH(S$4,Assumptions!$B$70:$B$76,1))</f>
        <v/>
      </c>
      <c r="T9" s="22">
        <f>INDEX(Assumptions!$D$70:$D$76,MATCH(T$4,Assumptions!$B$70:$B$76,1))</f>
        <v/>
      </c>
      <c r="U9" s="22">
        <f>INDEX(Assumptions!$D$70:$D$76,MATCH(U$4,Assumptions!$B$70:$B$76,1))</f>
        <v/>
      </c>
      <c r="V9" s="22">
        <f>INDEX(Assumptions!$D$70:$D$76,MATCH(V$4,Assumptions!$B$70:$B$76,1))</f>
        <v/>
      </c>
      <c r="W9" s="22">
        <f>INDEX(Assumptions!$D$70:$D$76,MATCH(W$4,Assumptions!$B$70:$B$76,1))</f>
        <v/>
      </c>
      <c r="X9" s="22">
        <f>INDEX(Assumptions!$D$70:$D$76,MATCH(X$4,Assumptions!$B$70:$B$76,1))</f>
        <v/>
      </c>
      <c r="Y9" s="22">
        <f>INDEX(Assumptions!$D$70:$D$76,MATCH(Y$4,Assumptions!$B$70:$B$76,1))</f>
        <v/>
      </c>
      <c r="Z9" s="22">
        <f>INDEX(Assumptions!$D$70:$D$76,MATCH(Z$4,Assumptions!$B$70:$B$76,1))</f>
        <v/>
      </c>
      <c r="AA9" s="22">
        <f>INDEX(Assumptions!$D$70:$D$76,MATCH(AA$4,Assumptions!$B$70:$B$76,1))</f>
        <v/>
      </c>
      <c r="AB9" s="22">
        <f>INDEX(Assumptions!$D$70:$D$76,MATCH(AB$4,Assumptions!$B$70:$B$76,1))</f>
        <v/>
      </c>
      <c r="AC9" s="22">
        <f>INDEX(Assumptions!$D$70:$D$76,MATCH(AC$4,Assumptions!$B$70:$B$76,1))</f>
        <v/>
      </c>
      <c r="AD9" s="22">
        <f>INDEX(Assumptions!$D$70:$D$76,MATCH(AD$4,Assumptions!$B$70:$B$76,1))</f>
        <v/>
      </c>
      <c r="AE9" s="22">
        <f>INDEX(Assumptions!$D$70:$D$76,MATCH(AE$4,Assumptions!$B$70:$B$76,1))</f>
        <v/>
      </c>
      <c r="AF9" s="22">
        <f>INDEX(Assumptions!$D$70:$D$76,MATCH(AF$4,Assumptions!$B$70:$B$76,1))</f>
        <v/>
      </c>
      <c r="AG9" s="22">
        <f>INDEX(Assumptions!$D$70:$D$76,MATCH(AG$4,Assumptions!$B$70:$B$76,1))</f>
        <v/>
      </c>
      <c r="AH9" s="22">
        <f>INDEX(Assumptions!$D$70:$D$76,MATCH(AH$4,Assumptions!$B$70:$B$76,1))</f>
        <v/>
      </c>
      <c r="AI9" s="22">
        <f>INDEX(Assumptions!$D$70:$D$76,MATCH(AI$4,Assumptions!$B$70:$B$76,1))</f>
        <v/>
      </c>
      <c r="AJ9" s="22">
        <f>INDEX(Assumptions!$D$70:$D$76,MATCH(AJ$4,Assumptions!$B$70:$B$76,1))</f>
        <v/>
      </c>
      <c r="AK9" s="22">
        <f>INDEX(Assumptions!$D$70:$D$76,MATCH(AK$4,Assumptions!$B$70:$B$76,1))</f>
        <v/>
      </c>
      <c r="AL9" s="22">
        <f>INDEX(Assumptions!$D$70:$D$76,MATCH(AL$4,Assumptions!$B$70:$B$76,1))</f>
        <v/>
      </c>
    </row>
    <row r="10">
      <c r="B10" s="8" t="inlineStr">
        <is>
          <t>Cost per registered signup</t>
        </is>
      </c>
      <c r="C10" s="30">
        <f>INDEX(Assumptions!$D$32:$D$34,C$5)</f>
        <v/>
      </c>
      <c r="D10" s="30">
        <f>INDEX(Assumptions!$D$32:$D$34,D$5)</f>
        <v/>
      </c>
      <c r="E10" s="30">
        <f>INDEX(Assumptions!$D$32:$D$34,E$5)</f>
        <v/>
      </c>
      <c r="F10" s="30">
        <f>INDEX(Assumptions!$D$32:$D$34,F$5)</f>
        <v/>
      </c>
      <c r="G10" s="30">
        <f>INDEX(Assumptions!$D$32:$D$34,G$5)</f>
        <v/>
      </c>
      <c r="H10" s="30">
        <f>INDEX(Assumptions!$D$32:$D$34,H$5)</f>
        <v/>
      </c>
      <c r="I10" s="30">
        <f>INDEX(Assumptions!$D$32:$D$34,I$5)</f>
        <v/>
      </c>
      <c r="J10" s="30">
        <f>INDEX(Assumptions!$D$32:$D$34,J$5)</f>
        <v/>
      </c>
      <c r="K10" s="30">
        <f>INDEX(Assumptions!$D$32:$D$34,K$5)</f>
        <v/>
      </c>
      <c r="L10" s="30">
        <f>INDEX(Assumptions!$D$32:$D$34,L$5)</f>
        <v/>
      </c>
      <c r="M10" s="30">
        <f>INDEX(Assumptions!$D$32:$D$34,M$5)</f>
        <v/>
      </c>
      <c r="N10" s="30">
        <f>INDEX(Assumptions!$D$32:$D$34,N$5)</f>
        <v/>
      </c>
      <c r="O10" s="30">
        <f>INDEX(Assumptions!$D$32:$D$34,O$5)</f>
        <v/>
      </c>
      <c r="P10" s="30">
        <f>INDEX(Assumptions!$D$32:$D$34,P$5)</f>
        <v/>
      </c>
      <c r="Q10" s="30">
        <f>INDEX(Assumptions!$D$32:$D$34,Q$5)</f>
        <v/>
      </c>
      <c r="R10" s="30">
        <f>INDEX(Assumptions!$D$32:$D$34,R$5)</f>
        <v/>
      </c>
      <c r="S10" s="30">
        <f>INDEX(Assumptions!$D$32:$D$34,S$5)</f>
        <v/>
      </c>
      <c r="T10" s="30">
        <f>INDEX(Assumptions!$D$32:$D$34,T$5)</f>
        <v/>
      </c>
      <c r="U10" s="30">
        <f>INDEX(Assumptions!$D$32:$D$34,U$5)</f>
        <v/>
      </c>
      <c r="V10" s="30">
        <f>INDEX(Assumptions!$D$32:$D$34,V$5)</f>
        <v/>
      </c>
      <c r="W10" s="30">
        <f>INDEX(Assumptions!$D$32:$D$34,W$5)</f>
        <v/>
      </c>
      <c r="X10" s="30">
        <f>INDEX(Assumptions!$D$32:$D$34,X$5)</f>
        <v/>
      </c>
      <c r="Y10" s="30">
        <f>INDEX(Assumptions!$D$32:$D$34,Y$5)</f>
        <v/>
      </c>
      <c r="Z10" s="30">
        <f>INDEX(Assumptions!$D$32:$D$34,Z$5)</f>
        <v/>
      </c>
      <c r="AA10" s="30">
        <f>INDEX(Assumptions!$D$32:$D$34,AA$5)</f>
        <v/>
      </c>
      <c r="AB10" s="30">
        <f>INDEX(Assumptions!$D$32:$D$34,AB$5)</f>
        <v/>
      </c>
      <c r="AC10" s="30">
        <f>INDEX(Assumptions!$D$32:$D$34,AC$5)</f>
        <v/>
      </c>
      <c r="AD10" s="30">
        <f>INDEX(Assumptions!$D$32:$D$34,AD$5)</f>
        <v/>
      </c>
      <c r="AE10" s="30">
        <f>INDEX(Assumptions!$D$32:$D$34,AE$5)</f>
        <v/>
      </c>
      <c r="AF10" s="30">
        <f>INDEX(Assumptions!$D$32:$D$34,AF$5)</f>
        <v/>
      </c>
      <c r="AG10" s="30">
        <f>INDEX(Assumptions!$D$32:$D$34,AG$5)</f>
        <v/>
      </c>
      <c r="AH10" s="30">
        <f>INDEX(Assumptions!$D$32:$D$34,AH$5)</f>
        <v/>
      </c>
      <c r="AI10" s="30">
        <f>INDEX(Assumptions!$D$32:$D$34,AI$5)</f>
        <v/>
      </c>
      <c r="AJ10" s="30">
        <f>INDEX(Assumptions!$D$32:$D$34,AJ$5)</f>
        <v/>
      </c>
      <c r="AK10" s="30">
        <f>INDEX(Assumptions!$D$32:$D$34,AK$5)</f>
        <v/>
      </c>
      <c r="AL10" s="30">
        <f>INDEX(Assumptions!$D$32:$D$34,AL$5)</f>
        <v/>
      </c>
    </row>
    <row r="11">
      <c r="B11" s="8" t="inlineStr">
        <is>
          <t>Paid signups</t>
        </is>
      </c>
      <c r="C11" s="29">
        <f>IF(OR(C$4&lt;Assumptions!$D$25,C10=0),0,C9/C10)</f>
        <v/>
      </c>
      <c r="D11" s="29">
        <f>IF(OR(D$4&lt;Assumptions!$D$25,D10=0),0,D9/D10)</f>
        <v/>
      </c>
      <c r="E11" s="29">
        <f>IF(OR(E$4&lt;Assumptions!$D$25,E10=0),0,E9/E10)</f>
        <v/>
      </c>
      <c r="F11" s="29">
        <f>IF(OR(F$4&lt;Assumptions!$D$25,F10=0),0,F9/F10)</f>
        <v/>
      </c>
      <c r="G11" s="29">
        <f>IF(OR(G$4&lt;Assumptions!$D$25,G10=0),0,G9/G10)</f>
        <v/>
      </c>
      <c r="H11" s="29">
        <f>IF(OR(H$4&lt;Assumptions!$D$25,H10=0),0,H9/H10)</f>
        <v/>
      </c>
      <c r="I11" s="29">
        <f>IF(OR(I$4&lt;Assumptions!$D$25,I10=0),0,I9/I10)</f>
        <v/>
      </c>
      <c r="J11" s="29">
        <f>IF(OR(J$4&lt;Assumptions!$D$25,J10=0),0,J9/J10)</f>
        <v/>
      </c>
      <c r="K11" s="29">
        <f>IF(OR(K$4&lt;Assumptions!$D$25,K10=0),0,K9/K10)</f>
        <v/>
      </c>
      <c r="L11" s="29">
        <f>IF(OR(L$4&lt;Assumptions!$D$25,L10=0),0,L9/L10)</f>
        <v/>
      </c>
      <c r="M11" s="29">
        <f>IF(OR(M$4&lt;Assumptions!$D$25,M10=0),0,M9/M10)</f>
        <v/>
      </c>
      <c r="N11" s="29">
        <f>IF(OR(N$4&lt;Assumptions!$D$25,N10=0),0,N9/N10)</f>
        <v/>
      </c>
      <c r="O11" s="29">
        <f>IF(OR(O$4&lt;Assumptions!$D$25,O10=0),0,O9/O10)</f>
        <v/>
      </c>
      <c r="P11" s="29">
        <f>IF(OR(P$4&lt;Assumptions!$D$25,P10=0),0,P9/P10)</f>
        <v/>
      </c>
      <c r="Q11" s="29">
        <f>IF(OR(Q$4&lt;Assumptions!$D$25,Q10=0),0,Q9/Q10)</f>
        <v/>
      </c>
      <c r="R11" s="29">
        <f>IF(OR(R$4&lt;Assumptions!$D$25,R10=0),0,R9/R10)</f>
        <v/>
      </c>
      <c r="S11" s="29">
        <f>IF(OR(S$4&lt;Assumptions!$D$25,S10=0),0,S9/S10)</f>
        <v/>
      </c>
      <c r="T11" s="29">
        <f>IF(OR(T$4&lt;Assumptions!$D$25,T10=0),0,T9/T10)</f>
        <v/>
      </c>
      <c r="U11" s="29">
        <f>IF(OR(U$4&lt;Assumptions!$D$25,U10=0),0,U9/U10)</f>
        <v/>
      </c>
      <c r="V11" s="29">
        <f>IF(OR(V$4&lt;Assumptions!$D$25,V10=0),0,V9/V10)</f>
        <v/>
      </c>
      <c r="W11" s="29">
        <f>IF(OR(W$4&lt;Assumptions!$D$25,W10=0),0,W9/W10)</f>
        <v/>
      </c>
      <c r="X11" s="29">
        <f>IF(OR(X$4&lt;Assumptions!$D$25,X10=0),0,X9/X10)</f>
        <v/>
      </c>
      <c r="Y11" s="29">
        <f>IF(OR(Y$4&lt;Assumptions!$D$25,Y10=0),0,Y9/Y10)</f>
        <v/>
      </c>
      <c r="Z11" s="29">
        <f>IF(OR(Z$4&lt;Assumptions!$D$25,Z10=0),0,Z9/Z10)</f>
        <v/>
      </c>
      <c r="AA11" s="29">
        <f>IF(OR(AA$4&lt;Assumptions!$D$25,AA10=0),0,AA9/AA10)</f>
        <v/>
      </c>
      <c r="AB11" s="29">
        <f>IF(OR(AB$4&lt;Assumptions!$D$25,AB10=0),0,AB9/AB10)</f>
        <v/>
      </c>
      <c r="AC11" s="29">
        <f>IF(OR(AC$4&lt;Assumptions!$D$25,AC10=0),0,AC9/AC10)</f>
        <v/>
      </c>
      <c r="AD11" s="29">
        <f>IF(OR(AD$4&lt;Assumptions!$D$25,AD10=0),0,AD9/AD10)</f>
        <v/>
      </c>
      <c r="AE11" s="29">
        <f>IF(OR(AE$4&lt;Assumptions!$D$25,AE10=0),0,AE9/AE10)</f>
        <v/>
      </c>
      <c r="AF11" s="29">
        <f>IF(OR(AF$4&lt;Assumptions!$D$25,AF10=0),0,AF9/AF10)</f>
        <v/>
      </c>
      <c r="AG11" s="29">
        <f>IF(OR(AG$4&lt;Assumptions!$D$25,AG10=0),0,AG9/AG10)</f>
        <v/>
      </c>
      <c r="AH11" s="29">
        <f>IF(OR(AH$4&lt;Assumptions!$D$25,AH10=0),0,AH9/AH10)</f>
        <v/>
      </c>
      <c r="AI11" s="29">
        <f>IF(OR(AI$4&lt;Assumptions!$D$25,AI10=0),0,AI9/AI10)</f>
        <v/>
      </c>
      <c r="AJ11" s="29">
        <f>IF(OR(AJ$4&lt;Assumptions!$D$25,AJ10=0),0,AJ9/AJ10)</f>
        <v/>
      </c>
      <c r="AK11" s="29">
        <f>IF(OR(AK$4&lt;Assumptions!$D$25,AK10=0),0,AK9/AK10)</f>
        <v/>
      </c>
      <c r="AL11" s="29">
        <f>IF(OR(AL$4&lt;Assumptions!$D$25,AL10=0),0,AL9/AL10)</f>
        <v/>
      </c>
    </row>
    <row r="12">
      <c r="B12" s="8" t="inlineStr">
        <is>
          <t>Total registered signups</t>
        </is>
      </c>
      <c r="C12" s="29">
        <f>C8+C11</f>
        <v/>
      </c>
      <c r="D12" s="29">
        <f>D8+D11</f>
        <v/>
      </c>
      <c r="E12" s="29">
        <f>E8+E11</f>
        <v/>
      </c>
      <c r="F12" s="29">
        <f>F8+F11</f>
        <v/>
      </c>
      <c r="G12" s="29">
        <f>G8+G11</f>
        <v/>
      </c>
      <c r="H12" s="29">
        <f>H8+H11</f>
        <v/>
      </c>
      <c r="I12" s="29">
        <f>I8+I11</f>
        <v/>
      </c>
      <c r="J12" s="29">
        <f>J8+J11</f>
        <v/>
      </c>
      <c r="K12" s="29">
        <f>K8+K11</f>
        <v/>
      </c>
      <c r="L12" s="29">
        <f>L8+L11</f>
        <v/>
      </c>
      <c r="M12" s="29">
        <f>M8+M11</f>
        <v/>
      </c>
      <c r="N12" s="29">
        <f>N8+N11</f>
        <v/>
      </c>
      <c r="O12" s="29">
        <f>O8+O11</f>
        <v/>
      </c>
      <c r="P12" s="29">
        <f>P8+P11</f>
        <v/>
      </c>
      <c r="Q12" s="29">
        <f>Q8+Q11</f>
        <v/>
      </c>
      <c r="R12" s="29">
        <f>R8+R11</f>
        <v/>
      </c>
      <c r="S12" s="29">
        <f>S8+S11</f>
        <v/>
      </c>
      <c r="T12" s="29">
        <f>T8+T11</f>
        <v/>
      </c>
      <c r="U12" s="29">
        <f>U8+U11</f>
        <v/>
      </c>
      <c r="V12" s="29">
        <f>V8+V11</f>
        <v/>
      </c>
      <c r="W12" s="29">
        <f>W8+W11</f>
        <v/>
      </c>
      <c r="X12" s="29">
        <f>X8+X11</f>
        <v/>
      </c>
      <c r="Y12" s="29">
        <f>Y8+Y11</f>
        <v/>
      </c>
      <c r="Z12" s="29">
        <f>Z8+Z11</f>
        <v/>
      </c>
      <c r="AA12" s="29">
        <f>AA8+AA11</f>
        <v/>
      </c>
      <c r="AB12" s="29">
        <f>AB8+AB11</f>
        <v/>
      </c>
      <c r="AC12" s="29">
        <f>AC8+AC11</f>
        <v/>
      </c>
      <c r="AD12" s="29">
        <f>AD8+AD11</f>
        <v/>
      </c>
      <c r="AE12" s="29">
        <f>AE8+AE11</f>
        <v/>
      </c>
      <c r="AF12" s="29">
        <f>AF8+AF11</f>
        <v/>
      </c>
      <c r="AG12" s="29">
        <f>AG8+AG11</f>
        <v/>
      </c>
      <c r="AH12" s="29">
        <f>AH8+AH11</f>
        <v/>
      </c>
      <c r="AI12" s="29">
        <f>AI8+AI11</f>
        <v/>
      </c>
      <c r="AJ12" s="29">
        <f>AJ8+AJ11</f>
        <v/>
      </c>
      <c r="AK12" s="29">
        <f>AK8+AK11</f>
        <v/>
      </c>
      <c r="AL12" s="29">
        <f>AL8+AL11</f>
        <v/>
      </c>
    </row>
    <row r="13">
      <c r="B13" s="8" t="inlineStr">
        <is>
          <t>Free to paid conversion</t>
        </is>
      </c>
      <c r="C13" s="31">
        <f>INDEX(Assumptions!$D$37:$D$39,C$5)</f>
        <v/>
      </c>
      <c r="D13" s="31">
        <f>INDEX(Assumptions!$D$37:$D$39,D$5)</f>
        <v/>
      </c>
      <c r="E13" s="31">
        <f>INDEX(Assumptions!$D$37:$D$39,E$5)</f>
        <v/>
      </c>
      <c r="F13" s="31">
        <f>INDEX(Assumptions!$D$37:$D$39,F$5)</f>
        <v/>
      </c>
      <c r="G13" s="31">
        <f>INDEX(Assumptions!$D$37:$D$39,G$5)</f>
        <v/>
      </c>
      <c r="H13" s="31">
        <f>INDEX(Assumptions!$D$37:$D$39,H$5)</f>
        <v/>
      </c>
      <c r="I13" s="31">
        <f>INDEX(Assumptions!$D$37:$D$39,I$5)</f>
        <v/>
      </c>
      <c r="J13" s="31">
        <f>INDEX(Assumptions!$D$37:$D$39,J$5)</f>
        <v/>
      </c>
      <c r="K13" s="31">
        <f>INDEX(Assumptions!$D$37:$D$39,K$5)</f>
        <v/>
      </c>
      <c r="L13" s="31">
        <f>INDEX(Assumptions!$D$37:$D$39,L$5)</f>
        <v/>
      </c>
      <c r="M13" s="31">
        <f>INDEX(Assumptions!$D$37:$D$39,M$5)</f>
        <v/>
      </c>
      <c r="N13" s="31">
        <f>INDEX(Assumptions!$D$37:$D$39,N$5)</f>
        <v/>
      </c>
      <c r="O13" s="31">
        <f>INDEX(Assumptions!$D$37:$D$39,O$5)</f>
        <v/>
      </c>
      <c r="P13" s="31">
        <f>INDEX(Assumptions!$D$37:$D$39,P$5)</f>
        <v/>
      </c>
      <c r="Q13" s="31">
        <f>INDEX(Assumptions!$D$37:$D$39,Q$5)</f>
        <v/>
      </c>
      <c r="R13" s="31">
        <f>INDEX(Assumptions!$D$37:$D$39,R$5)</f>
        <v/>
      </c>
      <c r="S13" s="31">
        <f>INDEX(Assumptions!$D$37:$D$39,S$5)</f>
        <v/>
      </c>
      <c r="T13" s="31">
        <f>INDEX(Assumptions!$D$37:$D$39,T$5)</f>
        <v/>
      </c>
      <c r="U13" s="31">
        <f>INDEX(Assumptions!$D$37:$D$39,U$5)</f>
        <v/>
      </c>
      <c r="V13" s="31">
        <f>INDEX(Assumptions!$D$37:$D$39,V$5)</f>
        <v/>
      </c>
      <c r="W13" s="31">
        <f>INDEX(Assumptions!$D$37:$D$39,W$5)</f>
        <v/>
      </c>
      <c r="X13" s="31">
        <f>INDEX(Assumptions!$D$37:$D$39,X$5)</f>
        <v/>
      </c>
      <c r="Y13" s="31">
        <f>INDEX(Assumptions!$D$37:$D$39,Y$5)</f>
        <v/>
      </c>
      <c r="Z13" s="31">
        <f>INDEX(Assumptions!$D$37:$D$39,Z$5)</f>
        <v/>
      </c>
      <c r="AA13" s="31">
        <f>INDEX(Assumptions!$D$37:$D$39,AA$5)</f>
        <v/>
      </c>
      <c r="AB13" s="31">
        <f>INDEX(Assumptions!$D$37:$D$39,AB$5)</f>
        <v/>
      </c>
      <c r="AC13" s="31">
        <f>INDEX(Assumptions!$D$37:$D$39,AC$5)</f>
        <v/>
      </c>
      <c r="AD13" s="31">
        <f>INDEX(Assumptions!$D$37:$D$39,AD$5)</f>
        <v/>
      </c>
      <c r="AE13" s="31">
        <f>INDEX(Assumptions!$D$37:$D$39,AE$5)</f>
        <v/>
      </c>
      <c r="AF13" s="31">
        <f>INDEX(Assumptions!$D$37:$D$39,AF$5)</f>
        <v/>
      </c>
      <c r="AG13" s="31">
        <f>INDEX(Assumptions!$D$37:$D$39,AG$5)</f>
        <v/>
      </c>
      <c r="AH13" s="31">
        <f>INDEX(Assumptions!$D$37:$D$39,AH$5)</f>
        <v/>
      </c>
      <c r="AI13" s="31">
        <f>INDEX(Assumptions!$D$37:$D$39,AI$5)</f>
        <v/>
      </c>
      <c r="AJ13" s="31">
        <f>INDEX(Assumptions!$D$37:$D$39,AJ$5)</f>
        <v/>
      </c>
      <c r="AK13" s="31">
        <f>INDEX(Assumptions!$D$37:$D$39,AK$5)</f>
        <v/>
      </c>
      <c r="AL13" s="31">
        <f>INDEX(Assumptions!$D$37:$D$39,AL$5)</f>
        <v/>
      </c>
    </row>
    <row r="14">
      <c r="B14" s="8" t="inlineStr">
        <is>
          <t>Free users before upgrades</t>
        </is>
      </c>
      <c r="C14" s="29">
        <f>C12*(1-C13)</f>
        <v/>
      </c>
      <c r="D14" s="29">
        <f>C19*(1-Assumptions!$D$28)+D12*(1-D13)</f>
        <v/>
      </c>
      <c r="E14" s="29">
        <f>D19*(1-Assumptions!$D$28)+E12*(1-E13)</f>
        <v/>
      </c>
      <c r="F14" s="29">
        <f>E19*(1-Assumptions!$D$28)+F12*(1-F13)</f>
        <v/>
      </c>
      <c r="G14" s="29">
        <f>F19*(1-Assumptions!$D$28)+G12*(1-G13)</f>
        <v/>
      </c>
      <c r="H14" s="29">
        <f>G19*(1-Assumptions!$D$28)+H12*(1-H13)</f>
        <v/>
      </c>
      <c r="I14" s="29">
        <f>H19*(1-Assumptions!$D$28)+I12*(1-I13)</f>
        <v/>
      </c>
      <c r="J14" s="29">
        <f>I19*(1-Assumptions!$D$28)+J12*(1-J13)</f>
        <v/>
      </c>
      <c r="K14" s="29">
        <f>J19*(1-Assumptions!$D$28)+K12*(1-K13)</f>
        <v/>
      </c>
      <c r="L14" s="29">
        <f>K19*(1-Assumptions!$D$28)+L12*(1-L13)</f>
        <v/>
      </c>
      <c r="M14" s="29">
        <f>L19*(1-Assumptions!$D$28)+M12*(1-M13)</f>
        <v/>
      </c>
      <c r="N14" s="29">
        <f>M19*(1-Assumptions!$D$28)+N12*(1-N13)</f>
        <v/>
      </c>
      <c r="O14" s="29">
        <f>N19*(1-Assumptions!$D$28)+O12*(1-O13)</f>
        <v/>
      </c>
      <c r="P14" s="29">
        <f>O19*(1-Assumptions!$D$28)+P12*(1-P13)</f>
        <v/>
      </c>
      <c r="Q14" s="29">
        <f>P19*(1-Assumptions!$D$28)+Q12*(1-Q13)</f>
        <v/>
      </c>
      <c r="R14" s="29">
        <f>Q19*(1-Assumptions!$D$28)+R12*(1-R13)</f>
        <v/>
      </c>
      <c r="S14" s="29">
        <f>R19*(1-Assumptions!$D$28)+S12*(1-S13)</f>
        <v/>
      </c>
      <c r="T14" s="29">
        <f>S19*(1-Assumptions!$D$28)+T12*(1-T13)</f>
        <v/>
      </c>
      <c r="U14" s="29">
        <f>T19*(1-Assumptions!$D$28)+U12*(1-U13)</f>
        <v/>
      </c>
      <c r="V14" s="29">
        <f>U19*(1-Assumptions!$D$28)+V12*(1-V13)</f>
        <v/>
      </c>
      <c r="W14" s="29">
        <f>V19*(1-Assumptions!$D$28)+W12*(1-W13)</f>
        <v/>
      </c>
      <c r="X14" s="29">
        <f>W19*(1-Assumptions!$D$28)+X12*(1-X13)</f>
        <v/>
      </c>
      <c r="Y14" s="29">
        <f>X19*(1-Assumptions!$D$28)+Y12*(1-Y13)</f>
        <v/>
      </c>
      <c r="Z14" s="29">
        <f>Y19*(1-Assumptions!$D$28)+Z12*(1-Z13)</f>
        <v/>
      </c>
      <c r="AA14" s="29">
        <f>Z19*(1-Assumptions!$D$28)+AA12*(1-AA13)</f>
        <v/>
      </c>
      <c r="AB14" s="29">
        <f>AA19*(1-Assumptions!$D$28)+AB12*(1-AB13)</f>
        <v/>
      </c>
      <c r="AC14" s="29">
        <f>AB19*(1-Assumptions!$D$28)+AC12*(1-AC13)</f>
        <v/>
      </c>
      <c r="AD14" s="29">
        <f>AC19*(1-Assumptions!$D$28)+AD12*(1-AD13)</f>
        <v/>
      </c>
      <c r="AE14" s="29">
        <f>AD19*(1-Assumptions!$D$28)+AE12*(1-AE13)</f>
        <v/>
      </c>
      <c r="AF14" s="29">
        <f>AE19*(1-Assumptions!$D$28)+AF12*(1-AF13)</f>
        <v/>
      </c>
      <c r="AG14" s="29">
        <f>AF19*(1-Assumptions!$D$28)+AG12*(1-AG13)</f>
        <v/>
      </c>
      <c r="AH14" s="29">
        <f>AG19*(1-Assumptions!$D$28)+AH12*(1-AH13)</f>
        <v/>
      </c>
      <c r="AI14" s="29">
        <f>AH19*(1-Assumptions!$D$28)+AI12*(1-AI13)</f>
        <v/>
      </c>
      <c r="AJ14" s="29">
        <f>AI19*(1-Assumptions!$D$28)+AJ12*(1-AJ13)</f>
        <v/>
      </c>
      <c r="AK14" s="29">
        <f>AJ19*(1-Assumptions!$D$28)+AK12*(1-AK13)</f>
        <v/>
      </c>
      <c r="AL14" s="29">
        <f>AK19*(1-Assumptions!$D$28)+AL12*(1-AL13)</f>
        <v/>
      </c>
    </row>
    <row r="15">
      <c r="B15" s="8" t="inlineStr">
        <is>
          <t>Upgrades from the free base</t>
        </is>
      </c>
      <c r="C15" s="29">
        <f>C14*Assumptions!$D$29</f>
        <v/>
      </c>
      <c r="D15" s="29">
        <f>D14*Assumptions!$D$29</f>
        <v/>
      </c>
      <c r="E15" s="29">
        <f>E14*Assumptions!$D$29</f>
        <v/>
      </c>
      <c r="F15" s="29">
        <f>F14*Assumptions!$D$29</f>
        <v/>
      </c>
      <c r="G15" s="29">
        <f>G14*Assumptions!$D$29</f>
        <v/>
      </c>
      <c r="H15" s="29">
        <f>H14*Assumptions!$D$29</f>
        <v/>
      </c>
      <c r="I15" s="29">
        <f>I14*Assumptions!$D$29</f>
        <v/>
      </c>
      <c r="J15" s="29">
        <f>J14*Assumptions!$D$29</f>
        <v/>
      </c>
      <c r="K15" s="29">
        <f>K14*Assumptions!$D$29</f>
        <v/>
      </c>
      <c r="L15" s="29">
        <f>L14*Assumptions!$D$29</f>
        <v/>
      </c>
      <c r="M15" s="29">
        <f>M14*Assumptions!$D$29</f>
        <v/>
      </c>
      <c r="N15" s="29">
        <f>N14*Assumptions!$D$29</f>
        <v/>
      </c>
      <c r="O15" s="29">
        <f>O14*Assumptions!$D$29</f>
        <v/>
      </c>
      <c r="P15" s="29">
        <f>P14*Assumptions!$D$29</f>
        <v/>
      </c>
      <c r="Q15" s="29">
        <f>Q14*Assumptions!$D$29</f>
        <v/>
      </c>
      <c r="R15" s="29">
        <f>R14*Assumptions!$D$29</f>
        <v/>
      </c>
      <c r="S15" s="29">
        <f>S14*Assumptions!$D$29</f>
        <v/>
      </c>
      <c r="T15" s="29">
        <f>T14*Assumptions!$D$29</f>
        <v/>
      </c>
      <c r="U15" s="29">
        <f>U14*Assumptions!$D$29</f>
        <v/>
      </c>
      <c r="V15" s="29">
        <f>V14*Assumptions!$D$29</f>
        <v/>
      </c>
      <c r="W15" s="29">
        <f>W14*Assumptions!$D$29</f>
        <v/>
      </c>
      <c r="X15" s="29">
        <f>X14*Assumptions!$D$29</f>
        <v/>
      </c>
      <c r="Y15" s="29">
        <f>Y14*Assumptions!$D$29</f>
        <v/>
      </c>
      <c r="Z15" s="29">
        <f>Z14*Assumptions!$D$29</f>
        <v/>
      </c>
      <c r="AA15" s="29">
        <f>AA14*Assumptions!$D$29</f>
        <v/>
      </c>
      <c r="AB15" s="29">
        <f>AB14*Assumptions!$D$29</f>
        <v/>
      </c>
      <c r="AC15" s="29">
        <f>AC14*Assumptions!$D$29</f>
        <v/>
      </c>
      <c r="AD15" s="29">
        <f>AD14*Assumptions!$D$29</f>
        <v/>
      </c>
      <c r="AE15" s="29">
        <f>AE14*Assumptions!$D$29</f>
        <v/>
      </c>
      <c r="AF15" s="29">
        <f>AF14*Assumptions!$D$29</f>
        <v/>
      </c>
      <c r="AG15" s="29">
        <f>AG14*Assumptions!$D$29</f>
        <v/>
      </c>
      <c r="AH15" s="29">
        <f>AH14*Assumptions!$D$29</f>
        <v/>
      </c>
      <c r="AI15" s="29">
        <f>AI14*Assumptions!$D$29</f>
        <v/>
      </c>
      <c r="AJ15" s="29">
        <f>AJ14*Assumptions!$D$29</f>
        <v/>
      </c>
      <c r="AK15" s="29">
        <f>AK14*Assumptions!$D$29</f>
        <v/>
      </c>
      <c r="AL15" s="29">
        <f>AL14*Assumptions!$D$29</f>
        <v/>
      </c>
    </row>
    <row r="16">
      <c r="B16" s="8" t="inlineStr">
        <is>
          <t>New paying subscribers</t>
        </is>
      </c>
      <c r="C16" s="29">
        <f>C12*C13+C15</f>
        <v/>
      </c>
      <c r="D16" s="29">
        <f>D12*D13+D15</f>
        <v/>
      </c>
      <c r="E16" s="29">
        <f>E12*E13+E15</f>
        <v/>
      </c>
      <c r="F16" s="29">
        <f>F12*F13+F15</f>
        <v/>
      </c>
      <c r="G16" s="29">
        <f>G12*G13+G15</f>
        <v/>
      </c>
      <c r="H16" s="29">
        <f>H12*H13+H15</f>
        <v/>
      </c>
      <c r="I16" s="29">
        <f>I12*I13+I15</f>
        <v/>
      </c>
      <c r="J16" s="29">
        <f>J12*J13+J15</f>
        <v/>
      </c>
      <c r="K16" s="29">
        <f>K12*K13+K15</f>
        <v/>
      </c>
      <c r="L16" s="29">
        <f>L12*L13+L15</f>
        <v/>
      </c>
      <c r="M16" s="29">
        <f>M12*M13+M15</f>
        <v/>
      </c>
      <c r="N16" s="29">
        <f>N12*N13+N15</f>
        <v/>
      </c>
      <c r="O16" s="29">
        <f>O12*O13+O15</f>
        <v/>
      </c>
      <c r="P16" s="29">
        <f>P12*P13+P15</f>
        <v/>
      </c>
      <c r="Q16" s="29">
        <f>Q12*Q13+Q15</f>
        <v/>
      </c>
      <c r="R16" s="29">
        <f>R12*R13+R15</f>
        <v/>
      </c>
      <c r="S16" s="29">
        <f>S12*S13+S15</f>
        <v/>
      </c>
      <c r="T16" s="29">
        <f>T12*T13+T15</f>
        <v/>
      </c>
      <c r="U16" s="29">
        <f>U12*U13+U15</f>
        <v/>
      </c>
      <c r="V16" s="29">
        <f>V12*V13+V15</f>
        <v/>
      </c>
      <c r="W16" s="29">
        <f>W12*W13+W15</f>
        <v/>
      </c>
      <c r="X16" s="29">
        <f>X12*X13+X15</f>
        <v/>
      </c>
      <c r="Y16" s="29">
        <f>Y12*Y13+Y15</f>
        <v/>
      </c>
      <c r="Z16" s="29">
        <f>Z12*Z13+Z15</f>
        <v/>
      </c>
      <c r="AA16" s="29">
        <f>AA12*AA13+AA15</f>
        <v/>
      </c>
      <c r="AB16" s="29">
        <f>AB12*AB13+AB15</f>
        <v/>
      </c>
      <c r="AC16" s="29">
        <f>AC12*AC13+AC15</f>
        <v/>
      </c>
      <c r="AD16" s="29">
        <f>AD12*AD13+AD15</f>
        <v/>
      </c>
      <c r="AE16" s="29">
        <f>AE12*AE13+AE15</f>
        <v/>
      </c>
      <c r="AF16" s="29">
        <f>AF12*AF13+AF15</f>
        <v/>
      </c>
      <c r="AG16" s="29">
        <f>AG12*AG13+AG15</f>
        <v/>
      </c>
      <c r="AH16" s="29">
        <f>AH12*AH13+AH15</f>
        <v/>
      </c>
      <c r="AI16" s="29">
        <f>AI12*AI13+AI15</f>
        <v/>
      </c>
      <c r="AJ16" s="29">
        <f>AJ12*AJ13+AJ15</f>
        <v/>
      </c>
      <c r="AK16" s="29">
        <f>AK12*AK13+AK15</f>
        <v/>
      </c>
      <c r="AL16" s="29">
        <f>AL12*AL13+AL15</f>
        <v/>
      </c>
    </row>
    <row r="18">
      <c r="B18" s="28" t="inlineStr">
        <is>
          <t>SUBSCRIBERS, END OF MONTH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</row>
    <row r="19">
      <c r="B19" s="8" t="inlineStr">
        <is>
          <t>Free users</t>
        </is>
      </c>
      <c r="C19" s="29">
        <f>C14-C15</f>
        <v/>
      </c>
      <c r="D19" s="29">
        <f>D14-D15</f>
        <v/>
      </c>
      <c r="E19" s="29">
        <f>E14-E15</f>
        <v/>
      </c>
      <c r="F19" s="29">
        <f>F14-F15</f>
        <v/>
      </c>
      <c r="G19" s="29">
        <f>G14-G15</f>
        <v/>
      </c>
      <c r="H19" s="29">
        <f>H14-H15</f>
        <v/>
      </c>
      <c r="I19" s="29">
        <f>I14-I15</f>
        <v/>
      </c>
      <c r="J19" s="29">
        <f>J14-J15</f>
        <v/>
      </c>
      <c r="K19" s="29">
        <f>K14-K15</f>
        <v/>
      </c>
      <c r="L19" s="29">
        <f>L14-L15</f>
        <v/>
      </c>
      <c r="M19" s="29">
        <f>M14-M15</f>
        <v/>
      </c>
      <c r="N19" s="29">
        <f>N14-N15</f>
        <v/>
      </c>
      <c r="O19" s="29">
        <f>O14-O15</f>
        <v/>
      </c>
      <c r="P19" s="29">
        <f>P14-P15</f>
        <v/>
      </c>
      <c r="Q19" s="29">
        <f>Q14-Q15</f>
        <v/>
      </c>
      <c r="R19" s="29">
        <f>R14-R15</f>
        <v/>
      </c>
      <c r="S19" s="29">
        <f>S14-S15</f>
        <v/>
      </c>
      <c r="T19" s="29">
        <f>T14-T15</f>
        <v/>
      </c>
      <c r="U19" s="29">
        <f>U14-U15</f>
        <v/>
      </c>
      <c r="V19" s="29">
        <f>V14-V15</f>
        <v/>
      </c>
      <c r="W19" s="29">
        <f>W14-W15</f>
        <v/>
      </c>
      <c r="X19" s="29">
        <f>X14-X15</f>
        <v/>
      </c>
      <c r="Y19" s="29">
        <f>Y14-Y15</f>
        <v/>
      </c>
      <c r="Z19" s="29">
        <f>Z14-Z15</f>
        <v/>
      </c>
      <c r="AA19" s="29">
        <f>AA14-AA15</f>
        <v/>
      </c>
      <c r="AB19" s="29">
        <f>AB14-AB15</f>
        <v/>
      </c>
      <c r="AC19" s="29">
        <f>AC14-AC15</f>
        <v/>
      </c>
      <c r="AD19" s="29">
        <f>AD14-AD15</f>
        <v/>
      </c>
      <c r="AE19" s="29">
        <f>AE14-AE15</f>
        <v/>
      </c>
      <c r="AF19" s="29">
        <f>AF14-AF15</f>
        <v/>
      </c>
      <c r="AG19" s="29">
        <f>AG14-AG15</f>
        <v/>
      </c>
      <c r="AH19" s="29">
        <f>AH14-AH15</f>
        <v/>
      </c>
      <c r="AI19" s="29">
        <f>AI14-AI15</f>
        <v/>
      </c>
      <c r="AJ19" s="29">
        <f>AJ14-AJ15</f>
        <v/>
      </c>
      <c r="AK19" s="29">
        <f>AK14-AK15</f>
        <v/>
      </c>
      <c r="AL19" s="29">
        <f>AL14-AL15</f>
        <v/>
      </c>
    </row>
    <row r="20">
      <c r="B20" s="8" t="inlineStr">
        <is>
          <t>Monthly-plan subscribers</t>
        </is>
      </c>
      <c r="C20" s="29">
        <f>C16*Assumptions!$D$13</f>
        <v/>
      </c>
      <c r="D20" s="29">
        <f>C20*(1-INDEX(Assumptions!$D$42:$D$44,D$5))+D16*Assumptions!$D$13</f>
        <v/>
      </c>
      <c r="E20" s="29">
        <f>D20*(1-INDEX(Assumptions!$D$42:$D$44,E$5))+E16*Assumptions!$D$13</f>
        <v/>
      </c>
      <c r="F20" s="29">
        <f>E20*(1-INDEX(Assumptions!$D$42:$D$44,F$5))+F16*Assumptions!$D$13</f>
        <v/>
      </c>
      <c r="G20" s="29">
        <f>F20*(1-INDEX(Assumptions!$D$42:$D$44,G$5))+G16*Assumptions!$D$13</f>
        <v/>
      </c>
      <c r="H20" s="29">
        <f>G20*(1-INDEX(Assumptions!$D$42:$D$44,H$5))+H16*Assumptions!$D$13</f>
        <v/>
      </c>
      <c r="I20" s="29">
        <f>H20*(1-INDEX(Assumptions!$D$42:$D$44,I$5))+I16*Assumptions!$D$13</f>
        <v/>
      </c>
      <c r="J20" s="29">
        <f>I20*(1-INDEX(Assumptions!$D$42:$D$44,J$5))+J16*Assumptions!$D$13</f>
        <v/>
      </c>
      <c r="K20" s="29">
        <f>J20*(1-INDEX(Assumptions!$D$42:$D$44,K$5))+K16*Assumptions!$D$13</f>
        <v/>
      </c>
      <c r="L20" s="29">
        <f>K20*(1-INDEX(Assumptions!$D$42:$D$44,L$5))+L16*Assumptions!$D$13</f>
        <v/>
      </c>
      <c r="M20" s="29">
        <f>L20*(1-INDEX(Assumptions!$D$42:$D$44,M$5))+M16*Assumptions!$D$13</f>
        <v/>
      </c>
      <c r="N20" s="29">
        <f>M20*(1-INDEX(Assumptions!$D$42:$D$44,N$5))+N16*Assumptions!$D$13</f>
        <v/>
      </c>
      <c r="O20" s="29">
        <f>N20*(1-INDEX(Assumptions!$D$42:$D$44,O$5))+O16*Assumptions!$D$13</f>
        <v/>
      </c>
      <c r="P20" s="29">
        <f>O20*(1-INDEX(Assumptions!$D$42:$D$44,P$5))+P16*Assumptions!$D$13</f>
        <v/>
      </c>
      <c r="Q20" s="29">
        <f>P20*(1-INDEX(Assumptions!$D$42:$D$44,Q$5))+Q16*Assumptions!$D$13</f>
        <v/>
      </c>
      <c r="R20" s="29">
        <f>Q20*(1-INDEX(Assumptions!$D$42:$D$44,R$5))+R16*Assumptions!$D$13</f>
        <v/>
      </c>
      <c r="S20" s="29">
        <f>R20*(1-INDEX(Assumptions!$D$42:$D$44,S$5))+S16*Assumptions!$D$13</f>
        <v/>
      </c>
      <c r="T20" s="29">
        <f>S20*(1-INDEX(Assumptions!$D$42:$D$44,T$5))+T16*Assumptions!$D$13</f>
        <v/>
      </c>
      <c r="U20" s="29">
        <f>T20*(1-INDEX(Assumptions!$D$42:$D$44,U$5))+U16*Assumptions!$D$13</f>
        <v/>
      </c>
      <c r="V20" s="29">
        <f>U20*(1-INDEX(Assumptions!$D$42:$D$44,V$5))+V16*Assumptions!$D$13</f>
        <v/>
      </c>
      <c r="W20" s="29">
        <f>V20*(1-INDEX(Assumptions!$D$42:$D$44,W$5))+W16*Assumptions!$D$13</f>
        <v/>
      </c>
      <c r="X20" s="29">
        <f>W20*(1-INDEX(Assumptions!$D$42:$D$44,X$5))+X16*Assumptions!$D$13</f>
        <v/>
      </c>
      <c r="Y20" s="29">
        <f>X20*(1-INDEX(Assumptions!$D$42:$D$44,Y$5))+Y16*Assumptions!$D$13</f>
        <v/>
      </c>
      <c r="Z20" s="29">
        <f>Y20*(1-INDEX(Assumptions!$D$42:$D$44,Z$5))+Z16*Assumptions!$D$13</f>
        <v/>
      </c>
      <c r="AA20" s="29">
        <f>Z20*(1-INDEX(Assumptions!$D$42:$D$44,AA$5))+AA16*Assumptions!$D$13</f>
        <v/>
      </c>
      <c r="AB20" s="29">
        <f>AA20*(1-INDEX(Assumptions!$D$42:$D$44,AB$5))+AB16*Assumptions!$D$13</f>
        <v/>
      </c>
      <c r="AC20" s="29">
        <f>AB20*(1-INDEX(Assumptions!$D$42:$D$44,AC$5))+AC16*Assumptions!$D$13</f>
        <v/>
      </c>
      <c r="AD20" s="29">
        <f>AC20*(1-INDEX(Assumptions!$D$42:$D$44,AD$5))+AD16*Assumptions!$D$13</f>
        <v/>
      </c>
      <c r="AE20" s="29">
        <f>AD20*(1-INDEX(Assumptions!$D$42:$D$44,AE$5))+AE16*Assumptions!$D$13</f>
        <v/>
      </c>
      <c r="AF20" s="29">
        <f>AE20*(1-INDEX(Assumptions!$D$42:$D$44,AF$5))+AF16*Assumptions!$D$13</f>
        <v/>
      </c>
      <c r="AG20" s="29">
        <f>AF20*(1-INDEX(Assumptions!$D$42:$D$44,AG$5))+AG16*Assumptions!$D$13</f>
        <v/>
      </c>
      <c r="AH20" s="29">
        <f>AG20*(1-INDEX(Assumptions!$D$42:$D$44,AH$5))+AH16*Assumptions!$D$13</f>
        <v/>
      </c>
      <c r="AI20" s="29">
        <f>AH20*(1-INDEX(Assumptions!$D$42:$D$44,AI$5))+AI16*Assumptions!$D$13</f>
        <v/>
      </c>
      <c r="AJ20" s="29">
        <f>AI20*(1-INDEX(Assumptions!$D$42:$D$44,AJ$5))+AJ16*Assumptions!$D$13</f>
        <v/>
      </c>
      <c r="AK20" s="29">
        <f>AJ20*(1-INDEX(Assumptions!$D$42:$D$44,AK$5))+AK16*Assumptions!$D$13</f>
        <v/>
      </c>
      <c r="AL20" s="29">
        <f>AK20*(1-INDEX(Assumptions!$D$42:$D$44,AL$5))+AL16*Assumptions!$D$13</f>
        <v/>
      </c>
    </row>
    <row r="21">
      <c r="B21" s="8" t="inlineStr">
        <is>
          <t>Annual-plan subscribers</t>
        </is>
      </c>
      <c r="C21" s="29">
        <f>C16*(1-Assumptions!$D$13)</f>
        <v/>
      </c>
      <c r="D21" s="29">
        <f>C21*(1-(1-INDEX(Assumptions!$D$47:$D$49,D$5))/12)+D16*(1-Assumptions!$D$13)</f>
        <v/>
      </c>
      <c r="E21" s="29">
        <f>D21*(1-(1-INDEX(Assumptions!$D$47:$D$49,E$5))/12)+E16*(1-Assumptions!$D$13)</f>
        <v/>
      </c>
      <c r="F21" s="29">
        <f>E21*(1-(1-INDEX(Assumptions!$D$47:$D$49,F$5))/12)+F16*(1-Assumptions!$D$13)</f>
        <v/>
      </c>
      <c r="G21" s="29">
        <f>F21*(1-(1-INDEX(Assumptions!$D$47:$D$49,G$5))/12)+G16*(1-Assumptions!$D$13)</f>
        <v/>
      </c>
      <c r="H21" s="29">
        <f>G21*(1-(1-INDEX(Assumptions!$D$47:$D$49,H$5))/12)+H16*(1-Assumptions!$D$13)</f>
        <v/>
      </c>
      <c r="I21" s="29">
        <f>H21*(1-(1-INDEX(Assumptions!$D$47:$D$49,I$5))/12)+I16*(1-Assumptions!$D$13)</f>
        <v/>
      </c>
      <c r="J21" s="29">
        <f>I21*(1-(1-INDEX(Assumptions!$D$47:$D$49,J$5))/12)+J16*(1-Assumptions!$D$13)</f>
        <v/>
      </c>
      <c r="K21" s="29">
        <f>J21*(1-(1-INDEX(Assumptions!$D$47:$D$49,K$5))/12)+K16*(1-Assumptions!$D$13)</f>
        <v/>
      </c>
      <c r="L21" s="29">
        <f>K21*(1-(1-INDEX(Assumptions!$D$47:$D$49,L$5))/12)+L16*(1-Assumptions!$D$13)</f>
        <v/>
      </c>
      <c r="M21" s="29">
        <f>L21*(1-(1-INDEX(Assumptions!$D$47:$D$49,M$5))/12)+M16*(1-Assumptions!$D$13)</f>
        <v/>
      </c>
      <c r="N21" s="29">
        <f>M21*(1-(1-INDEX(Assumptions!$D$47:$D$49,N$5))/12)+N16*(1-Assumptions!$D$13)</f>
        <v/>
      </c>
      <c r="O21" s="29">
        <f>N21*(1-(1-INDEX(Assumptions!$D$47:$D$49,O$5))/12)+O16*(1-Assumptions!$D$13)</f>
        <v/>
      </c>
      <c r="P21" s="29">
        <f>O21*(1-(1-INDEX(Assumptions!$D$47:$D$49,P$5))/12)+P16*(1-Assumptions!$D$13)</f>
        <v/>
      </c>
      <c r="Q21" s="29">
        <f>P21*(1-(1-INDEX(Assumptions!$D$47:$D$49,Q$5))/12)+Q16*(1-Assumptions!$D$13)</f>
        <v/>
      </c>
      <c r="R21" s="29">
        <f>Q21*(1-(1-INDEX(Assumptions!$D$47:$D$49,R$5))/12)+R16*(1-Assumptions!$D$13)</f>
        <v/>
      </c>
      <c r="S21" s="29">
        <f>R21*(1-(1-INDEX(Assumptions!$D$47:$D$49,S$5))/12)+S16*(1-Assumptions!$D$13)</f>
        <v/>
      </c>
      <c r="T21" s="29">
        <f>S21*(1-(1-INDEX(Assumptions!$D$47:$D$49,T$5))/12)+T16*(1-Assumptions!$D$13)</f>
        <v/>
      </c>
      <c r="U21" s="29">
        <f>T21*(1-(1-INDEX(Assumptions!$D$47:$D$49,U$5))/12)+U16*(1-Assumptions!$D$13)</f>
        <v/>
      </c>
      <c r="V21" s="29">
        <f>U21*(1-(1-INDEX(Assumptions!$D$47:$D$49,V$5))/12)+V16*(1-Assumptions!$D$13)</f>
        <v/>
      </c>
      <c r="W21" s="29">
        <f>V21*(1-(1-INDEX(Assumptions!$D$47:$D$49,W$5))/12)+W16*(1-Assumptions!$D$13)</f>
        <v/>
      </c>
      <c r="X21" s="29">
        <f>W21*(1-(1-INDEX(Assumptions!$D$47:$D$49,X$5))/12)+X16*(1-Assumptions!$D$13)</f>
        <v/>
      </c>
      <c r="Y21" s="29">
        <f>X21*(1-(1-INDEX(Assumptions!$D$47:$D$49,Y$5))/12)+Y16*(1-Assumptions!$D$13)</f>
        <v/>
      </c>
      <c r="Z21" s="29">
        <f>Y21*(1-(1-INDEX(Assumptions!$D$47:$D$49,Z$5))/12)+Z16*(1-Assumptions!$D$13)</f>
        <v/>
      </c>
      <c r="AA21" s="29">
        <f>Z21*(1-(1-INDEX(Assumptions!$D$47:$D$49,AA$5))/12)+AA16*(1-Assumptions!$D$13)</f>
        <v/>
      </c>
      <c r="AB21" s="29">
        <f>AA21*(1-(1-INDEX(Assumptions!$D$47:$D$49,AB$5))/12)+AB16*(1-Assumptions!$D$13)</f>
        <v/>
      </c>
      <c r="AC21" s="29">
        <f>AB21*(1-(1-INDEX(Assumptions!$D$47:$D$49,AC$5))/12)+AC16*(1-Assumptions!$D$13)</f>
        <v/>
      </c>
      <c r="AD21" s="29">
        <f>AC21*(1-(1-INDEX(Assumptions!$D$47:$D$49,AD$5))/12)+AD16*(1-Assumptions!$D$13)</f>
        <v/>
      </c>
      <c r="AE21" s="29">
        <f>AD21*(1-(1-INDEX(Assumptions!$D$47:$D$49,AE$5))/12)+AE16*(1-Assumptions!$D$13)</f>
        <v/>
      </c>
      <c r="AF21" s="29">
        <f>AE21*(1-(1-INDEX(Assumptions!$D$47:$D$49,AF$5))/12)+AF16*(1-Assumptions!$D$13)</f>
        <v/>
      </c>
      <c r="AG21" s="29">
        <f>AF21*(1-(1-INDEX(Assumptions!$D$47:$D$49,AG$5))/12)+AG16*(1-Assumptions!$D$13)</f>
        <v/>
      </c>
      <c r="AH21" s="29">
        <f>AG21*(1-(1-INDEX(Assumptions!$D$47:$D$49,AH$5))/12)+AH16*(1-Assumptions!$D$13)</f>
        <v/>
      </c>
      <c r="AI21" s="29">
        <f>AH21*(1-(1-INDEX(Assumptions!$D$47:$D$49,AI$5))/12)+AI16*(1-Assumptions!$D$13)</f>
        <v/>
      </c>
      <c r="AJ21" s="29">
        <f>AI21*(1-(1-INDEX(Assumptions!$D$47:$D$49,AJ$5))/12)+AJ16*(1-Assumptions!$D$13)</f>
        <v/>
      </c>
      <c r="AK21" s="29">
        <f>AJ21*(1-(1-INDEX(Assumptions!$D$47:$D$49,AK$5))/12)+AK16*(1-Assumptions!$D$13)</f>
        <v/>
      </c>
      <c r="AL21" s="29">
        <f>AK21*(1-(1-INDEX(Assumptions!$D$47:$D$49,AL$5))/12)+AL16*(1-Assumptions!$D$13)</f>
        <v/>
      </c>
    </row>
    <row r="22">
      <c r="B22" s="5" t="inlineStr">
        <is>
          <t>Total paying subscribers</t>
        </is>
      </c>
      <c r="C22" s="32">
        <f>C20+C21</f>
        <v/>
      </c>
      <c r="D22" s="32">
        <f>D20+D21</f>
        <v/>
      </c>
      <c r="E22" s="32">
        <f>E20+E21</f>
        <v/>
      </c>
      <c r="F22" s="32">
        <f>F20+F21</f>
        <v/>
      </c>
      <c r="G22" s="32">
        <f>G20+G21</f>
        <v/>
      </c>
      <c r="H22" s="32">
        <f>H20+H21</f>
        <v/>
      </c>
      <c r="I22" s="32">
        <f>I20+I21</f>
        <v/>
      </c>
      <c r="J22" s="32">
        <f>J20+J21</f>
        <v/>
      </c>
      <c r="K22" s="32">
        <f>K20+K21</f>
        <v/>
      </c>
      <c r="L22" s="32">
        <f>L20+L21</f>
        <v/>
      </c>
      <c r="M22" s="32">
        <f>M20+M21</f>
        <v/>
      </c>
      <c r="N22" s="32">
        <f>N20+N21</f>
        <v/>
      </c>
      <c r="O22" s="32">
        <f>O20+O21</f>
        <v/>
      </c>
      <c r="P22" s="32">
        <f>P20+P21</f>
        <v/>
      </c>
      <c r="Q22" s="32">
        <f>Q20+Q21</f>
        <v/>
      </c>
      <c r="R22" s="32">
        <f>R20+R21</f>
        <v/>
      </c>
      <c r="S22" s="32">
        <f>S20+S21</f>
        <v/>
      </c>
      <c r="T22" s="32">
        <f>T20+T21</f>
        <v/>
      </c>
      <c r="U22" s="32">
        <f>U20+U21</f>
        <v/>
      </c>
      <c r="V22" s="32">
        <f>V20+V21</f>
        <v/>
      </c>
      <c r="W22" s="32">
        <f>W20+W21</f>
        <v/>
      </c>
      <c r="X22" s="32">
        <f>X20+X21</f>
        <v/>
      </c>
      <c r="Y22" s="32">
        <f>Y20+Y21</f>
        <v/>
      </c>
      <c r="Z22" s="32">
        <f>Z20+Z21</f>
        <v/>
      </c>
      <c r="AA22" s="32">
        <f>AA20+AA21</f>
        <v/>
      </c>
      <c r="AB22" s="32">
        <f>AB20+AB21</f>
        <v/>
      </c>
      <c r="AC22" s="32">
        <f>AC20+AC21</f>
        <v/>
      </c>
      <c r="AD22" s="32">
        <f>AD20+AD21</f>
        <v/>
      </c>
      <c r="AE22" s="32">
        <f>AE20+AE21</f>
        <v/>
      </c>
      <c r="AF22" s="32">
        <f>AF20+AF21</f>
        <v/>
      </c>
      <c r="AG22" s="32">
        <f>AG20+AG21</f>
        <v/>
      </c>
      <c r="AH22" s="32">
        <f>AH20+AH21</f>
        <v/>
      </c>
      <c r="AI22" s="32">
        <f>AI20+AI21</f>
        <v/>
      </c>
      <c r="AJ22" s="32">
        <f>AJ20+AJ21</f>
        <v/>
      </c>
      <c r="AK22" s="32">
        <f>AK20+AK21</f>
        <v/>
      </c>
      <c r="AL22" s="32">
        <f>AL20+AL21</f>
        <v/>
      </c>
    </row>
    <row r="23">
      <c r="B23" s="5" t="inlineStr">
        <is>
          <t>Exit ARR</t>
        </is>
      </c>
      <c r="C23" s="33">
        <f>C26*12</f>
        <v/>
      </c>
      <c r="D23" s="33">
        <f>D26*12</f>
        <v/>
      </c>
      <c r="E23" s="33">
        <f>E26*12</f>
        <v/>
      </c>
      <c r="F23" s="33">
        <f>F26*12</f>
        <v/>
      </c>
      <c r="G23" s="33">
        <f>G26*12</f>
        <v/>
      </c>
      <c r="H23" s="33">
        <f>H26*12</f>
        <v/>
      </c>
      <c r="I23" s="33">
        <f>I26*12</f>
        <v/>
      </c>
      <c r="J23" s="33">
        <f>J26*12</f>
        <v/>
      </c>
      <c r="K23" s="33">
        <f>K26*12</f>
        <v/>
      </c>
      <c r="L23" s="33">
        <f>L26*12</f>
        <v/>
      </c>
      <c r="M23" s="33">
        <f>M26*12</f>
        <v/>
      </c>
      <c r="N23" s="33">
        <f>N26*12</f>
        <v/>
      </c>
      <c r="O23" s="33">
        <f>O26*12</f>
        <v/>
      </c>
      <c r="P23" s="33">
        <f>P26*12</f>
        <v/>
      </c>
      <c r="Q23" s="33">
        <f>Q26*12</f>
        <v/>
      </c>
      <c r="R23" s="33">
        <f>R26*12</f>
        <v/>
      </c>
      <c r="S23" s="33">
        <f>S26*12</f>
        <v/>
      </c>
      <c r="T23" s="33">
        <f>T26*12</f>
        <v/>
      </c>
      <c r="U23" s="33">
        <f>U26*12</f>
        <v/>
      </c>
      <c r="V23" s="33">
        <f>V26*12</f>
        <v/>
      </c>
      <c r="W23" s="33">
        <f>W26*12</f>
        <v/>
      </c>
      <c r="X23" s="33">
        <f>X26*12</f>
        <v/>
      </c>
      <c r="Y23" s="33">
        <f>Y26*12</f>
        <v/>
      </c>
      <c r="Z23" s="33">
        <f>Z26*12</f>
        <v/>
      </c>
      <c r="AA23" s="33">
        <f>AA26*12</f>
        <v/>
      </c>
      <c r="AB23" s="33">
        <f>AB26*12</f>
        <v/>
      </c>
      <c r="AC23" s="33">
        <f>AC26*12</f>
        <v/>
      </c>
      <c r="AD23" s="33">
        <f>AD26*12</f>
        <v/>
      </c>
      <c r="AE23" s="33">
        <f>AE26*12</f>
        <v/>
      </c>
      <c r="AF23" s="33">
        <f>AF26*12</f>
        <v/>
      </c>
      <c r="AG23" s="33">
        <f>AG26*12</f>
        <v/>
      </c>
      <c r="AH23" s="33">
        <f>AH26*12</f>
        <v/>
      </c>
      <c r="AI23" s="33">
        <f>AI26*12</f>
        <v/>
      </c>
      <c r="AJ23" s="33">
        <f>AJ26*12</f>
        <v/>
      </c>
      <c r="AK23" s="33">
        <f>AK26*12</f>
        <v/>
      </c>
      <c r="AL23" s="33">
        <f>AL26*12</f>
        <v/>
      </c>
    </row>
    <row r="25">
      <c r="B25" s="28" t="inlineStr">
        <is>
          <t>REVENUE AND COST OF GOODS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</row>
    <row r="26">
      <c r="B26" s="5" t="inlineStr">
        <is>
          <t>Revenue</t>
        </is>
      </c>
      <c r="C26" s="33">
        <f>C20*Assumptions!$D$11+C21*Assumptions!$D$12/12</f>
        <v/>
      </c>
      <c r="D26" s="33">
        <f>D20*Assumptions!$D$11+D21*Assumptions!$D$12/12</f>
        <v/>
      </c>
      <c r="E26" s="33">
        <f>E20*Assumptions!$D$11+E21*Assumptions!$D$12/12</f>
        <v/>
      </c>
      <c r="F26" s="33">
        <f>F20*Assumptions!$D$11+F21*Assumptions!$D$12/12</f>
        <v/>
      </c>
      <c r="G26" s="33">
        <f>G20*Assumptions!$D$11+G21*Assumptions!$D$12/12</f>
        <v/>
      </c>
      <c r="H26" s="33">
        <f>H20*Assumptions!$D$11+H21*Assumptions!$D$12/12</f>
        <v/>
      </c>
      <c r="I26" s="33">
        <f>I20*Assumptions!$D$11+I21*Assumptions!$D$12/12</f>
        <v/>
      </c>
      <c r="J26" s="33">
        <f>J20*Assumptions!$D$11+J21*Assumptions!$D$12/12</f>
        <v/>
      </c>
      <c r="K26" s="33">
        <f>K20*Assumptions!$D$11+K21*Assumptions!$D$12/12</f>
        <v/>
      </c>
      <c r="L26" s="33">
        <f>L20*Assumptions!$D$11+L21*Assumptions!$D$12/12</f>
        <v/>
      </c>
      <c r="M26" s="33">
        <f>M20*Assumptions!$D$11+M21*Assumptions!$D$12/12</f>
        <v/>
      </c>
      <c r="N26" s="33">
        <f>N20*Assumptions!$D$11+N21*Assumptions!$D$12/12</f>
        <v/>
      </c>
      <c r="O26" s="33">
        <f>O20*Assumptions!$D$11+O21*Assumptions!$D$12/12</f>
        <v/>
      </c>
      <c r="P26" s="33">
        <f>P20*Assumptions!$D$11+P21*Assumptions!$D$12/12</f>
        <v/>
      </c>
      <c r="Q26" s="33">
        <f>Q20*Assumptions!$D$11+Q21*Assumptions!$D$12/12</f>
        <v/>
      </c>
      <c r="R26" s="33">
        <f>R20*Assumptions!$D$11+R21*Assumptions!$D$12/12</f>
        <v/>
      </c>
      <c r="S26" s="33">
        <f>S20*Assumptions!$D$11+S21*Assumptions!$D$12/12</f>
        <v/>
      </c>
      <c r="T26" s="33">
        <f>T20*Assumptions!$D$11+T21*Assumptions!$D$12/12</f>
        <v/>
      </c>
      <c r="U26" s="33">
        <f>U20*Assumptions!$D$11+U21*Assumptions!$D$12/12</f>
        <v/>
      </c>
      <c r="V26" s="33">
        <f>V20*Assumptions!$D$11+V21*Assumptions!$D$12/12</f>
        <v/>
      </c>
      <c r="W26" s="33">
        <f>W20*Assumptions!$D$11+W21*Assumptions!$D$12/12</f>
        <v/>
      </c>
      <c r="X26" s="33">
        <f>X20*Assumptions!$D$11+X21*Assumptions!$D$12/12</f>
        <v/>
      </c>
      <c r="Y26" s="33">
        <f>Y20*Assumptions!$D$11+Y21*Assumptions!$D$12/12</f>
        <v/>
      </c>
      <c r="Z26" s="33">
        <f>Z20*Assumptions!$D$11+Z21*Assumptions!$D$12/12</f>
        <v/>
      </c>
      <c r="AA26" s="33">
        <f>AA20*Assumptions!$D$11+AA21*Assumptions!$D$12/12</f>
        <v/>
      </c>
      <c r="AB26" s="33">
        <f>AB20*Assumptions!$D$11+AB21*Assumptions!$D$12/12</f>
        <v/>
      </c>
      <c r="AC26" s="33">
        <f>AC20*Assumptions!$D$11+AC21*Assumptions!$D$12/12</f>
        <v/>
      </c>
      <c r="AD26" s="33">
        <f>AD20*Assumptions!$D$11+AD21*Assumptions!$D$12/12</f>
        <v/>
      </c>
      <c r="AE26" s="33">
        <f>AE20*Assumptions!$D$11+AE21*Assumptions!$D$12/12</f>
        <v/>
      </c>
      <c r="AF26" s="33">
        <f>AF20*Assumptions!$D$11+AF21*Assumptions!$D$12/12</f>
        <v/>
      </c>
      <c r="AG26" s="33">
        <f>AG20*Assumptions!$D$11+AG21*Assumptions!$D$12/12</f>
        <v/>
      </c>
      <c r="AH26" s="33">
        <f>AH20*Assumptions!$D$11+AH21*Assumptions!$D$12/12</f>
        <v/>
      </c>
      <c r="AI26" s="33">
        <f>AI20*Assumptions!$D$11+AI21*Assumptions!$D$12/12</f>
        <v/>
      </c>
      <c r="AJ26" s="33">
        <f>AJ20*Assumptions!$D$11+AJ21*Assumptions!$D$12/12</f>
        <v/>
      </c>
      <c r="AK26" s="33">
        <f>AK20*Assumptions!$D$11+AK21*Assumptions!$D$12/12</f>
        <v/>
      </c>
      <c r="AL26" s="33">
        <f>AL20*Assumptions!$D$11+AL21*Assumptions!$D$12/12</f>
        <v/>
      </c>
    </row>
    <row r="27">
      <c r="B27" s="8" t="inlineStr">
        <is>
          <t>Inference — paying</t>
        </is>
      </c>
      <c r="C27" s="22">
        <f>C22*Assumptions!$D$17*Assumptions!$D$16</f>
        <v/>
      </c>
      <c r="D27" s="22">
        <f>D22*Assumptions!$D$17*Assumptions!$D$16</f>
        <v/>
      </c>
      <c r="E27" s="22">
        <f>E22*Assumptions!$D$17*Assumptions!$D$16</f>
        <v/>
      </c>
      <c r="F27" s="22">
        <f>F22*Assumptions!$D$17*Assumptions!$D$16</f>
        <v/>
      </c>
      <c r="G27" s="22">
        <f>G22*Assumptions!$D$17*Assumptions!$D$16</f>
        <v/>
      </c>
      <c r="H27" s="22">
        <f>H22*Assumptions!$D$17*Assumptions!$D$16</f>
        <v/>
      </c>
      <c r="I27" s="22">
        <f>I22*Assumptions!$D$17*Assumptions!$D$16</f>
        <v/>
      </c>
      <c r="J27" s="22">
        <f>J22*Assumptions!$D$17*Assumptions!$D$16</f>
        <v/>
      </c>
      <c r="K27" s="22">
        <f>K22*Assumptions!$D$17*Assumptions!$D$16</f>
        <v/>
      </c>
      <c r="L27" s="22">
        <f>L22*Assumptions!$D$17*Assumptions!$D$16</f>
        <v/>
      </c>
      <c r="M27" s="22">
        <f>M22*Assumptions!$D$17*Assumptions!$D$16</f>
        <v/>
      </c>
      <c r="N27" s="22">
        <f>N22*Assumptions!$D$17*Assumptions!$D$16</f>
        <v/>
      </c>
      <c r="O27" s="22">
        <f>O22*Assumptions!$D$17*Assumptions!$D$16</f>
        <v/>
      </c>
      <c r="P27" s="22">
        <f>P22*Assumptions!$D$17*Assumptions!$D$16</f>
        <v/>
      </c>
      <c r="Q27" s="22">
        <f>Q22*Assumptions!$D$17*Assumptions!$D$16</f>
        <v/>
      </c>
      <c r="R27" s="22">
        <f>R22*Assumptions!$D$17*Assumptions!$D$16</f>
        <v/>
      </c>
      <c r="S27" s="22">
        <f>S22*Assumptions!$D$17*Assumptions!$D$16</f>
        <v/>
      </c>
      <c r="T27" s="22">
        <f>T22*Assumptions!$D$17*Assumptions!$D$16</f>
        <v/>
      </c>
      <c r="U27" s="22">
        <f>U22*Assumptions!$D$17*Assumptions!$D$16</f>
        <v/>
      </c>
      <c r="V27" s="22">
        <f>V22*Assumptions!$D$17*Assumptions!$D$16</f>
        <v/>
      </c>
      <c r="W27" s="22">
        <f>W22*Assumptions!$D$17*Assumptions!$D$16</f>
        <v/>
      </c>
      <c r="X27" s="22">
        <f>X22*Assumptions!$D$17*Assumptions!$D$16</f>
        <v/>
      </c>
      <c r="Y27" s="22">
        <f>Y22*Assumptions!$D$17*Assumptions!$D$16</f>
        <v/>
      </c>
      <c r="Z27" s="22">
        <f>Z22*Assumptions!$D$17*Assumptions!$D$16</f>
        <v/>
      </c>
      <c r="AA27" s="22">
        <f>AA22*Assumptions!$D$17*Assumptions!$D$16</f>
        <v/>
      </c>
      <c r="AB27" s="22">
        <f>AB22*Assumptions!$D$17*Assumptions!$D$16</f>
        <v/>
      </c>
      <c r="AC27" s="22">
        <f>AC22*Assumptions!$D$17*Assumptions!$D$16</f>
        <v/>
      </c>
      <c r="AD27" s="22">
        <f>AD22*Assumptions!$D$17*Assumptions!$D$16</f>
        <v/>
      </c>
      <c r="AE27" s="22">
        <f>AE22*Assumptions!$D$17*Assumptions!$D$16</f>
        <v/>
      </c>
      <c r="AF27" s="22">
        <f>AF22*Assumptions!$D$17*Assumptions!$D$16</f>
        <v/>
      </c>
      <c r="AG27" s="22">
        <f>AG22*Assumptions!$D$17*Assumptions!$D$16</f>
        <v/>
      </c>
      <c r="AH27" s="22">
        <f>AH22*Assumptions!$D$17*Assumptions!$D$16</f>
        <v/>
      </c>
      <c r="AI27" s="22">
        <f>AI22*Assumptions!$D$17*Assumptions!$D$16</f>
        <v/>
      </c>
      <c r="AJ27" s="22">
        <f>AJ22*Assumptions!$D$17*Assumptions!$D$16</f>
        <v/>
      </c>
      <c r="AK27" s="22">
        <f>AK22*Assumptions!$D$17*Assumptions!$D$16</f>
        <v/>
      </c>
      <c r="AL27" s="22">
        <f>AL22*Assumptions!$D$17*Assumptions!$D$16</f>
        <v/>
      </c>
    </row>
    <row r="28">
      <c r="B28" s="8" t="inlineStr">
        <is>
          <t>Inference — free tier</t>
        </is>
      </c>
      <c r="C28" s="22">
        <f>C19*Assumptions!$D$18*Assumptions!$D$16</f>
        <v/>
      </c>
      <c r="D28" s="22">
        <f>D19*Assumptions!$D$18*Assumptions!$D$16</f>
        <v/>
      </c>
      <c r="E28" s="22">
        <f>E19*Assumptions!$D$18*Assumptions!$D$16</f>
        <v/>
      </c>
      <c r="F28" s="22">
        <f>F19*Assumptions!$D$18*Assumptions!$D$16</f>
        <v/>
      </c>
      <c r="G28" s="22">
        <f>G19*Assumptions!$D$18*Assumptions!$D$16</f>
        <v/>
      </c>
      <c r="H28" s="22">
        <f>H19*Assumptions!$D$18*Assumptions!$D$16</f>
        <v/>
      </c>
      <c r="I28" s="22">
        <f>I19*Assumptions!$D$18*Assumptions!$D$16</f>
        <v/>
      </c>
      <c r="J28" s="22">
        <f>J19*Assumptions!$D$18*Assumptions!$D$16</f>
        <v/>
      </c>
      <c r="K28" s="22">
        <f>K19*Assumptions!$D$18*Assumptions!$D$16</f>
        <v/>
      </c>
      <c r="L28" s="22">
        <f>L19*Assumptions!$D$18*Assumptions!$D$16</f>
        <v/>
      </c>
      <c r="M28" s="22">
        <f>M19*Assumptions!$D$18*Assumptions!$D$16</f>
        <v/>
      </c>
      <c r="N28" s="22">
        <f>N19*Assumptions!$D$18*Assumptions!$D$16</f>
        <v/>
      </c>
      <c r="O28" s="22">
        <f>O19*Assumptions!$D$18*Assumptions!$D$16</f>
        <v/>
      </c>
      <c r="P28" s="22">
        <f>P19*Assumptions!$D$18*Assumptions!$D$16</f>
        <v/>
      </c>
      <c r="Q28" s="22">
        <f>Q19*Assumptions!$D$18*Assumptions!$D$16</f>
        <v/>
      </c>
      <c r="R28" s="22">
        <f>R19*Assumptions!$D$18*Assumptions!$D$16</f>
        <v/>
      </c>
      <c r="S28" s="22">
        <f>S19*Assumptions!$D$18*Assumptions!$D$16</f>
        <v/>
      </c>
      <c r="T28" s="22">
        <f>T19*Assumptions!$D$18*Assumptions!$D$16</f>
        <v/>
      </c>
      <c r="U28" s="22">
        <f>U19*Assumptions!$D$18*Assumptions!$D$16</f>
        <v/>
      </c>
      <c r="V28" s="22">
        <f>V19*Assumptions!$D$18*Assumptions!$D$16</f>
        <v/>
      </c>
      <c r="W28" s="22">
        <f>W19*Assumptions!$D$18*Assumptions!$D$16</f>
        <v/>
      </c>
      <c r="X28" s="22">
        <f>X19*Assumptions!$D$18*Assumptions!$D$16</f>
        <v/>
      </c>
      <c r="Y28" s="22">
        <f>Y19*Assumptions!$D$18*Assumptions!$D$16</f>
        <v/>
      </c>
      <c r="Z28" s="22">
        <f>Z19*Assumptions!$D$18*Assumptions!$D$16</f>
        <v/>
      </c>
      <c r="AA28" s="22">
        <f>AA19*Assumptions!$D$18*Assumptions!$D$16</f>
        <v/>
      </c>
      <c r="AB28" s="22">
        <f>AB19*Assumptions!$D$18*Assumptions!$D$16</f>
        <v/>
      </c>
      <c r="AC28" s="22">
        <f>AC19*Assumptions!$D$18*Assumptions!$D$16</f>
        <v/>
      </c>
      <c r="AD28" s="22">
        <f>AD19*Assumptions!$D$18*Assumptions!$D$16</f>
        <v/>
      </c>
      <c r="AE28" s="22">
        <f>AE19*Assumptions!$D$18*Assumptions!$D$16</f>
        <v/>
      </c>
      <c r="AF28" s="22">
        <f>AF19*Assumptions!$D$18*Assumptions!$D$16</f>
        <v/>
      </c>
      <c r="AG28" s="22">
        <f>AG19*Assumptions!$D$18*Assumptions!$D$16</f>
        <v/>
      </c>
      <c r="AH28" s="22">
        <f>AH19*Assumptions!$D$18*Assumptions!$D$16</f>
        <v/>
      </c>
      <c r="AI28" s="22">
        <f>AI19*Assumptions!$D$18*Assumptions!$D$16</f>
        <v/>
      </c>
      <c r="AJ28" s="22">
        <f>AJ19*Assumptions!$D$18*Assumptions!$D$16</f>
        <v/>
      </c>
      <c r="AK28" s="22">
        <f>AK19*Assumptions!$D$18*Assumptions!$D$16</f>
        <v/>
      </c>
      <c r="AL28" s="22">
        <f>AL19*Assumptions!$D$18*Assumptions!$D$16</f>
        <v/>
      </c>
    </row>
    <row r="29">
      <c r="B29" s="8" t="inlineStr">
        <is>
          <t>Hosting</t>
        </is>
      </c>
      <c r="C29" s="22">
        <f>C22*Assumptions!$D$19</f>
        <v/>
      </c>
      <c r="D29" s="22">
        <f>D22*Assumptions!$D$19</f>
        <v/>
      </c>
      <c r="E29" s="22">
        <f>E22*Assumptions!$D$19</f>
        <v/>
      </c>
      <c r="F29" s="22">
        <f>F22*Assumptions!$D$19</f>
        <v/>
      </c>
      <c r="G29" s="22">
        <f>G22*Assumptions!$D$19</f>
        <v/>
      </c>
      <c r="H29" s="22">
        <f>H22*Assumptions!$D$19</f>
        <v/>
      </c>
      <c r="I29" s="22">
        <f>I22*Assumptions!$D$19</f>
        <v/>
      </c>
      <c r="J29" s="22">
        <f>J22*Assumptions!$D$19</f>
        <v/>
      </c>
      <c r="K29" s="22">
        <f>K22*Assumptions!$D$19</f>
        <v/>
      </c>
      <c r="L29" s="22">
        <f>L22*Assumptions!$D$19</f>
        <v/>
      </c>
      <c r="M29" s="22">
        <f>M22*Assumptions!$D$19</f>
        <v/>
      </c>
      <c r="N29" s="22">
        <f>N22*Assumptions!$D$19</f>
        <v/>
      </c>
      <c r="O29" s="22">
        <f>O22*Assumptions!$D$19</f>
        <v/>
      </c>
      <c r="P29" s="22">
        <f>P22*Assumptions!$D$19</f>
        <v/>
      </c>
      <c r="Q29" s="22">
        <f>Q22*Assumptions!$D$19</f>
        <v/>
      </c>
      <c r="R29" s="22">
        <f>R22*Assumptions!$D$19</f>
        <v/>
      </c>
      <c r="S29" s="22">
        <f>S22*Assumptions!$D$19</f>
        <v/>
      </c>
      <c r="T29" s="22">
        <f>T22*Assumptions!$D$19</f>
        <v/>
      </c>
      <c r="U29" s="22">
        <f>U22*Assumptions!$D$19</f>
        <v/>
      </c>
      <c r="V29" s="22">
        <f>V22*Assumptions!$D$19</f>
        <v/>
      </c>
      <c r="W29" s="22">
        <f>W22*Assumptions!$D$19</f>
        <v/>
      </c>
      <c r="X29" s="22">
        <f>X22*Assumptions!$D$19</f>
        <v/>
      </c>
      <c r="Y29" s="22">
        <f>Y22*Assumptions!$D$19</f>
        <v/>
      </c>
      <c r="Z29" s="22">
        <f>Z22*Assumptions!$D$19</f>
        <v/>
      </c>
      <c r="AA29" s="22">
        <f>AA22*Assumptions!$D$19</f>
        <v/>
      </c>
      <c r="AB29" s="22">
        <f>AB22*Assumptions!$D$19</f>
        <v/>
      </c>
      <c r="AC29" s="22">
        <f>AC22*Assumptions!$D$19</f>
        <v/>
      </c>
      <c r="AD29" s="22">
        <f>AD22*Assumptions!$D$19</f>
        <v/>
      </c>
      <c r="AE29" s="22">
        <f>AE22*Assumptions!$D$19</f>
        <v/>
      </c>
      <c r="AF29" s="22">
        <f>AF22*Assumptions!$D$19</f>
        <v/>
      </c>
      <c r="AG29" s="22">
        <f>AG22*Assumptions!$D$19</f>
        <v/>
      </c>
      <c r="AH29" s="22">
        <f>AH22*Assumptions!$D$19</f>
        <v/>
      </c>
      <c r="AI29" s="22">
        <f>AI22*Assumptions!$D$19</f>
        <v/>
      </c>
      <c r="AJ29" s="22">
        <f>AJ22*Assumptions!$D$19</f>
        <v/>
      </c>
      <c r="AK29" s="22">
        <f>AK22*Assumptions!$D$19</f>
        <v/>
      </c>
      <c r="AL29" s="22">
        <f>AL22*Assumptions!$D$19</f>
        <v/>
      </c>
    </row>
    <row r="30">
      <c r="B30" s="8" t="inlineStr">
        <is>
          <t>Support</t>
        </is>
      </c>
      <c r="C30" s="22">
        <f>C22*Assumptions!$D$20</f>
        <v/>
      </c>
      <c r="D30" s="22">
        <f>D22*Assumptions!$D$20</f>
        <v/>
      </c>
      <c r="E30" s="22">
        <f>E22*Assumptions!$D$20</f>
        <v/>
      </c>
      <c r="F30" s="22">
        <f>F22*Assumptions!$D$20</f>
        <v/>
      </c>
      <c r="G30" s="22">
        <f>G22*Assumptions!$D$20</f>
        <v/>
      </c>
      <c r="H30" s="22">
        <f>H22*Assumptions!$D$20</f>
        <v/>
      </c>
      <c r="I30" s="22">
        <f>I22*Assumptions!$D$20</f>
        <v/>
      </c>
      <c r="J30" s="22">
        <f>J22*Assumptions!$D$20</f>
        <v/>
      </c>
      <c r="K30" s="22">
        <f>K22*Assumptions!$D$20</f>
        <v/>
      </c>
      <c r="L30" s="22">
        <f>L22*Assumptions!$D$20</f>
        <v/>
      </c>
      <c r="M30" s="22">
        <f>M22*Assumptions!$D$20</f>
        <v/>
      </c>
      <c r="N30" s="22">
        <f>N22*Assumptions!$D$20</f>
        <v/>
      </c>
      <c r="O30" s="22">
        <f>O22*Assumptions!$D$20</f>
        <v/>
      </c>
      <c r="P30" s="22">
        <f>P22*Assumptions!$D$20</f>
        <v/>
      </c>
      <c r="Q30" s="22">
        <f>Q22*Assumptions!$D$20</f>
        <v/>
      </c>
      <c r="R30" s="22">
        <f>R22*Assumptions!$D$20</f>
        <v/>
      </c>
      <c r="S30" s="22">
        <f>S22*Assumptions!$D$20</f>
        <v/>
      </c>
      <c r="T30" s="22">
        <f>T22*Assumptions!$D$20</f>
        <v/>
      </c>
      <c r="U30" s="22">
        <f>U22*Assumptions!$D$20</f>
        <v/>
      </c>
      <c r="V30" s="22">
        <f>V22*Assumptions!$D$20</f>
        <v/>
      </c>
      <c r="W30" s="22">
        <f>W22*Assumptions!$D$20</f>
        <v/>
      </c>
      <c r="X30" s="22">
        <f>X22*Assumptions!$D$20</f>
        <v/>
      </c>
      <c r="Y30" s="22">
        <f>Y22*Assumptions!$D$20</f>
        <v/>
      </c>
      <c r="Z30" s="22">
        <f>Z22*Assumptions!$D$20</f>
        <v/>
      </c>
      <c r="AA30" s="22">
        <f>AA22*Assumptions!$D$20</f>
        <v/>
      </c>
      <c r="AB30" s="22">
        <f>AB22*Assumptions!$D$20</f>
        <v/>
      </c>
      <c r="AC30" s="22">
        <f>AC22*Assumptions!$D$20</f>
        <v/>
      </c>
      <c r="AD30" s="22">
        <f>AD22*Assumptions!$D$20</f>
        <v/>
      </c>
      <c r="AE30" s="22">
        <f>AE22*Assumptions!$D$20</f>
        <v/>
      </c>
      <c r="AF30" s="22">
        <f>AF22*Assumptions!$D$20</f>
        <v/>
      </c>
      <c r="AG30" s="22">
        <f>AG22*Assumptions!$D$20</f>
        <v/>
      </c>
      <c r="AH30" s="22">
        <f>AH22*Assumptions!$D$20</f>
        <v/>
      </c>
      <c r="AI30" s="22">
        <f>AI22*Assumptions!$D$20</f>
        <v/>
      </c>
      <c r="AJ30" s="22">
        <f>AJ22*Assumptions!$D$20</f>
        <v/>
      </c>
      <c r="AK30" s="22">
        <f>AK22*Assumptions!$D$20</f>
        <v/>
      </c>
      <c r="AL30" s="22">
        <f>AL22*Assumptions!$D$20</f>
        <v/>
      </c>
    </row>
    <row r="31">
      <c r="B31" s="8" t="inlineStr">
        <is>
          <t>Card fees</t>
        </is>
      </c>
      <c r="C31" s="22">
        <f>C20*(Assumptions!$D$21*Assumptions!$D$11+Assumptions!$D$22)+C21*(Assumptions!$D$21*Assumptions!$D$12+Assumptions!$D$22)/12</f>
        <v/>
      </c>
      <c r="D31" s="22">
        <f>D20*(Assumptions!$D$21*Assumptions!$D$11+Assumptions!$D$22)+D21*(Assumptions!$D$21*Assumptions!$D$12+Assumptions!$D$22)/12</f>
        <v/>
      </c>
      <c r="E31" s="22">
        <f>E20*(Assumptions!$D$21*Assumptions!$D$11+Assumptions!$D$22)+E21*(Assumptions!$D$21*Assumptions!$D$12+Assumptions!$D$22)/12</f>
        <v/>
      </c>
      <c r="F31" s="22">
        <f>F20*(Assumptions!$D$21*Assumptions!$D$11+Assumptions!$D$22)+F21*(Assumptions!$D$21*Assumptions!$D$12+Assumptions!$D$22)/12</f>
        <v/>
      </c>
      <c r="G31" s="22">
        <f>G20*(Assumptions!$D$21*Assumptions!$D$11+Assumptions!$D$22)+G21*(Assumptions!$D$21*Assumptions!$D$12+Assumptions!$D$22)/12</f>
        <v/>
      </c>
      <c r="H31" s="22">
        <f>H20*(Assumptions!$D$21*Assumptions!$D$11+Assumptions!$D$22)+H21*(Assumptions!$D$21*Assumptions!$D$12+Assumptions!$D$22)/12</f>
        <v/>
      </c>
      <c r="I31" s="22">
        <f>I20*(Assumptions!$D$21*Assumptions!$D$11+Assumptions!$D$22)+I21*(Assumptions!$D$21*Assumptions!$D$12+Assumptions!$D$22)/12</f>
        <v/>
      </c>
      <c r="J31" s="22">
        <f>J20*(Assumptions!$D$21*Assumptions!$D$11+Assumptions!$D$22)+J21*(Assumptions!$D$21*Assumptions!$D$12+Assumptions!$D$22)/12</f>
        <v/>
      </c>
      <c r="K31" s="22">
        <f>K20*(Assumptions!$D$21*Assumptions!$D$11+Assumptions!$D$22)+K21*(Assumptions!$D$21*Assumptions!$D$12+Assumptions!$D$22)/12</f>
        <v/>
      </c>
      <c r="L31" s="22">
        <f>L20*(Assumptions!$D$21*Assumptions!$D$11+Assumptions!$D$22)+L21*(Assumptions!$D$21*Assumptions!$D$12+Assumptions!$D$22)/12</f>
        <v/>
      </c>
      <c r="M31" s="22">
        <f>M20*(Assumptions!$D$21*Assumptions!$D$11+Assumptions!$D$22)+M21*(Assumptions!$D$21*Assumptions!$D$12+Assumptions!$D$22)/12</f>
        <v/>
      </c>
      <c r="N31" s="22">
        <f>N20*(Assumptions!$D$21*Assumptions!$D$11+Assumptions!$D$22)+N21*(Assumptions!$D$21*Assumptions!$D$12+Assumptions!$D$22)/12</f>
        <v/>
      </c>
      <c r="O31" s="22">
        <f>O20*(Assumptions!$D$21*Assumptions!$D$11+Assumptions!$D$22)+O21*(Assumptions!$D$21*Assumptions!$D$12+Assumptions!$D$22)/12</f>
        <v/>
      </c>
      <c r="P31" s="22">
        <f>P20*(Assumptions!$D$21*Assumptions!$D$11+Assumptions!$D$22)+P21*(Assumptions!$D$21*Assumptions!$D$12+Assumptions!$D$22)/12</f>
        <v/>
      </c>
      <c r="Q31" s="22">
        <f>Q20*(Assumptions!$D$21*Assumptions!$D$11+Assumptions!$D$22)+Q21*(Assumptions!$D$21*Assumptions!$D$12+Assumptions!$D$22)/12</f>
        <v/>
      </c>
      <c r="R31" s="22">
        <f>R20*(Assumptions!$D$21*Assumptions!$D$11+Assumptions!$D$22)+R21*(Assumptions!$D$21*Assumptions!$D$12+Assumptions!$D$22)/12</f>
        <v/>
      </c>
      <c r="S31" s="22">
        <f>S20*(Assumptions!$D$21*Assumptions!$D$11+Assumptions!$D$22)+S21*(Assumptions!$D$21*Assumptions!$D$12+Assumptions!$D$22)/12</f>
        <v/>
      </c>
      <c r="T31" s="22">
        <f>T20*(Assumptions!$D$21*Assumptions!$D$11+Assumptions!$D$22)+T21*(Assumptions!$D$21*Assumptions!$D$12+Assumptions!$D$22)/12</f>
        <v/>
      </c>
      <c r="U31" s="22">
        <f>U20*(Assumptions!$D$21*Assumptions!$D$11+Assumptions!$D$22)+U21*(Assumptions!$D$21*Assumptions!$D$12+Assumptions!$D$22)/12</f>
        <v/>
      </c>
      <c r="V31" s="22">
        <f>V20*(Assumptions!$D$21*Assumptions!$D$11+Assumptions!$D$22)+V21*(Assumptions!$D$21*Assumptions!$D$12+Assumptions!$D$22)/12</f>
        <v/>
      </c>
      <c r="W31" s="22">
        <f>W20*(Assumptions!$D$21*Assumptions!$D$11+Assumptions!$D$22)+W21*(Assumptions!$D$21*Assumptions!$D$12+Assumptions!$D$22)/12</f>
        <v/>
      </c>
      <c r="X31" s="22">
        <f>X20*(Assumptions!$D$21*Assumptions!$D$11+Assumptions!$D$22)+X21*(Assumptions!$D$21*Assumptions!$D$12+Assumptions!$D$22)/12</f>
        <v/>
      </c>
      <c r="Y31" s="22">
        <f>Y20*(Assumptions!$D$21*Assumptions!$D$11+Assumptions!$D$22)+Y21*(Assumptions!$D$21*Assumptions!$D$12+Assumptions!$D$22)/12</f>
        <v/>
      </c>
      <c r="Z31" s="22">
        <f>Z20*(Assumptions!$D$21*Assumptions!$D$11+Assumptions!$D$22)+Z21*(Assumptions!$D$21*Assumptions!$D$12+Assumptions!$D$22)/12</f>
        <v/>
      </c>
      <c r="AA31" s="22">
        <f>AA20*(Assumptions!$D$21*Assumptions!$D$11+Assumptions!$D$22)+AA21*(Assumptions!$D$21*Assumptions!$D$12+Assumptions!$D$22)/12</f>
        <v/>
      </c>
      <c r="AB31" s="22">
        <f>AB20*(Assumptions!$D$21*Assumptions!$D$11+Assumptions!$D$22)+AB21*(Assumptions!$D$21*Assumptions!$D$12+Assumptions!$D$22)/12</f>
        <v/>
      </c>
      <c r="AC31" s="22">
        <f>AC20*(Assumptions!$D$21*Assumptions!$D$11+Assumptions!$D$22)+AC21*(Assumptions!$D$21*Assumptions!$D$12+Assumptions!$D$22)/12</f>
        <v/>
      </c>
      <c r="AD31" s="22">
        <f>AD20*(Assumptions!$D$21*Assumptions!$D$11+Assumptions!$D$22)+AD21*(Assumptions!$D$21*Assumptions!$D$12+Assumptions!$D$22)/12</f>
        <v/>
      </c>
      <c r="AE31" s="22">
        <f>AE20*(Assumptions!$D$21*Assumptions!$D$11+Assumptions!$D$22)+AE21*(Assumptions!$D$21*Assumptions!$D$12+Assumptions!$D$22)/12</f>
        <v/>
      </c>
      <c r="AF31" s="22">
        <f>AF20*(Assumptions!$D$21*Assumptions!$D$11+Assumptions!$D$22)+AF21*(Assumptions!$D$21*Assumptions!$D$12+Assumptions!$D$22)/12</f>
        <v/>
      </c>
      <c r="AG31" s="22">
        <f>AG20*(Assumptions!$D$21*Assumptions!$D$11+Assumptions!$D$22)+AG21*(Assumptions!$D$21*Assumptions!$D$12+Assumptions!$D$22)/12</f>
        <v/>
      </c>
      <c r="AH31" s="22">
        <f>AH20*(Assumptions!$D$21*Assumptions!$D$11+Assumptions!$D$22)+AH21*(Assumptions!$D$21*Assumptions!$D$12+Assumptions!$D$22)/12</f>
        <v/>
      </c>
      <c r="AI31" s="22">
        <f>AI20*(Assumptions!$D$21*Assumptions!$D$11+Assumptions!$D$22)+AI21*(Assumptions!$D$21*Assumptions!$D$12+Assumptions!$D$22)/12</f>
        <v/>
      </c>
      <c r="AJ31" s="22">
        <f>AJ20*(Assumptions!$D$21*Assumptions!$D$11+Assumptions!$D$22)+AJ21*(Assumptions!$D$21*Assumptions!$D$12+Assumptions!$D$22)/12</f>
        <v/>
      </c>
      <c r="AK31" s="22">
        <f>AK20*(Assumptions!$D$21*Assumptions!$D$11+Assumptions!$D$22)+AK21*(Assumptions!$D$21*Assumptions!$D$12+Assumptions!$D$22)/12</f>
        <v/>
      </c>
      <c r="AL31" s="22">
        <f>AL20*(Assumptions!$D$21*Assumptions!$D$11+Assumptions!$D$22)+AL21*(Assumptions!$D$21*Assumptions!$D$12+Assumptions!$D$22)/12</f>
        <v/>
      </c>
    </row>
    <row r="32">
      <c r="B32" s="5" t="inlineStr">
        <is>
          <t>Total cost of goods</t>
        </is>
      </c>
      <c r="C32" s="33">
        <f>SUM(C27:C31)</f>
        <v/>
      </c>
      <c r="D32" s="33">
        <f>SUM(D27:D31)</f>
        <v/>
      </c>
      <c r="E32" s="33">
        <f>SUM(E27:E31)</f>
        <v/>
      </c>
      <c r="F32" s="33">
        <f>SUM(F27:F31)</f>
        <v/>
      </c>
      <c r="G32" s="33">
        <f>SUM(G27:G31)</f>
        <v/>
      </c>
      <c r="H32" s="33">
        <f>SUM(H27:H31)</f>
        <v/>
      </c>
      <c r="I32" s="33">
        <f>SUM(I27:I31)</f>
        <v/>
      </c>
      <c r="J32" s="33">
        <f>SUM(J27:J31)</f>
        <v/>
      </c>
      <c r="K32" s="33">
        <f>SUM(K27:K31)</f>
        <v/>
      </c>
      <c r="L32" s="33">
        <f>SUM(L27:L31)</f>
        <v/>
      </c>
      <c r="M32" s="33">
        <f>SUM(M27:M31)</f>
        <v/>
      </c>
      <c r="N32" s="33">
        <f>SUM(N27:N31)</f>
        <v/>
      </c>
      <c r="O32" s="33">
        <f>SUM(O27:O31)</f>
        <v/>
      </c>
      <c r="P32" s="33">
        <f>SUM(P27:P31)</f>
        <v/>
      </c>
      <c r="Q32" s="33">
        <f>SUM(Q27:Q31)</f>
        <v/>
      </c>
      <c r="R32" s="33">
        <f>SUM(R27:R31)</f>
        <v/>
      </c>
      <c r="S32" s="33">
        <f>SUM(S27:S31)</f>
        <v/>
      </c>
      <c r="T32" s="33">
        <f>SUM(T27:T31)</f>
        <v/>
      </c>
      <c r="U32" s="33">
        <f>SUM(U27:U31)</f>
        <v/>
      </c>
      <c r="V32" s="33">
        <f>SUM(V27:V31)</f>
        <v/>
      </c>
      <c r="W32" s="33">
        <f>SUM(W27:W31)</f>
        <v/>
      </c>
      <c r="X32" s="33">
        <f>SUM(X27:X31)</f>
        <v/>
      </c>
      <c r="Y32" s="33">
        <f>SUM(Y27:Y31)</f>
        <v/>
      </c>
      <c r="Z32" s="33">
        <f>SUM(Z27:Z31)</f>
        <v/>
      </c>
      <c r="AA32" s="33">
        <f>SUM(AA27:AA31)</f>
        <v/>
      </c>
      <c r="AB32" s="33">
        <f>SUM(AB27:AB31)</f>
        <v/>
      </c>
      <c r="AC32" s="33">
        <f>SUM(AC27:AC31)</f>
        <v/>
      </c>
      <c r="AD32" s="33">
        <f>SUM(AD27:AD31)</f>
        <v/>
      </c>
      <c r="AE32" s="33">
        <f>SUM(AE27:AE31)</f>
        <v/>
      </c>
      <c r="AF32" s="33">
        <f>SUM(AF27:AF31)</f>
        <v/>
      </c>
      <c r="AG32" s="33">
        <f>SUM(AG27:AG31)</f>
        <v/>
      </c>
      <c r="AH32" s="33">
        <f>SUM(AH27:AH31)</f>
        <v/>
      </c>
      <c r="AI32" s="33">
        <f>SUM(AI27:AI31)</f>
        <v/>
      </c>
      <c r="AJ32" s="33">
        <f>SUM(AJ27:AJ31)</f>
        <v/>
      </c>
      <c r="AK32" s="33">
        <f>SUM(AK27:AK31)</f>
        <v/>
      </c>
      <c r="AL32" s="33">
        <f>SUM(AL27:AL31)</f>
        <v/>
      </c>
    </row>
    <row r="33">
      <c r="B33" s="5" t="inlineStr">
        <is>
          <t>Gross profit</t>
        </is>
      </c>
      <c r="C33" s="33">
        <f>C26-C32</f>
        <v/>
      </c>
      <c r="D33" s="33">
        <f>D26-D32</f>
        <v/>
      </c>
      <c r="E33" s="33">
        <f>E26-E32</f>
        <v/>
      </c>
      <c r="F33" s="33">
        <f>F26-F32</f>
        <v/>
      </c>
      <c r="G33" s="33">
        <f>G26-G32</f>
        <v/>
      </c>
      <c r="H33" s="33">
        <f>H26-H32</f>
        <v/>
      </c>
      <c r="I33" s="33">
        <f>I26-I32</f>
        <v/>
      </c>
      <c r="J33" s="33">
        <f>J26-J32</f>
        <v/>
      </c>
      <c r="K33" s="33">
        <f>K26-K32</f>
        <v/>
      </c>
      <c r="L33" s="33">
        <f>L26-L32</f>
        <v/>
      </c>
      <c r="M33" s="33">
        <f>M26-M32</f>
        <v/>
      </c>
      <c r="N33" s="33">
        <f>N26-N32</f>
        <v/>
      </c>
      <c r="O33" s="33">
        <f>O26-O32</f>
        <v/>
      </c>
      <c r="P33" s="33">
        <f>P26-P32</f>
        <v/>
      </c>
      <c r="Q33" s="33">
        <f>Q26-Q32</f>
        <v/>
      </c>
      <c r="R33" s="33">
        <f>R26-R32</f>
        <v/>
      </c>
      <c r="S33" s="33">
        <f>S26-S32</f>
        <v/>
      </c>
      <c r="T33" s="33">
        <f>T26-T32</f>
        <v/>
      </c>
      <c r="U33" s="33">
        <f>U26-U32</f>
        <v/>
      </c>
      <c r="V33" s="33">
        <f>V26-V32</f>
        <v/>
      </c>
      <c r="W33" s="33">
        <f>W26-W32</f>
        <v/>
      </c>
      <c r="X33" s="33">
        <f>X26-X32</f>
        <v/>
      </c>
      <c r="Y33" s="33">
        <f>Y26-Y32</f>
        <v/>
      </c>
      <c r="Z33" s="33">
        <f>Z26-Z32</f>
        <v/>
      </c>
      <c r="AA33" s="33">
        <f>AA26-AA32</f>
        <v/>
      </c>
      <c r="AB33" s="33">
        <f>AB26-AB32</f>
        <v/>
      </c>
      <c r="AC33" s="33">
        <f>AC26-AC32</f>
        <v/>
      </c>
      <c r="AD33" s="33">
        <f>AD26-AD32</f>
        <v/>
      </c>
      <c r="AE33" s="33">
        <f>AE26-AE32</f>
        <v/>
      </c>
      <c r="AF33" s="33">
        <f>AF26-AF32</f>
        <v/>
      </c>
      <c r="AG33" s="33">
        <f>AG26-AG32</f>
        <v/>
      </c>
      <c r="AH33" s="33">
        <f>AH26-AH32</f>
        <v/>
      </c>
      <c r="AI33" s="33">
        <f>AI26-AI32</f>
        <v/>
      </c>
      <c r="AJ33" s="33">
        <f>AJ26-AJ32</f>
        <v/>
      </c>
      <c r="AK33" s="33">
        <f>AK26-AK32</f>
        <v/>
      </c>
      <c r="AL33" s="33">
        <f>AL26-AL32</f>
        <v/>
      </c>
    </row>
    <row r="34">
      <c r="B34" s="8" t="inlineStr">
        <is>
          <t>Gross margin</t>
        </is>
      </c>
      <c r="C34" s="31">
        <f>IFERROR(C33/C26,0)</f>
        <v/>
      </c>
      <c r="D34" s="31">
        <f>IFERROR(D33/D26,0)</f>
        <v/>
      </c>
      <c r="E34" s="31">
        <f>IFERROR(E33/E26,0)</f>
        <v/>
      </c>
      <c r="F34" s="31">
        <f>IFERROR(F33/F26,0)</f>
        <v/>
      </c>
      <c r="G34" s="31">
        <f>IFERROR(G33/G26,0)</f>
        <v/>
      </c>
      <c r="H34" s="31">
        <f>IFERROR(H33/H26,0)</f>
        <v/>
      </c>
      <c r="I34" s="31">
        <f>IFERROR(I33/I26,0)</f>
        <v/>
      </c>
      <c r="J34" s="31">
        <f>IFERROR(J33/J26,0)</f>
        <v/>
      </c>
      <c r="K34" s="31">
        <f>IFERROR(K33/K26,0)</f>
        <v/>
      </c>
      <c r="L34" s="31">
        <f>IFERROR(L33/L26,0)</f>
        <v/>
      </c>
      <c r="M34" s="31">
        <f>IFERROR(M33/M26,0)</f>
        <v/>
      </c>
      <c r="N34" s="31">
        <f>IFERROR(N33/N26,0)</f>
        <v/>
      </c>
      <c r="O34" s="31">
        <f>IFERROR(O33/O26,0)</f>
        <v/>
      </c>
      <c r="P34" s="31">
        <f>IFERROR(P33/P26,0)</f>
        <v/>
      </c>
      <c r="Q34" s="31">
        <f>IFERROR(Q33/Q26,0)</f>
        <v/>
      </c>
      <c r="R34" s="31">
        <f>IFERROR(R33/R26,0)</f>
        <v/>
      </c>
      <c r="S34" s="31">
        <f>IFERROR(S33/S26,0)</f>
        <v/>
      </c>
      <c r="T34" s="31">
        <f>IFERROR(T33/T26,0)</f>
        <v/>
      </c>
      <c r="U34" s="31">
        <f>IFERROR(U33/U26,0)</f>
        <v/>
      </c>
      <c r="V34" s="31">
        <f>IFERROR(V33/V26,0)</f>
        <v/>
      </c>
      <c r="W34" s="31">
        <f>IFERROR(W33/W26,0)</f>
        <v/>
      </c>
      <c r="X34" s="31">
        <f>IFERROR(X33/X26,0)</f>
        <v/>
      </c>
      <c r="Y34" s="31">
        <f>IFERROR(Y33/Y26,0)</f>
        <v/>
      </c>
      <c r="Z34" s="31">
        <f>IFERROR(Z33/Z26,0)</f>
        <v/>
      </c>
      <c r="AA34" s="31">
        <f>IFERROR(AA33/AA26,0)</f>
        <v/>
      </c>
      <c r="AB34" s="31">
        <f>IFERROR(AB33/AB26,0)</f>
        <v/>
      </c>
      <c r="AC34" s="31">
        <f>IFERROR(AC33/AC26,0)</f>
        <v/>
      </c>
      <c r="AD34" s="31">
        <f>IFERROR(AD33/AD26,0)</f>
        <v/>
      </c>
      <c r="AE34" s="31">
        <f>IFERROR(AE33/AE26,0)</f>
        <v/>
      </c>
      <c r="AF34" s="31">
        <f>IFERROR(AF33/AF26,0)</f>
        <v/>
      </c>
      <c r="AG34" s="31">
        <f>IFERROR(AG33/AG26,0)</f>
        <v/>
      </c>
      <c r="AH34" s="31">
        <f>IFERROR(AH33/AH26,0)</f>
        <v/>
      </c>
      <c r="AI34" s="31">
        <f>IFERROR(AI33/AI26,0)</f>
        <v/>
      </c>
      <c r="AJ34" s="31">
        <f>IFERROR(AJ33/AJ26,0)</f>
        <v/>
      </c>
      <c r="AK34" s="31">
        <f>IFERROR(AK33/AK26,0)</f>
        <v/>
      </c>
      <c r="AL34" s="31">
        <f>IFERROR(AL33/AL26,0)</f>
        <v/>
      </c>
    </row>
    <row r="36">
      <c r="B36" s="28" t="inlineStr">
        <is>
          <t>OPERATING EXPENSE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</row>
    <row r="37">
      <c r="B37" s="8" t="inlineStr">
        <is>
          <t>Personnel</t>
        </is>
      </c>
      <c r="C37" s="34">
        <f>Team!J34</f>
        <v/>
      </c>
      <c r="D37" s="34">
        <f>Team!K34</f>
        <v/>
      </c>
      <c r="E37" s="34">
        <f>Team!L34</f>
        <v/>
      </c>
      <c r="F37" s="34">
        <f>Team!M34</f>
        <v/>
      </c>
      <c r="G37" s="34">
        <f>Team!N34</f>
        <v/>
      </c>
      <c r="H37" s="34">
        <f>Team!O34</f>
        <v/>
      </c>
      <c r="I37" s="34">
        <f>Team!P34</f>
        <v/>
      </c>
      <c r="J37" s="34">
        <f>Team!Q34</f>
        <v/>
      </c>
      <c r="K37" s="34">
        <f>Team!R34</f>
        <v/>
      </c>
      <c r="L37" s="34">
        <f>Team!S34</f>
        <v/>
      </c>
      <c r="M37" s="34">
        <f>Team!T34</f>
        <v/>
      </c>
      <c r="N37" s="34">
        <f>Team!U34</f>
        <v/>
      </c>
      <c r="O37" s="34">
        <f>Team!V34</f>
        <v/>
      </c>
      <c r="P37" s="34">
        <f>Team!W34</f>
        <v/>
      </c>
      <c r="Q37" s="34">
        <f>Team!X34</f>
        <v/>
      </c>
      <c r="R37" s="34">
        <f>Team!Y34</f>
        <v/>
      </c>
      <c r="S37" s="34">
        <f>Team!Z34</f>
        <v/>
      </c>
      <c r="T37" s="34">
        <f>Team!AA34</f>
        <v/>
      </c>
      <c r="U37" s="34">
        <f>Team!AB34</f>
        <v/>
      </c>
      <c r="V37" s="34">
        <f>Team!AC34</f>
        <v/>
      </c>
      <c r="W37" s="34">
        <f>Team!AD34</f>
        <v/>
      </c>
      <c r="X37" s="34">
        <f>Team!AE34</f>
        <v/>
      </c>
      <c r="Y37" s="34">
        <f>Team!AF34</f>
        <v/>
      </c>
      <c r="Z37" s="34">
        <f>Team!AG34</f>
        <v/>
      </c>
      <c r="AA37" s="34">
        <f>Team!AH34</f>
        <v/>
      </c>
      <c r="AB37" s="34">
        <f>Team!AI34</f>
        <v/>
      </c>
      <c r="AC37" s="34">
        <f>Team!AJ34</f>
        <v/>
      </c>
      <c r="AD37" s="34">
        <f>Team!AK34</f>
        <v/>
      </c>
      <c r="AE37" s="34">
        <f>Team!AL34</f>
        <v/>
      </c>
      <c r="AF37" s="34">
        <f>Team!AM34</f>
        <v/>
      </c>
      <c r="AG37" s="34">
        <f>Team!AN34</f>
        <v/>
      </c>
      <c r="AH37" s="34">
        <f>Team!AO34</f>
        <v/>
      </c>
      <c r="AI37" s="34">
        <f>Team!AP34</f>
        <v/>
      </c>
      <c r="AJ37" s="34">
        <f>Team!AQ34</f>
        <v/>
      </c>
      <c r="AK37" s="34">
        <f>Team!AR34</f>
        <v/>
      </c>
      <c r="AL37" s="34">
        <f>Team!AS34</f>
        <v/>
      </c>
    </row>
    <row r="38">
      <c r="B38" s="8" t="inlineStr">
        <is>
          <t>Sales and marketing</t>
        </is>
      </c>
      <c r="C38" s="22">
        <f>C9</f>
        <v/>
      </c>
      <c r="D38" s="22">
        <f>D9</f>
        <v/>
      </c>
      <c r="E38" s="22">
        <f>E9</f>
        <v/>
      </c>
      <c r="F38" s="22">
        <f>F9</f>
        <v/>
      </c>
      <c r="G38" s="22">
        <f>G9</f>
        <v/>
      </c>
      <c r="H38" s="22">
        <f>H9</f>
        <v/>
      </c>
      <c r="I38" s="22">
        <f>I9</f>
        <v/>
      </c>
      <c r="J38" s="22">
        <f>J9</f>
        <v/>
      </c>
      <c r="K38" s="22">
        <f>K9</f>
        <v/>
      </c>
      <c r="L38" s="22">
        <f>L9</f>
        <v/>
      </c>
      <c r="M38" s="22">
        <f>M9</f>
        <v/>
      </c>
      <c r="N38" s="22">
        <f>N9</f>
        <v/>
      </c>
      <c r="O38" s="22">
        <f>O9</f>
        <v/>
      </c>
      <c r="P38" s="22">
        <f>P9</f>
        <v/>
      </c>
      <c r="Q38" s="22">
        <f>Q9</f>
        <v/>
      </c>
      <c r="R38" s="22">
        <f>R9</f>
        <v/>
      </c>
      <c r="S38" s="22">
        <f>S9</f>
        <v/>
      </c>
      <c r="T38" s="22">
        <f>T9</f>
        <v/>
      </c>
      <c r="U38" s="22">
        <f>U9</f>
        <v/>
      </c>
      <c r="V38" s="22">
        <f>V9</f>
        <v/>
      </c>
      <c r="W38" s="22">
        <f>W9</f>
        <v/>
      </c>
      <c r="X38" s="22">
        <f>X9</f>
        <v/>
      </c>
      <c r="Y38" s="22">
        <f>Y9</f>
        <v/>
      </c>
      <c r="Z38" s="22">
        <f>Z9</f>
        <v/>
      </c>
      <c r="AA38" s="22">
        <f>AA9</f>
        <v/>
      </c>
      <c r="AB38" s="22">
        <f>AB9</f>
        <v/>
      </c>
      <c r="AC38" s="22">
        <f>AC9</f>
        <v/>
      </c>
      <c r="AD38" s="22">
        <f>AD9</f>
        <v/>
      </c>
      <c r="AE38" s="22">
        <f>AE9</f>
        <v/>
      </c>
      <c r="AF38" s="22">
        <f>AF9</f>
        <v/>
      </c>
      <c r="AG38" s="22">
        <f>AG9</f>
        <v/>
      </c>
      <c r="AH38" s="22">
        <f>AH9</f>
        <v/>
      </c>
      <c r="AI38" s="22">
        <f>AI9</f>
        <v/>
      </c>
      <c r="AJ38" s="22">
        <f>AJ9</f>
        <v/>
      </c>
      <c r="AK38" s="22">
        <f>AK9</f>
        <v/>
      </c>
      <c r="AL38" s="22">
        <f>AL9</f>
        <v/>
      </c>
    </row>
    <row r="39">
      <c r="B39" s="8" t="inlineStr">
        <is>
          <t>G&amp;A, legal, compliance, data</t>
        </is>
      </c>
      <c r="C39" s="22">
        <f>INDEX(Assumptions!$D$58:$D$60,C$5)</f>
        <v/>
      </c>
      <c r="D39" s="22">
        <f>INDEX(Assumptions!$D$58:$D$60,D$5)</f>
        <v/>
      </c>
      <c r="E39" s="22">
        <f>INDEX(Assumptions!$D$58:$D$60,E$5)</f>
        <v/>
      </c>
      <c r="F39" s="22">
        <f>INDEX(Assumptions!$D$58:$D$60,F$5)</f>
        <v/>
      </c>
      <c r="G39" s="22">
        <f>INDEX(Assumptions!$D$58:$D$60,G$5)</f>
        <v/>
      </c>
      <c r="H39" s="22">
        <f>INDEX(Assumptions!$D$58:$D$60,H$5)</f>
        <v/>
      </c>
      <c r="I39" s="22">
        <f>INDEX(Assumptions!$D$58:$D$60,I$5)</f>
        <v/>
      </c>
      <c r="J39" s="22">
        <f>INDEX(Assumptions!$D$58:$D$60,J$5)</f>
        <v/>
      </c>
      <c r="K39" s="22">
        <f>INDEX(Assumptions!$D$58:$D$60,K$5)</f>
        <v/>
      </c>
      <c r="L39" s="22">
        <f>INDEX(Assumptions!$D$58:$D$60,L$5)</f>
        <v/>
      </c>
      <c r="M39" s="22">
        <f>INDEX(Assumptions!$D$58:$D$60,M$5)</f>
        <v/>
      </c>
      <c r="N39" s="22">
        <f>INDEX(Assumptions!$D$58:$D$60,N$5)</f>
        <v/>
      </c>
      <c r="O39" s="22">
        <f>INDEX(Assumptions!$D$58:$D$60,O$5)</f>
        <v/>
      </c>
      <c r="P39" s="22">
        <f>INDEX(Assumptions!$D$58:$D$60,P$5)</f>
        <v/>
      </c>
      <c r="Q39" s="22">
        <f>INDEX(Assumptions!$D$58:$D$60,Q$5)</f>
        <v/>
      </c>
      <c r="R39" s="22">
        <f>INDEX(Assumptions!$D$58:$D$60,R$5)</f>
        <v/>
      </c>
      <c r="S39" s="22">
        <f>INDEX(Assumptions!$D$58:$D$60,S$5)</f>
        <v/>
      </c>
      <c r="T39" s="22">
        <f>INDEX(Assumptions!$D$58:$D$60,T$5)</f>
        <v/>
      </c>
      <c r="U39" s="22">
        <f>INDEX(Assumptions!$D$58:$D$60,U$5)</f>
        <v/>
      </c>
      <c r="V39" s="22">
        <f>INDEX(Assumptions!$D$58:$D$60,V$5)</f>
        <v/>
      </c>
      <c r="W39" s="22">
        <f>INDEX(Assumptions!$D$58:$D$60,W$5)</f>
        <v/>
      </c>
      <c r="X39" s="22">
        <f>INDEX(Assumptions!$D$58:$D$60,X$5)</f>
        <v/>
      </c>
      <c r="Y39" s="22">
        <f>INDEX(Assumptions!$D$58:$D$60,Y$5)</f>
        <v/>
      </c>
      <c r="Z39" s="22">
        <f>INDEX(Assumptions!$D$58:$D$60,Z$5)</f>
        <v/>
      </c>
      <c r="AA39" s="22">
        <f>INDEX(Assumptions!$D$58:$D$60,AA$5)</f>
        <v/>
      </c>
      <c r="AB39" s="22">
        <f>INDEX(Assumptions!$D$58:$D$60,AB$5)</f>
        <v/>
      </c>
      <c r="AC39" s="22">
        <f>INDEX(Assumptions!$D$58:$D$60,AC$5)</f>
        <v/>
      </c>
      <c r="AD39" s="22">
        <f>INDEX(Assumptions!$D$58:$D$60,AD$5)</f>
        <v/>
      </c>
      <c r="AE39" s="22">
        <f>INDEX(Assumptions!$D$58:$D$60,AE$5)</f>
        <v/>
      </c>
      <c r="AF39" s="22">
        <f>INDEX(Assumptions!$D$58:$D$60,AF$5)</f>
        <v/>
      </c>
      <c r="AG39" s="22">
        <f>INDEX(Assumptions!$D$58:$D$60,AG$5)</f>
        <v/>
      </c>
      <c r="AH39" s="22">
        <f>INDEX(Assumptions!$D$58:$D$60,AH$5)</f>
        <v/>
      </c>
      <c r="AI39" s="22">
        <f>INDEX(Assumptions!$D$58:$D$60,AI$5)</f>
        <v/>
      </c>
      <c r="AJ39" s="22">
        <f>INDEX(Assumptions!$D$58:$D$60,AJ$5)</f>
        <v/>
      </c>
      <c r="AK39" s="22">
        <f>INDEX(Assumptions!$D$58:$D$60,AK$5)</f>
        <v/>
      </c>
      <c r="AL39" s="22">
        <f>INDEX(Assumptions!$D$58:$D$60,AL$5)</f>
        <v/>
      </c>
    </row>
    <row r="40">
      <c r="B40" s="8" t="inlineStr">
        <is>
          <t>One-off costs</t>
        </is>
      </c>
      <c r="C40" s="22">
        <f>SUMIF(Assumptions!$B$80:$B$85,C$4,Assumptions!$C$80:$C$85)</f>
        <v/>
      </c>
      <c r="D40" s="22">
        <f>SUMIF(Assumptions!$B$80:$B$85,D$4,Assumptions!$C$80:$C$85)</f>
        <v/>
      </c>
      <c r="E40" s="22">
        <f>SUMIF(Assumptions!$B$80:$B$85,E$4,Assumptions!$C$80:$C$85)</f>
        <v/>
      </c>
      <c r="F40" s="22">
        <f>SUMIF(Assumptions!$B$80:$B$85,F$4,Assumptions!$C$80:$C$85)</f>
        <v/>
      </c>
      <c r="G40" s="22">
        <f>SUMIF(Assumptions!$B$80:$B$85,G$4,Assumptions!$C$80:$C$85)</f>
        <v/>
      </c>
      <c r="H40" s="22">
        <f>SUMIF(Assumptions!$B$80:$B$85,H$4,Assumptions!$C$80:$C$85)</f>
        <v/>
      </c>
      <c r="I40" s="22">
        <f>SUMIF(Assumptions!$B$80:$B$85,I$4,Assumptions!$C$80:$C$85)</f>
        <v/>
      </c>
      <c r="J40" s="22">
        <f>SUMIF(Assumptions!$B$80:$B$85,J$4,Assumptions!$C$80:$C$85)</f>
        <v/>
      </c>
      <c r="K40" s="22">
        <f>SUMIF(Assumptions!$B$80:$B$85,K$4,Assumptions!$C$80:$C$85)</f>
        <v/>
      </c>
      <c r="L40" s="22">
        <f>SUMIF(Assumptions!$B$80:$B$85,L$4,Assumptions!$C$80:$C$85)</f>
        <v/>
      </c>
      <c r="M40" s="22">
        <f>SUMIF(Assumptions!$B$80:$B$85,M$4,Assumptions!$C$80:$C$85)</f>
        <v/>
      </c>
      <c r="N40" s="22">
        <f>SUMIF(Assumptions!$B$80:$B$85,N$4,Assumptions!$C$80:$C$85)</f>
        <v/>
      </c>
      <c r="O40" s="22">
        <f>SUMIF(Assumptions!$B$80:$B$85,O$4,Assumptions!$C$80:$C$85)</f>
        <v/>
      </c>
      <c r="P40" s="22">
        <f>SUMIF(Assumptions!$B$80:$B$85,P$4,Assumptions!$C$80:$C$85)</f>
        <v/>
      </c>
      <c r="Q40" s="22">
        <f>SUMIF(Assumptions!$B$80:$B$85,Q$4,Assumptions!$C$80:$C$85)</f>
        <v/>
      </c>
      <c r="R40" s="22">
        <f>SUMIF(Assumptions!$B$80:$B$85,R$4,Assumptions!$C$80:$C$85)</f>
        <v/>
      </c>
      <c r="S40" s="22">
        <f>SUMIF(Assumptions!$B$80:$B$85,S$4,Assumptions!$C$80:$C$85)</f>
        <v/>
      </c>
      <c r="T40" s="22">
        <f>SUMIF(Assumptions!$B$80:$B$85,T$4,Assumptions!$C$80:$C$85)</f>
        <v/>
      </c>
      <c r="U40" s="22">
        <f>SUMIF(Assumptions!$B$80:$B$85,U$4,Assumptions!$C$80:$C$85)</f>
        <v/>
      </c>
      <c r="V40" s="22">
        <f>SUMIF(Assumptions!$B$80:$B$85,V$4,Assumptions!$C$80:$C$85)</f>
        <v/>
      </c>
      <c r="W40" s="22">
        <f>SUMIF(Assumptions!$B$80:$B$85,W$4,Assumptions!$C$80:$C$85)</f>
        <v/>
      </c>
      <c r="X40" s="22">
        <f>SUMIF(Assumptions!$B$80:$B$85,X$4,Assumptions!$C$80:$C$85)</f>
        <v/>
      </c>
      <c r="Y40" s="22">
        <f>SUMIF(Assumptions!$B$80:$B$85,Y$4,Assumptions!$C$80:$C$85)</f>
        <v/>
      </c>
      <c r="Z40" s="22">
        <f>SUMIF(Assumptions!$B$80:$B$85,Z$4,Assumptions!$C$80:$C$85)</f>
        <v/>
      </c>
      <c r="AA40" s="22">
        <f>SUMIF(Assumptions!$B$80:$B$85,AA$4,Assumptions!$C$80:$C$85)</f>
        <v/>
      </c>
      <c r="AB40" s="22">
        <f>SUMIF(Assumptions!$B$80:$B$85,AB$4,Assumptions!$C$80:$C$85)</f>
        <v/>
      </c>
      <c r="AC40" s="22">
        <f>SUMIF(Assumptions!$B$80:$B$85,AC$4,Assumptions!$C$80:$C$85)</f>
        <v/>
      </c>
      <c r="AD40" s="22">
        <f>SUMIF(Assumptions!$B$80:$B$85,AD$4,Assumptions!$C$80:$C$85)</f>
        <v/>
      </c>
      <c r="AE40" s="22">
        <f>SUMIF(Assumptions!$B$80:$B$85,AE$4,Assumptions!$C$80:$C$85)</f>
        <v/>
      </c>
      <c r="AF40" s="22">
        <f>SUMIF(Assumptions!$B$80:$B$85,AF$4,Assumptions!$C$80:$C$85)</f>
        <v/>
      </c>
      <c r="AG40" s="22">
        <f>SUMIF(Assumptions!$B$80:$B$85,AG$4,Assumptions!$C$80:$C$85)</f>
        <v/>
      </c>
      <c r="AH40" s="22">
        <f>SUMIF(Assumptions!$B$80:$B$85,AH$4,Assumptions!$C$80:$C$85)</f>
        <v/>
      </c>
      <c r="AI40" s="22">
        <f>SUMIF(Assumptions!$B$80:$B$85,AI$4,Assumptions!$C$80:$C$85)</f>
        <v/>
      </c>
      <c r="AJ40" s="22">
        <f>SUMIF(Assumptions!$B$80:$B$85,AJ$4,Assumptions!$C$80:$C$85)</f>
        <v/>
      </c>
      <c r="AK40" s="22">
        <f>SUMIF(Assumptions!$B$80:$B$85,AK$4,Assumptions!$C$80:$C$85)</f>
        <v/>
      </c>
      <c r="AL40" s="22">
        <f>SUMIF(Assumptions!$B$80:$B$85,AL$4,Assumptions!$C$80:$C$85)</f>
        <v/>
      </c>
    </row>
    <row r="41">
      <c r="B41" s="8" t="inlineStr">
        <is>
          <t>Fixed infrastructure</t>
        </is>
      </c>
      <c r="C41" s="22">
        <f>IF(C$4&lt;Assumptions!$D$25,Assumptions!$D$52,INDEX(Assumptions!$D$53:$D$55,C$5))</f>
        <v/>
      </c>
      <c r="D41" s="22">
        <f>IF(D$4&lt;Assumptions!$D$25,Assumptions!$D$52,INDEX(Assumptions!$D$53:$D$55,D$5))</f>
        <v/>
      </c>
      <c r="E41" s="22">
        <f>IF(E$4&lt;Assumptions!$D$25,Assumptions!$D$52,INDEX(Assumptions!$D$53:$D$55,E$5))</f>
        <v/>
      </c>
      <c r="F41" s="22">
        <f>IF(F$4&lt;Assumptions!$D$25,Assumptions!$D$52,INDEX(Assumptions!$D$53:$D$55,F$5))</f>
        <v/>
      </c>
      <c r="G41" s="22">
        <f>IF(G$4&lt;Assumptions!$D$25,Assumptions!$D$52,INDEX(Assumptions!$D$53:$D$55,G$5))</f>
        <v/>
      </c>
      <c r="H41" s="22">
        <f>IF(H$4&lt;Assumptions!$D$25,Assumptions!$D$52,INDEX(Assumptions!$D$53:$D$55,H$5))</f>
        <v/>
      </c>
      <c r="I41" s="22">
        <f>IF(I$4&lt;Assumptions!$D$25,Assumptions!$D$52,INDEX(Assumptions!$D$53:$D$55,I$5))</f>
        <v/>
      </c>
      <c r="J41" s="22">
        <f>IF(J$4&lt;Assumptions!$D$25,Assumptions!$D$52,INDEX(Assumptions!$D$53:$D$55,J$5))</f>
        <v/>
      </c>
      <c r="K41" s="22">
        <f>IF(K$4&lt;Assumptions!$D$25,Assumptions!$D$52,INDEX(Assumptions!$D$53:$D$55,K$5))</f>
        <v/>
      </c>
      <c r="L41" s="22">
        <f>IF(L$4&lt;Assumptions!$D$25,Assumptions!$D$52,INDEX(Assumptions!$D$53:$D$55,L$5))</f>
        <v/>
      </c>
      <c r="M41" s="22">
        <f>IF(M$4&lt;Assumptions!$D$25,Assumptions!$D$52,INDEX(Assumptions!$D$53:$D$55,M$5))</f>
        <v/>
      </c>
      <c r="N41" s="22">
        <f>IF(N$4&lt;Assumptions!$D$25,Assumptions!$D$52,INDEX(Assumptions!$D$53:$D$55,N$5))</f>
        <v/>
      </c>
      <c r="O41" s="22">
        <f>IF(O$4&lt;Assumptions!$D$25,Assumptions!$D$52,INDEX(Assumptions!$D$53:$D$55,O$5))</f>
        <v/>
      </c>
      <c r="P41" s="22">
        <f>IF(P$4&lt;Assumptions!$D$25,Assumptions!$D$52,INDEX(Assumptions!$D$53:$D$55,P$5))</f>
        <v/>
      </c>
      <c r="Q41" s="22">
        <f>IF(Q$4&lt;Assumptions!$D$25,Assumptions!$D$52,INDEX(Assumptions!$D$53:$D$55,Q$5))</f>
        <v/>
      </c>
      <c r="R41" s="22">
        <f>IF(R$4&lt;Assumptions!$D$25,Assumptions!$D$52,INDEX(Assumptions!$D$53:$D$55,R$5))</f>
        <v/>
      </c>
      <c r="S41" s="22">
        <f>IF(S$4&lt;Assumptions!$D$25,Assumptions!$D$52,INDEX(Assumptions!$D$53:$D$55,S$5))</f>
        <v/>
      </c>
      <c r="T41" s="22">
        <f>IF(T$4&lt;Assumptions!$D$25,Assumptions!$D$52,INDEX(Assumptions!$D$53:$D$55,T$5))</f>
        <v/>
      </c>
      <c r="U41" s="22">
        <f>IF(U$4&lt;Assumptions!$D$25,Assumptions!$D$52,INDEX(Assumptions!$D$53:$D$55,U$5))</f>
        <v/>
      </c>
      <c r="V41" s="22">
        <f>IF(V$4&lt;Assumptions!$D$25,Assumptions!$D$52,INDEX(Assumptions!$D$53:$D$55,V$5))</f>
        <v/>
      </c>
      <c r="W41" s="22">
        <f>IF(W$4&lt;Assumptions!$D$25,Assumptions!$D$52,INDEX(Assumptions!$D$53:$D$55,W$5))</f>
        <v/>
      </c>
      <c r="X41" s="22">
        <f>IF(X$4&lt;Assumptions!$D$25,Assumptions!$D$52,INDEX(Assumptions!$D$53:$D$55,X$5))</f>
        <v/>
      </c>
      <c r="Y41" s="22">
        <f>IF(Y$4&lt;Assumptions!$D$25,Assumptions!$D$52,INDEX(Assumptions!$D$53:$D$55,Y$5))</f>
        <v/>
      </c>
      <c r="Z41" s="22">
        <f>IF(Z$4&lt;Assumptions!$D$25,Assumptions!$D$52,INDEX(Assumptions!$D$53:$D$55,Z$5))</f>
        <v/>
      </c>
      <c r="AA41" s="22">
        <f>IF(AA$4&lt;Assumptions!$D$25,Assumptions!$D$52,INDEX(Assumptions!$D$53:$D$55,AA$5))</f>
        <v/>
      </c>
      <c r="AB41" s="22">
        <f>IF(AB$4&lt;Assumptions!$D$25,Assumptions!$D$52,INDEX(Assumptions!$D$53:$D$55,AB$5))</f>
        <v/>
      </c>
      <c r="AC41" s="22">
        <f>IF(AC$4&lt;Assumptions!$D$25,Assumptions!$D$52,INDEX(Assumptions!$D$53:$D$55,AC$5))</f>
        <v/>
      </c>
      <c r="AD41" s="22">
        <f>IF(AD$4&lt;Assumptions!$D$25,Assumptions!$D$52,INDEX(Assumptions!$D$53:$D$55,AD$5))</f>
        <v/>
      </c>
      <c r="AE41" s="22">
        <f>IF(AE$4&lt;Assumptions!$D$25,Assumptions!$D$52,INDEX(Assumptions!$D$53:$D$55,AE$5))</f>
        <v/>
      </c>
      <c r="AF41" s="22">
        <f>IF(AF$4&lt;Assumptions!$D$25,Assumptions!$D$52,INDEX(Assumptions!$D$53:$D$55,AF$5))</f>
        <v/>
      </c>
      <c r="AG41" s="22">
        <f>IF(AG$4&lt;Assumptions!$D$25,Assumptions!$D$52,INDEX(Assumptions!$D$53:$D$55,AG$5))</f>
        <v/>
      </c>
      <c r="AH41" s="22">
        <f>IF(AH$4&lt;Assumptions!$D$25,Assumptions!$D$52,INDEX(Assumptions!$D$53:$D$55,AH$5))</f>
        <v/>
      </c>
      <c r="AI41" s="22">
        <f>IF(AI$4&lt;Assumptions!$D$25,Assumptions!$D$52,INDEX(Assumptions!$D$53:$D$55,AI$5))</f>
        <v/>
      </c>
      <c r="AJ41" s="22">
        <f>IF(AJ$4&lt;Assumptions!$D$25,Assumptions!$D$52,INDEX(Assumptions!$D$53:$D$55,AJ$5))</f>
        <v/>
      </c>
      <c r="AK41" s="22">
        <f>IF(AK$4&lt;Assumptions!$D$25,Assumptions!$D$52,INDEX(Assumptions!$D$53:$D$55,AK$5))</f>
        <v/>
      </c>
      <c r="AL41" s="22">
        <f>IF(AL$4&lt;Assumptions!$D$25,Assumptions!$D$52,INDEX(Assumptions!$D$53:$D$55,AL$5))</f>
        <v/>
      </c>
    </row>
    <row r="42">
      <c r="B42" s="5" t="inlineStr">
        <is>
          <t>Total operating expense</t>
        </is>
      </c>
      <c r="C42" s="33">
        <f>SUM(C37:C41)</f>
        <v/>
      </c>
      <c r="D42" s="33">
        <f>SUM(D37:D41)</f>
        <v/>
      </c>
      <c r="E42" s="33">
        <f>SUM(E37:E41)</f>
        <v/>
      </c>
      <c r="F42" s="33">
        <f>SUM(F37:F41)</f>
        <v/>
      </c>
      <c r="G42" s="33">
        <f>SUM(G37:G41)</f>
        <v/>
      </c>
      <c r="H42" s="33">
        <f>SUM(H37:H41)</f>
        <v/>
      </c>
      <c r="I42" s="33">
        <f>SUM(I37:I41)</f>
        <v/>
      </c>
      <c r="J42" s="33">
        <f>SUM(J37:J41)</f>
        <v/>
      </c>
      <c r="K42" s="33">
        <f>SUM(K37:K41)</f>
        <v/>
      </c>
      <c r="L42" s="33">
        <f>SUM(L37:L41)</f>
        <v/>
      </c>
      <c r="M42" s="33">
        <f>SUM(M37:M41)</f>
        <v/>
      </c>
      <c r="N42" s="33">
        <f>SUM(N37:N41)</f>
        <v/>
      </c>
      <c r="O42" s="33">
        <f>SUM(O37:O41)</f>
        <v/>
      </c>
      <c r="P42" s="33">
        <f>SUM(P37:P41)</f>
        <v/>
      </c>
      <c r="Q42" s="33">
        <f>SUM(Q37:Q41)</f>
        <v/>
      </c>
      <c r="R42" s="33">
        <f>SUM(R37:R41)</f>
        <v/>
      </c>
      <c r="S42" s="33">
        <f>SUM(S37:S41)</f>
        <v/>
      </c>
      <c r="T42" s="33">
        <f>SUM(T37:T41)</f>
        <v/>
      </c>
      <c r="U42" s="33">
        <f>SUM(U37:U41)</f>
        <v/>
      </c>
      <c r="V42" s="33">
        <f>SUM(V37:V41)</f>
        <v/>
      </c>
      <c r="W42" s="33">
        <f>SUM(W37:W41)</f>
        <v/>
      </c>
      <c r="X42" s="33">
        <f>SUM(X37:X41)</f>
        <v/>
      </c>
      <c r="Y42" s="33">
        <f>SUM(Y37:Y41)</f>
        <v/>
      </c>
      <c r="Z42" s="33">
        <f>SUM(Z37:Z41)</f>
        <v/>
      </c>
      <c r="AA42" s="33">
        <f>SUM(AA37:AA41)</f>
        <v/>
      </c>
      <c r="AB42" s="33">
        <f>SUM(AB37:AB41)</f>
        <v/>
      </c>
      <c r="AC42" s="33">
        <f>SUM(AC37:AC41)</f>
        <v/>
      </c>
      <c r="AD42" s="33">
        <f>SUM(AD37:AD41)</f>
        <v/>
      </c>
      <c r="AE42" s="33">
        <f>SUM(AE37:AE41)</f>
        <v/>
      </c>
      <c r="AF42" s="33">
        <f>SUM(AF37:AF41)</f>
        <v/>
      </c>
      <c r="AG42" s="33">
        <f>SUM(AG37:AG41)</f>
        <v/>
      </c>
      <c r="AH42" s="33">
        <f>SUM(AH37:AH41)</f>
        <v/>
      </c>
      <c r="AI42" s="33">
        <f>SUM(AI37:AI41)</f>
        <v/>
      </c>
      <c r="AJ42" s="33">
        <f>SUM(AJ37:AJ41)</f>
        <v/>
      </c>
      <c r="AK42" s="33">
        <f>SUM(AK37:AK41)</f>
        <v/>
      </c>
      <c r="AL42" s="33">
        <f>SUM(AL37:AL41)</f>
        <v/>
      </c>
    </row>
    <row r="44">
      <c r="B44" s="28" t="inlineStr">
        <is>
          <t>RESULT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</row>
    <row r="45">
      <c r="B45" s="5" t="inlineStr">
        <is>
          <t>EBITDA</t>
        </is>
      </c>
      <c r="C45" s="33">
        <f>C33-C42</f>
        <v/>
      </c>
      <c r="D45" s="33">
        <f>D33-D42</f>
        <v/>
      </c>
      <c r="E45" s="33">
        <f>E33-E42</f>
        <v/>
      </c>
      <c r="F45" s="33">
        <f>F33-F42</f>
        <v/>
      </c>
      <c r="G45" s="33">
        <f>G33-G42</f>
        <v/>
      </c>
      <c r="H45" s="33">
        <f>H33-H42</f>
        <v/>
      </c>
      <c r="I45" s="33">
        <f>I33-I42</f>
        <v/>
      </c>
      <c r="J45" s="33">
        <f>J33-J42</f>
        <v/>
      </c>
      <c r="K45" s="33">
        <f>K33-K42</f>
        <v/>
      </c>
      <c r="L45" s="33">
        <f>L33-L42</f>
        <v/>
      </c>
      <c r="M45" s="33">
        <f>M33-M42</f>
        <v/>
      </c>
      <c r="N45" s="33">
        <f>N33-N42</f>
        <v/>
      </c>
      <c r="O45" s="33">
        <f>O33-O42</f>
        <v/>
      </c>
      <c r="P45" s="33">
        <f>P33-P42</f>
        <v/>
      </c>
      <c r="Q45" s="33">
        <f>Q33-Q42</f>
        <v/>
      </c>
      <c r="R45" s="33">
        <f>R33-R42</f>
        <v/>
      </c>
      <c r="S45" s="33">
        <f>S33-S42</f>
        <v/>
      </c>
      <c r="T45" s="33">
        <f>T33-T42</f>
        <v/>
      </c>
      <c r="U45" s="33">
        <f>U33-U42</f>
        <v/>
      </c>
      <c r="V45" s="33">
        <f>V33-V42</f>
        <v/>
      </c>
      <c r="W45" s="33">
        <f>W33-W42</f>
        <v/>
      </c>
      <c r="X45" s="33">
        <f>X33-X42</f>
        <v/>
      </c>
      <c r="Y45" s="33">
        <f>Y33-Y42</f>
        <v/>
      </c>
      <c r="Z45" s="33">
        <f>Z33-Z42</f>
        <v/>
      </c>
      <c r="AA45" s="33">
        <f>AA33-AA42</f>
        <v/>
      </c>
      <c r="AB45" s="33">
        <f>AB33-AB42</f>
        <v/>
      </c>
      <c r="AC45" s="33">
        <f>AC33-AC42</f>
        <v/>
      </c>
      <c r="AD45" s="33">
        <f>AD33-AD42</f>
        <v/>
      </c>
      <c r="AE45" s="33">
        <f>AE33-AE42</f>
        <v/>
      </c>
      <c r="AF45" s="33">
        <f>AF33-AF42</f>
        <v/>
      </c>
      <c r="AG45" s="33">
        <f>AG33-AG42</f>
        <v/>
      </c>
      <c r="AH45" s="33">
        <f>AH33-AH42</f>
        <v/>
      </c>
      <c r="AI45" s="33">
        <f>AI33-AI42</f>
        <v/>
      </c>
      <c r="AJ45" s="33">
        <f>AJ33-AJ42</f>
        <v/>
      </c>
      <c r="AK45" s="33">
        <f>AK33-AK42</f>
        <v/>
      </c>
      <c r="AL45" s="33">
        <f>AL33-AL42</f>
        <v/>
      </c>
    </row>
    <row r="46">
      <c r="B46" s="8" t="inlineStr">
        <is>
          <t>Cumulative EBITDA</t>
        </is>
      </c>
      <c r="C46" s="22">
        <f>C45</f>
        <v/>
      </c>
      <c r="D46" s="22">
        <f>C46+D45</f>
        <v/>
      </c>
      <c r="E46" s="22">
        <f>D46+E45</f>
        <v/>
      </c>
      <c r="F46" s="22">
        <f>E46+F45</f>
        <v/>
      </c>
      <c r="G46" s="22">
        <f>F46+G45</f>
        <v/>
      </c>
      <c r="H46" s="22">
        <f>G46+H45</f>
        <v/>
      </c>
      <c r="I46" s="22">
        <f>H46+I45</f>
        <v/>
      </c>
      <c r="J46" s="22">
        <f>I46+J45</f>
        <v/>
      </c>
      <c r="K46" s="22">
        <f>J46+K45</f>
        <v/>
      </c>
      <c r="L46" s="22">
        <f>K46+L45</f>
        <v/>
      </c>
      <c r="M46" s="22">
        <f>L46+M45</f>
        <v/>
      </c>
      <c r="N46" s="22">
        <f>M46+N45</f>
        <v/>
      </c>
      <c r="O46" s="22">
        <f>N46+O45</f>
        <v/>
      </c>
      <c r="P46" s="22">
        <f>O46+P45</f>
        <v/>
      </c>
      <c r="Q46" s="22">
        <f>P46+Q45</f>
        <v/>
      </c>
      <c r="R46" s="22">
        <f>Q46+R45</f>
        <v/>
      </c>
      <c r="S46" s="22">
        <f>R46+S45</f>
        <v/>
      </c>
      <c r="T46" s="22">
        <f>S46+T45</f>
        <v/>
      </c>
      <c r="U46" s="22">
        <f>T46+U45</f>
        <v/>
      </c>
      <c r="V46" s="22">
        <f>U46+V45</f>
        <v/>
      </c>
      <c r="W46" s="22">
        <f>V46+W45</f>
        <v/>
      </c>
      <c r="X46" s="22">
        <f>W46+X45</f>
        <v/>
      </c>
      <c r="Y46" s="22">
        <f>X46+Y45</f>
        <v/>
      </c>
      <c r="Z46" s="22">
        <f>Y46+Z45</f>
        <v/>
      </c>
      <c r="AA46" s="22">
        <f>Z46+AA45</f>
        <v/>
      </c>
      <c r="AB46" s="22">
        <f>AA46+AB45</f>
        <v/>
      </c>
      <c r="AC46" s="22">
        <f>AB46+AC45</f>
        <v/>
      </c>
      <c r="AD46" s="22">
        <f>AC46+AD45</f>
        <v/>
      </c>
      <c r="AE46" s="22">
        <f>AD46+AE45</f>
        <v/>
      </c>
      <c r="AF46" s="22">
        <f>AE46+AF45</f>
        <v/>
      </c>
      <c r="AG46" s="22">
        <f>AF46+AG45</f>
        <v/>
      </c>
      <c r="AH46" s="22">
        <f>AG46+AH45</f>
        <v/>
      </c>
      <c r="AI46" s="22">
        <f>AH46+AI45</f>
        <v/>
      </c>
      <c r="AJ46" s="22">
        <f>AI46+AJ45</f>
        <v/>
      </c>
      <c r="AK46" s="22">
        <f>AJ46+AK45</f>
        <v/>
      </c>
      <c r="AL46" s="22">
        <f>AK46+AL45</f>
        <v/>
      </c>
    </row>
    <row r="47">
      <c r="B47" s="8" t="inlineStr">
        <is>
          <t>Funding received</t>
        </is>
      </c>
      <c r="C47" s="22">
        <f>IF(C$4=Assumptions!$D$64,Assumptions!$D$63,0)+IF(C$4=Assumptions!$D$66,Assumptions!$D$65,0)</f>
        <v/>
      </c>
      <c r="D47" s="22">
        <f>IF(D$4=Assumptions!$D$64,Assumptions!$D$63,0)+IF(D$4=Assumptions!$D$66,Assumptions!$D$65,0)</f>
        <v/>
      </c>
      <c r="E47" s="22">
        <f>IF(E$4=Assumptions!$D$64,Assumptions!$D$63,0)+IF(E$4=Assumptions!$D$66,Assumptions!$D$65,0)</f>
        <v/>
      </c>
      <c r="F47" s="22">
        <f>IF(F$4=Assumptions!$D$64,Assumptions!$D$63,0)+IF(F$4=Assumptions!$D$66,Assumptions!$D$65,0)</f>
        <v/>
      </c>
      <c r="G47" s="22">
        <f>IF(G$4=Assumptions!$D$64,Assumptions!$D$63,0)+IF(G$4=Assumptions!$D$66,Assumptions!$D$65,0)</f>
        <v/>
      </c>
      <c r="H47" s="22">
        <f>IF(H$4=Assumptions!$D$64,Assumptions!$D$63,0)+IF(H$4=Assumptions!$D$66,Assumptions!$D$65,0)</f>
        <v/>
      </c>
      <c r="I47" s="22">
        <f>IF(I$4=Assumptions!$D$64,Assumptions!$D$63,0)+IF(I$4=Assumptions!$D$66,Assumptions!$D$65,0)</f>
        <v/>
      </c>
      <c r="J47" s="22">
        <f>IF(J$4=Assumptions!$D$64,Assumptions!$D$63,0)+IF(J$4=Assumptions!$D$66,Assumptions!$D$65,0)</f>
        <v/>
      </c>
      <c r="K47" s="22">
        <f>IF(K$4=Assumptions!$D$64,Assumptions!$D$63,0)+IF(K$4=Assumptions!$D$66,Assumptions!$D$65,0)</f>
        <v/>
      </c>
      <c r="L47" s="22">
        <f>IF(L$4=Assumptions!$D$64,Assumptions!$D$63,0)+IF(L$4=Assumptions!$D$66,Assumptions!$D$65,0)</f>
        <v/>
      </c>
      <c r="M47" s="22">
        <f>IF(M$4=Assumptions!$D$64,Assumptions!$D$63,0)+IF(M$4=Assumptions!$D$66,Assumptions!$D$65,0)</f>
        <v/>
      </c>
      <c r="N47" s="22">
        <f>IF(N$4=Assumptions!$D$64,Assumptions!$D$63,0)+IF(N$4=Assumptions!$D$66,Assumptions!$D$65,0)</f>
        <v/>
      </c>
      <c r="O47" s="22">
        <f>IF(O$4=Assumptions!$D$64,Assumptions!$D$63,0)+IF(O$4=Assumptions!$D$66,Assumptions!$D$65,0)</f>
        <v/>
      </c>
      <c r="P47" s="22">
        <f>IF(P$4=Assumptions!$D$64,Assumptions!$D$63,0)+IF(P$4=Assumptions!$D$66,Assumptions!$D$65,0)</f>
        <v/>
      </c>
      <c r="Q47" s="22">
        <f>IF(Q$4=Assumptions!$D$64,Assumptions!$D$63,0)+IF(Q$4=Assumptions!$D$66,Assumptions!$D$65,0)</f>
        <v/>
      </c>
      <c r="R47" s="22">
        <f>IF(R$4=Assumptions!$D$64,Assumptions!$D$63,0)+IF(R$4=Assumptions!$D$66,Assumptions!$D$65,0)</f>
        <v/>
      </c>
      <c r="S47" s="22">
        <f>IF(S$4=Assumptions!$D$64,Assumptions!$D$63,0)+IF(S$4=Assumptions!$D$66,Assumptions!$D$65,0)</f>
        <v/>
      </c>
      <c r="T47" s="22">
        <f>IF(T$4=Assumptions!$D$64,Assumptions!$D$63,0)+IF(T$4=Assumptions!$D$66,Assumptions!$D$65,0)</f>
        <v/>
      </c>
      <c r="U47" s="22">
        <f>IF(U$4=Assumptions!$D$64,Assumptions!$D$63,0)+IF(U$4=Assumptions!$D$66,Assumptions!$D$65,0)</f>
        <v/>
      </c>
      <c r="V47" s="22">
        <f>IF(V$4=Assumptions!$D$64,Assumptions!$D$63,0)+IF(V$4=Assumptions!$D$66,Assumptions!$D$65,0)</f>
        <v/>
      </c>
      <c r="W47" s="22">
        <f>IF(W$4=Assumptions!$D$64,Assumptions!$D$63,0)+IF(W$4=Assumptions!$D$66,Assumptions!$D$65,0)</f>
        <v/>
      </c>
      <c r="X47" s="22">
        <f>IF(X$4=Assumptions!$D$64,Assumptions!$D$63,0)+IF(X$4=Assumptions!$D$66,Assumptions!$D$65,0)</f>
        <v/>
      </c>
      <c r="Y47" s="22">
        <f>IF(Y$4=Assumptions!$D$64,Assumptions!$D$63,0)+IF(Y$4=Assumptions!$D$66,Assumptions!$D$65,0)</f>
        <v/>
      </c>
      <c r="Z47" s="22">
        <f>IF(Z$4=Assumptions!$D$64,Assumptions!$D$63,0)+IF(Z$4=Assumptions!$D$66,Assumptions!$D$65,0)</f>
        <v/>
      </c>
      <c r="AA47" s="22">
        <f>IF(AA$4=Assumptions!$D$64,Assumptions!$D$63,0)+IF(AA$4=Assumptions!$D$66,Assumptions!$D$65,0)</f>
        <v/>
      </c>
      <c r="AB47" s="22">
        <f>IF(AB$4=Assumptions!$D$64,Assumptions!$D$63,0)+IF(AB$4=Assumptions!$D$66,Assumptions!$D$65,0)</f>
        <v/>
      </c>
      <c r="AC47" s="22">
        <f>IF(AC$4=Assumptions!$D$64,Assumptions!$D$63,0)+IF(AC$4=Assumptions!$D$66,Assumptions!$D$65,0)</f>
        <v/>
      </c>
      <c r="AD47" s="22">
        <f>IF(AD$4=Assumptions!$D$64,Assumptions!$D$63,0)+IF(AD$4=Assumptions!$D$66,Assumptions!$D$65,0)</f>
        <v/>
      </c>
      <c r="AE47" s="22">
        <f>IF(AE$4=Assumptions!$D$64,Assumptions!$D$63,0)+IF(AE$4=Assumptions!$D$66,Assumptions!$D$65,0)</f>
        <v/>
      </c>
      <c r="AF47" s="22">
        <f>IF(AF$4=Assumptions!$D$64,Assumptions!$D$63,0)+IF(AF$4=Assumptions!$D$66,Assumptions!$D$65,0)</f>
        <v/>
      </c>
      <c r="AG47" s="22">
        <f>IF(AG$4=Assumptions!$D$64,Assumptions!$D$63,0)+IF(AG$4=Assumptions!$D$66,Assumptions!$D$65,0)</f>
        <v/>
      </c>
      <c r="AH47" s="22">
        <f>IF(AH$4=Assumptions!$D$64,Assumptions!$D$63,0)+IF(AH$4=Assumptions!$D$66,Assumptions!$D$65,0)</f>
        <v/>
      </c>
      <c r="AI47" s="22">
        <f>IF(AI$4=Assumptions!$D$64,Assumptions!$D$63,0)+IF(AI$4=Assumptions!$D$66,Assumptions!$D$65,0)</f>
        <v/>
      </c>
      <c r="AJ47" s="22">
        <f>IF(AJ$4=Assumptions!$D$64,Assumptions!$D$63,0)+IF(AJ$4=Assumptions!$D$66,Assumptions!$D$65,0)</f>
        <v/>
      </c>
      <c r="AK47" s="22">
        <f>IF(AK$4=Assumptions!$D$64,Assumptions!$D$63,0)+IF(AK$4=Assumptions!$D$66,Assumptions!$D$65,0)</f>
        <v/>
      </c>
      <c r="AL47" s="22">
        <f>IF(AL$4=Assumptions!$D$64,Assumptions!$D$63,0)+IF(AL$4=Assumptions!$D$66,Assumptions!$D$65,0)</f>
        <v/>
      </c>
    </row>
    <row r="48">
      <c r="B48" s="5" t="inlineStr">
        <is>
          <t>Cash on hand</t>
        </is>
      </c>
      <c r="C48" s="33">
        <f>C47+C45</f>
        <v/>
      </c>
      <c r="D48" s="33">
        <f>C48+D47+D45</f>
        <v/>
      </c>
      <c r="E48" s="33">
        <f>D48+E47+E45</f>
        <v/>
      </c>
      <c r="F48" s="33">
        <f>E48+F47+F45</f>
        <v/>
      </c>
      <c r="G48" s="33">
        <f>F48+G47+G45</f>
        <v/>
      </c>
      <c r="H48" s="33">
        <f>G48+H47+H45</f>
        <v/>
      </c>
      <c r="I48" s="33">
        <f>H48+I47+I45</f>
        <v/>
      </c>
      <c r="J48" s="33">
        <f>I48+J47+J45</f>
        <v/>
      </c>
      <c r="K48" s="33">
        <f>J48+K47+K45</f>
        <v/>
      </c>
      <c r="L48" s="33">
        <f>K48+L47+L45</f>
        <v/>
      </c>
      <c r="M48" s="33">
        <f>L48+M47+M45</f>
        <v/>
      </c>
      <c r="N48" s="33">
        <f>M48+N47+N45</f>
        <v/>
      </c>
      <c r="O48" s="33">
        <f>N48+O47+O45</f>
        <v/>
      </c>
      <c r="P48" s="33">
        <f>O48+P47+P45</f>
        <v/>
      </c>
      <c r="Q48" s="33">
        <f>P48+Q47+Q45</f>
        <v/>
      </c>
      <c r="R48" s="33">
        <f>Q48+R47+R45</f>
        <v/>
      </c>
      <c r="S48" s="33">
        <f>R48+S47+S45</f>
        <v/>
      </c>
      <c r="T48" s="33">
        <f>S48+T47+T45</f>
        <v/>
      </c>
      <c r="U48" s="33">
        <f>T48+U47+U45</f>
        <v/>
      </c>
      <c r="V48" s="33">
        <f>U48+V47+V45</f>
        <v/>
      </c>
      <c r="W48" s="33">
        <f>V48+W47+W45</f>
        <v/>
      </c>
      <c r="X48" s="33">
        <f>W48+X47+X45</f>
        <v/>
      </c>
      <c r="Y48" s="33">
        <f>X48+Y47+Y45</f>
        <v/>
      </c>
      <c r="Z48" s="33">
        <f>Y48+Z47+Z45</f>
        <v/>
      </c>
      <c r="AA48" s="33">
        <f>Z48+AA47+AA45</f>
        <v/>
      </c>
      <c r="AB48" s="33">
        <f>AA48+AB47+AB45</f>
        <v/>
      </c>
      <c r="AC48" s="33">
        <f>AB48+AC47+AC45</f>
        <v/>
      </c>
      <c r="AD48" s="33">
        <f>AC48+AD47+AD45</f>
        <v/>
      </c>
      <c r="AE48" s="33">
        <f>AD48+AE47+AE45</f>
        <v/>
      </c>
      <c r="AF48" s="33">
        <f>AE48+AF47+AF45</f>
        <v/>
      </c>
      <c r="AG48" s="33">
        <f>AF48+AG47+AG45</f>
        <v/>
      </c>
      <c r="AH48" s="33">
        <f>AG48+AH47+AH45</f>
        <v/>
      </c>
      <c r="AI48" s="33">
        <f>AH48+AI47+AI45</f>
        <v/>
      </c>
      <c r="AJ48" s="33">
        <f>AI48+AJ47+AJ45</f>
        <v/>
      </c>
      <c r="AK48" s="33">
        <f>AJ48+AK47+AK45</f>
        <v/>
      </c>
      <c r="AL48" s="33">
        <f>AK48+AL47+AL45</f>
        <v/>
      </c>
    </row>
    <row r="49">
      <c r="B49" s="8" t="inlineStr">
        <is>
          <t>Headcount</t>
        </is>
      </c>
      <c r="C49" s="35">
        <f>Team!J35</f>
        <v/>
      </c>
      <c r="D49" s="35">
        <f>Team!K35</f>
        <v/>
      </c>
      <c r="E49" s="35">
        <f>Team!L35</f>
        <v/>
      </c>
      <c r="F49" s="35">
        <f>Team!M35</f>
        <v/>
      </c>
      <c r="G49" s="35">
        <f>Team!N35</f>
        <v/>
      </c>
      <c r="H49" s="35">
        <f>Team!O35</f>
        <v/>
      </c>
      <c r="I49" s="35">
        <f>Team!P35</f>
        <v/>
      </c>
      <c r="J49" s="35">
        <f>Team!Q35</f>
        <v/>
      </c>
      <c r="K49" s="35">
        <f>Team!R35</f>
        <v/>
      </c>
      <c r="L49" s="35">
        <f>Team!S35</f>
        <v/>
      </c>
      <c r="M49" s="35">
        <f>Team!T35</f>
        <v/>
      </c>
      <c r="N49" s="35">
        <f>Team!U35</f>
        <v/>
      </c>
      <c r="O49" s="35">
        <f>Team!V35</f>
        <v/>
      </c>
      <c r="P49" s="35">
        <f>Team!W35</f>
        <v/>
      </c>
      <c r="Q49" s="35">
        <f>Team!X35</f>
        <v/>
      </c>
      <c r="R49" s="35">
        <f>Team!Y35</f>
        <v/>
      </c>
      <c r="S49" s="35">
        <f>Team!Z35</f>
        <v/>
      </c>
      <c r="T49" s="35">
        <f>Team!AA35</f>
        <v/>
      </c>
      <c r="U49" s="35">
        <f>Team!AB35</f>
        <v/>
      </c>
      <c r="V49" s="35">
        <f>Team!AC35</f>
        <v/>
      </c>
      <c r="W49" s="35">
        <f>Team!AD35</f>
        <v/>
      </c>
      <c r="X49" s="35">
        <f>Team!AE35</f>
        <v/>
      </c>
      <c r="Y49" s="35">
        <f>Team!AF35</f>
        <v/>
      </c>
      <c r="Z49" s="35">
        <f>Team!AG35</f>
        <v/>
      </c>
      <c r="AA49" s="35">
        <f>Team!AH35</f>
        <v/>
      </c>
      <c r="AB49" s="35">
        <f>Team!AI35</f>
        <v/>
      </c>
      <c r="AC49" s="35">
        <f>Team!AJ35</f>
        <v/>
      </c>
      <c r="AD49" s="35">
        <f>Team!AK35</f>
        <v/>
      </c>
      <c r="AE49" s="35">
        <f>Team!AL35</f>
        <v/>
      </c>
      <c r="AF49" s="35">
        <f>Team!AM35</f>
        <v/>
      </c>
      <c r="AG49" s="35">
        <f>Team!AN35</f>
        <v/>
      </c>
      <c r="AH49" s="35">
        <f>Team!AO35</f>
        <v/>
      </c>
      <c r="AI49" s="35">
        <f>Team!AP35</f>
        <v/>
      </c>
      <c r="AJ49" s="35">
        <f>Team!AQ35</f>
        <v/>
      </c>
      <c r="AK49" s="35">
        <f>Team!AR35</f>
        <v/>
      </c>
      <c r="AL49" s="35">
        <f>Team!AS35</f>
        <v/>
      </c>
    </row>
    <row r="51">
      <c r="B51" s="2" t="inlineStr">
        <is>
          <t>First EBITDA-positive month (helper)</t>
        </is>
      </c>
      <c r="C51" s="51">
        <f>IF(C45&gt;0,C$4,999)</f>
        <v/>
      </c>
      <c r="D51" s="51">
        <f>IF(D45&gt;0,D$4,999)</f>
        <v/>
      </c>
      <c r="E51" s="51">
        <f>IF(E45&gt;0,E$4,999)</f>
        <v/>
      </c>
      <c r="F51" s="51">
        <f>IF(F45&gt;0,F$4,999)</f>
        <v/>
      </c>
      <c r="G51" s="51">
        <f>IF(G45&gt;0,G$4,999)</f>
        <v/>
      </c>
      <c r="H51" s="51">
        <f>IF(H45&gt;0,H$4,999)</f>
        <v/>
      </c>
      <c r="I51" s="51">
        <f>IF(I45&gt;0,I$4,999)</f>
        <v/>
      </c>
      <c r="J51" s="51">
        <f>IF(J45&gt;0,J$4,999)</f>
        <v/>
      </c>
      <c r="K51" s="51">
        <f>IF(K45&gt;0,K$4,999)</f>
        <v/>
      </c>
      <c r="L51" s="51">
        <f>IF(L45&gt;0,L$4,999)</f>
        <v/>
      </c>
      <c r="M51" s="51">
        <f>IF(M45&gt;0,M$4,999)</f>
        <v/>
      </c>
      <c r="N51" s="51">
        <f>IF(N45&gt;0,N$4,999)</f>
        <v/>
      </c>
      <c r="O51" s="51">
        <f>IF(O45&gt;0,O$4,999)</f>
        <v/>
      </c>
      <c r="P51" s="51">
        <f>IF(P45&gt;0,P$4,999)</f>
        <v/>
      </c>
      <c r="Q51" s="51">
        <f>IF(Q45&gt;0,Q$4,999)</f>
        <v/>
      </c>
      <c r="R51" s="51">
        <f>IF(R45&gt;0,R$4,999)</f>
        <v/>
      </c>
      <c r="S51" s="51">
        <f>IF(S45&gt;0,S$4,999)</f>
        <v/>
      </c>
      <c r="T51" s="51">
        <f>IF(T45&gt;0,T$4,999)</f>
        <v/>
      </c>
      <c r="U51" s="51">
        <f>IF(U45&gt;0,U$4,999)</f>
        <v/>
      </c>
      <c r="V51" s="51">
        <f>IF(V45&gt;0,V$4,999)</f>
        <v/>
      </c>
      <c r="W51" s="51">
        <f>IF(W45&gt;0,W$4,999)</f>
        <v/>
      </c>
      <c r="X51" s="51">
        <f>IF(X45&gt;0,X$4,999)</f>
        <v/>
      </c>
      <c r="Y51" s="51">
        <f>IF(Y45&gt;0,Y$4,999)</f>
        <v/>
      </c>
      <c r="Z51" s="51">
        <f>IF(Z45&gt;0,Z$4,999)</f>
        <v/>
      </c>
      <c r="AA51" s="51">
        <f>IF(AA45&gt;0,AA$4,999)</f>
        <v/>
      </c>
      <c r="AB51" s="51">
        <f>IF(AB45&gt;0,AB$4,999)</f>
        <v/>
      </c>
      <c r="AC51" s="51">
        <f>IF(AC45&gt;0,AC$4,999)</f>
        <v/>
      </c>
      <c r="AD51" s="51">
        <f>IF(AD45&gt;0,AD$4,999)</f>
        <v/>
      </c>
      <c r="AE51" s="51">
        <f>IF(AE45&gt;0,AE$4,999)</f>
        <v/>
      </c>
      <c r="AF51" s="51">
        <f>IF(AF45&gt;0,AF$4,999)</f>
        <v/>
      </c>
      <c r="AG51" s="51">
        <f>IF(AG45&gt;0,AG$4,999)</f>
        <v/>
      </c>
      <c r="AH51" s="51">
        <f>IF(AH45&gt;0,AH$4,999)</f>
        <v/>
      </c>
      <c r="AI51" s="51">
        <f>IF(AI45&gt;0,AI$4,999)</f>
        <v/>
      </c>
      <c r="AJ51" s="51">
        <f>IF(AJ45&gt;0,AJ$4,999)</f>
        <v/>
      </c>
      <c r="AK51" s="51">
        <f>IF(AK45&gt;0,AK$4,999)</f>
        <v/>
      </c>
      <c r="AL51" s="51">
        <f>IF(AL45&gt;0,AL$4,999)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L5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2">
      <c r="B2" s="1" t="inlineStr">
        <is>
          <t>DiaBite — monthly model · Conservative case</t>
        </is>
      </c>
    </row>
    <row r="3">
      <c r="B3" s="2" t="inlineStr">
        <is>
          <t>Every figure is a formula reading column C of the Assumptions tab and the Team tab. Change an assumption and this sheet follows. Month 1 is November 2026.</t>
        </is>
      </c>
    </row>
    <row r="4">
      <c r="B4" s="12" t="inlineStr">
        <is>
          <t>Month</t>
        </is>
      </c>
      <c r="C4" s="21" t="n">
        <v>1</v>
      </c>
      <c r="D4" s="21" t="n">
        <v>2</v>
      </c>
      <c r="E4" s="21" t="n">
        <v>3</v>
      </c>
      <c r="F4" s="21" t="n">
        <v>4</v>
      </c>
      <c r="G4" s="21" t="n">
        <v>5</v>
      </c>
      <c r="H4" s="21" t="n">
        <v>6</v>
      </c>
      <c r="I4" s="21" t="n">
        <v>7</v>
      </c>
      <c r="J4" s="21" t="n">
        <v>8</v>
      </c>
      <c r="K4" s="21" t="n">
        <v>9</v>
      </c>
      <c r="L4" s="21" t="n">
        <v>10</v>
      </c>
      <c r="M4" s="21" t="n">
        <v>11</v>
      </c>
      <c r="N4" s="21" t="n">
        <v>12</v>
      </c>
      <c r="O4" s="21" t="n">
        <v>13</v>
      </c>
      <c r="P4" s="21" t="n">
        <v>14</v>
      </c>
      <c r="Q4" s="21" t="n">
        <v>15</v>
      </c>
      <c r="R4" s="21" t="n">
        <v>16</v>
      </c>
      <c r="S4" s="21" t="n">
        <v>17</v>
      </c>
      <c r="T4" s="21" t="n">
        <v>18</v>
      </c>
      <c r="U4" s="21" t="n">
        <v>19</v>
      </c>
      <c r="V4" s="21" t="n">
        <v>20</v>
      </c>
      <c r="W4" s="21" t="n">
        <v>21</v>
      </c>
      <c r="X4" s="21" t="n">
        <v>22</v>
      </c>
      <c r="Y4" s="21" t="n">
        <v>23</v>
      </c>
      <c r="Z4" s="21" t="n">
        <v>24</v>
      </c>
      <c r="AA4" s="21" t="n">
        <v>25</v>
      </c>
      <c r="AB4" s="21" t="n">
        <v>26</v>
      </c>
      <c r="AC4" s="21" t="n">
        <v>27</v>
      </c>
      <c r="AD4" s="21" t="n">
        <v>28</v>
      </c>
      <c r="AE4" s="21" t="n">
        <v>29</v>
      </c>
      <c r="AF4" s="21" t="n">
        <v>30</v>
      </c>
      <c r="AG4" s="21" t="n">
        <v>31</v>
      </c>
      <c r="AH4" s="21" t="n">
        <v>32</v>
      </c>
      <c r="AI4" s="21" t="n">
        <v>33</v>
      </c>
      <c r="AJ4" s="21" t="n">
        <v>34</v>
      </c>
      <c r="AK4" s="21" t="n">
        <v>35</v>
      </c>
      <c r="AL4" s="21" t="n">
        <v>36</v>
      </c>
    </row>
    <row r="5">
      <c r="B5" s="26" t="inlineStr">
        <is>
          <t>Year</t>
        </is>
      </c>
      <c r="C5" s="27">
        <f>MIN(3,ROUNDUP(C4/12,0))</f>
        <v/>
      </c>
      <c r="D5" s="27">
        <f>MIN(3,ROUNDUP(D4/12,0))</f>
        <v/>
      </c>
      <c r="E5" s="27">
        <f>MIN(3,ROUNDUP(E4/12,0))</f>
        <v/>
      </c>
      <c r="F5" s="27">
        <f>MIN(3,ROUNDUP(F4/12,0))</f>
        <v/>
      </c>
      <c r="G5" s="27">
        <f>MIN(3,ROUNDUP(G4/12,0))</f>
        <v/>
      </c>
      <c r="H5" s="27">
        <f>MIN(3,ROUNDUP(H4/12,0))</f>
        <v/>
      </c>
      <c r="I5" s="27">
        <f>MIN(3,ROUNDUP(I4/12,0))</f>
        <v/>
      </c>
      <c r="J5" s="27">
        <f>MIN(3,ROUNDUP(J4/12,0))</f>
        <v/>
      </c>
      <c r="K5" s="27">
        <f>MIN(3,ROUNDUP(K4/12,0))</f>
        <v/>
      </c>
      <c r="L5" s="27">
        <f>MIN(3,ROUNDUP(L4/12,0))</f>
        <v/>
      </c>
      <c r="M5" s="27">
        <f>MIN(3,ROUNDUP(M4/12,0))</f>
        <v/>
      </c>
      <c r="N5" s="27">
        <f>MIN(3,ROUNDUP(N4/12,0))</f>
        <v/>
      </c>
      <c r="O5" s="27">
        <f>MIN(3,ROUNDUP(O4/12,0))</f>
        <v/>
      </c>
      <c r="P5" s="27">
        <f>MIN(3,ROUNDUP(P4/12,0))</f>
        <v/>
      </c>
      <c r="Q5" s="27">
        <f>MIN(3,ROUNDUP(Q4/12,0))</f>
        <v/>
      </c>
      <c r="R5" s="27">
        <f>MIN(3,ROUNDUP(R4/12,0))</f>
        <v/>
      </c>
      <c r="S5" s="27">
        <f>MIN(3,ROUNDUP(S4/12,0))</f>
        <v/>
      </c>
      <c r="T5" s="27">
        <f>MIN(3,ROUNDUP(T4/12,0))</f>
        <v/>
      </c>
      <c r="U5" s="27">
        <f>MIN(3,ROUNDUP(U4/12,0))</f>
        <v/>
      </c>
      <c r="V5" s="27">
        <f>MIN(3,ROUNDUP(V4/12,0))</f>
        <v/>
      </c>
      <c r="W5" s="27">
        <f>MIN(3,ROUNDUP(W4/12,0))</f>
        <v/>
      </c>
      <c r="X5" s="27">
        <f>MIN(3,ROUNDUP(X4/12,0))</f>
        <v/>
      </c>
      <c r="Y5" s="27">
        <f>MIN(3,ROUNDUP(Y4/12,0))</f>
        <v/>
      </c>
      <c r="Z5" s="27">
        <f>MIN(3,ROUNDUP(Z4/12,0))</f>
        <v/>
      </c>
      <c r="AA5" s="27">
        <f>MIN(3,ROUNDUP(AA4/12,0))</f>
        <v/>
      </c>
      <c r="AB5" s="27">
        <f>MIN(3,ROUNDUP(AB4/12,0))</f>
        <v/>
      </c>
      <c r="AC5" s="27">
        <f>MIN(3,ROUNDUP(AC4/12,0))</f>
        <v/>
      </c>
      <c r="AD5" s="27">
        <f>MIN(3,ROUNDUP(AD4/12,0))</f>
        <v/>
      </c>
      <c r="AE5" s="27">
        <f>MIN(3,ROUNDUP(AE4/12,0))</f>
        <v/>
      </c>
      <c r="AF5" s="27">
        <f>MIN(3,ROUNDUP(AF4/12,0))</f>
        <v/>
      </c>
      <c r="AG5" s="27">
        <f>MIN(3,ROUNDUP(AG4/12,0))</f>
        <v/>
      </c>
      <c r="AH5" s="27">
        <f>MIN(3,ROUNDUP(AH4/12,0))</f>
        <v/>
      </c>
      <c r="AI5" s="27">
        <f>MIN(3,ROUNDUP(AI4/12,0))</f>
        <v/>
      </c>
      <c r="AJ5" s="27">
        <f>MIN(3,ROUNDUP(AJ4/12,0))</f>
        <v/>
      </c>
      <c r="AK5" s="27">
        <f>MIN(3,ROUNDUP(AK4/12,0))</f>
        <v/>
      </c>
      <c r="AL5" s="27">
        <f>MIN(3,ROUNDUP(AL4/12,0))</f>
        <v/>
      </c>
    </row>
    <row r="7">
      <c r="B7" s="28" t="inlineStr">
        <is>
          <t>ACQUISITION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</row>
    <row r="8">
      <c r="B8" s="8" t="inlineStr">
        <is>
          <t>Organic signups</t>
        </is>
      </c>
      <c r="C8" s="29">
        <f>IF(C$4&lt;Assumptions!$C$25,0,Assumptions!$C$26*(1+Assumptions!$C$27)^(C$4-Assumptions!$C$25))</f>
        <v/>
      </c>
      <c r="D8" s="29">
        <f>IF(D$4&lt;Assumptions!$C$25,0,Assumptions!$C$26*(1+Assumptions!$C$27)^(D$4-Assumptions!$C$25))</f>
        <v/>
      </c>
      <c r="E8" s="29">
        <f>IF(E$4&lt;Assumptions!$C$25,0,Assumptions!$C$26*(1+Assumptions!$C$27)^(E$4-Assumptions!$C$25))</f>
        <v/>
      </c>
      <c r="F8" s="29">
        <f>IF(F$4&lt;Assumptions!$C$25,0,Assumptions!$C$26*(1+Assumptions!$C$27)^(F$4-Assumptions!$C$25))</f>
        <v/>
      </c>
      <c r="G8" s="29">
        <f>IF(G$4&lt;Assumptions!$C$25,0,Assumptions!$C$26*(1+Assumptions!$C$27)^(G$4-Assumptions!$C$25))</f>
        <v/>
      </c>
      <c r="H8" s="29">
        <f>IF(H$4&lt;Assumptions!$C$25,0,Assumptions!$C$26*(1+Assumptions!$C$27)^(H$4-Assumptions!$C$25))</f>
        <v/>
      </c>
      <c r="I8" s="29">
        <f>IF(I$4&lt;Assumptions!$C$25,0,Assumptions!$C$26*(1+Assumptions!$C$27)^(I$4-Assumptions!$C$25))</f>
        <v/>
      </c>
      <c r="J8" s="29">
        <f>IF(J$4&lt;Assumptions!$C$25,0,Assumptions!$C$26*(1+Assumptions!$C$27)^(J$4-Assumptions!$C$25))</f>
        <v/>
      </c>
      <c r="K8" s="29">
        <f>IF(K$4&lt;Assumptions!$C$25,0,Assumptions!$C$26*(1+Assumptions!$C$27)^(K$4-Assumptions!$C$25))</f>
        <v/>
      </c>
      <c r="L8" s="29">
        <f>IF(L$4&lt;Assumptions!$C$25,0,Assumptions!$C$26*(1+Assumptions!$C$27)^(L$4-Assumptions!$C$25))</f>
        <v/>
      </c>
      <c r="M8" s="29">
        <f>IF(M$4&lt;Assumptions!$C$25,0,Assumptions!$C$26*(1+Assumptions!$C$27)^(M$4-Assumptions!$C$25))</f>
        <v/>
      </c>
      <c r="N8" s="29">
        <f>IF(N$4&lt;Assumptions!$C$25,0,Assumptions!$C$26*(1+Assumptions!$C$27)^(N$4-Assumptions!$C$25))</f>
        <v/>
      </c>
      <c r="O8" s="29">
        <f>IF(O$4&lt;Assumptions!$C$25,0,Assumptions!$C$26*(1+Assumptions!$C$27)^(O$4-Assumptions!$C$25))</f>
        <v/>
      </c>
      <c r="P8" s="29">
        <f>IF(P$4&lt;Assumptions!$C$25,0,Assumptions!$C$26*(1+Assumptions!$C$27)^(P$4-Assumptions!$C$25))</f>
        <v/>
      </c>
      <c r="Q8" s="29">
        <f>IF(Q$4&lt;Assumptions!$C$25,0,Assumptions!$C$26*(1+Assumptions!$C$27)^(Q$4-Assumptions!$C$25))</f>
        <v/>
      </c>
      <c r="R8" s="29">
        <f>IF(R$4&lt;Assumptions!$C$25,0,Assumptions!$C$26*(1+Assumptions!$C$27)^(R$4-Assumptions!$C$25))</f>
        <v/>
      </c>
      <c r="S8" s="29">
        <f>IF(S$4&lt;Assumptions!$C$25,0,Assumptions!$C$26*(1+Assumptions!$C$27)^(S$4-Assumptions!$C$25))</f>
        <v/>
      </c>
      <c r="T8" s="29">
        <f>IF(T$4&lt;Assumptions!$C$25,0,Assumptions!$C$26*(1+Assumptions!$C$27)^(T$4-Assumptions!$C$25))</f>
        <v/>
      </c>
      <c r="U8" s="29">
        <f>IF(U$4&lt;Assumptions!$C$25,0,Assumptions!$C$26*(1+Assumptions!$C$27)^(U$4-Assumptions!$C$25))</f>
        <v/>
      </c>
      <c r="V8" s="29">
        <f>IF(V$4&lt;Assumptions!$C$25,0,Assumptions!$C$26*(1+Assumptions!$C$27)^(V$4-Assumptions!$C$25))</f>
        <v/>
      </c>
      <c r="W8" s="29">
        <f>IF(W$4&lt;Assumptions!$C$25,0,Assumptions!$C$26*(1+Assumptions!$C$27)^(W$4-Assumptions!$C$25))</f>
        <v/>
      </c>
      <c r="X8" s="29">
        <f>IF(X$4&lt;Assumptions!$C$25,0,Assumptions!$C$26*(1+Assumptions!$C$27)^(X$4-Assumptions!$C$25))</f>
        <v/>
      </c>
      <c r="Y8" s="29">
        <f>IF(Y$4&lt;Assumptions!$C$25,0,Assumptions!$C$26*(1+Assumptions!$C$27)^(Y$4-Assumptions!$C$25))</f>
        <v/>
      </c>
      <c r="Z8" s="29">
        <f>IF(Z$4&lt;Assumptions!$C$25,0,Assumptions!$C$26*(1+Assumptions!$C$27)^(Z$4-Assumptions!$C$25))</f>
        <v/>
      </c>
      <c r="AA8" s="29">
        <f>IF(AA$4&lt;Assumptions!$C$25,0,Assumptions!$C$26*(1+Assumptions!$C$27)^(AA$4-Assumptions!$C$25))</f>
        <v/>
      </c>
      <c r="AB8" s="29">
        <f>IF(AB$4&lt;Assumptions!$C$25,0,Assumptions!$C$26*(1+Assumptions!$C$27)^(AB$4-Assumptions!$C$25))</f>
        <v/>
      </c>
      <c r="AC8" s="29">
        <f>IF(AC$4&lt;Assumptions!$C$25,0,Assumptions!$C$26*(1+Assumptions!$C$27)^(AC$4-Assumptions!$C$25))</f>
        <v/>
      </c>
      <c r="AD8" s="29">
        <f>IF(AD$4&lt;Assumptions!$C$25,0,Assumptions!$C$26*(1+Assumptions!$C$27)^(AD$4-Assumptions!$C$25))</f>
        <v/>
      </c>
      <c r="AE8" s="29">
        <f>IF(AE$4&lt;Assumptions!$C$25,0,Assumptions!$C$26*(1+Assumptions!$C$27)^(AE$4-Assumptions!$C$25))</f>
        <v/>
      </c>
      <c r="AF8" s="29">
        <f>IF(AF$4&lt;Assumptions!$C$25,0,Assumptions!$C$26*(1+Assumptions!$C$27)^(AF$4-Assumptions!$C$25))</f>
        <v/>
      </c>
      <c r="AG8" s="29">
        <f>IF(AG$4&lt;Assumptions!$C$25,0,Assumptions!$C$26*(1+Assumptions!$C$27)^(AG$4-Assumptions!$C$25))</f>
        <v/>
      </c>
      <c r="AH8" s="29">
        <f>IF(AH$4&lt;Assumptions!$C$25,0,Assumptions!$C$26*(1+Assumptions!$C$27)^(AH$4-Assumptions!$C$25))</f>
        <v/>
      </c>
      <c r="AI8" s="29">
        <f>IF(AI$4&lt;Assumptions!$C$25,0,Assumptions!$C$26*(1+Assumptions!$C$27)^(AI$4-Assumptions!$C$25))</f>
        <v/>
      </c>
      <c r="AJ8" s="29">
        <f>IF(AJ$4&lt;Assumptions!$C$25,0,Assumptions!$C$26*(1+Assumptions!$C$27)^(AJ$4-Assumptions!$C$25))</f>
        <v/>
      </c>
      <c r="AK8" s="29">
        <f>IF(AK$4&lt;Assumptions!$C$25,0,Assumptions!$C$26*(1+Assumptions!$C$27)^(AK$4-Assumptions!$C$25))</f>
        <v/>
      </c>
      <c r="AL8" s="29">
        <f>IF(AL$4&lt;Assumptions!$C$25,0,Assumptions!$C$26*(1+Assumptions!$C$27)^(AL$4-Assumptions!$C$25))</f>
        <v/>
      </c>
    </row>
    <row r="9">
      <c r="B9" s="8" t="inlineStr">
        <is>
          <t>Marketing spend</t>
        </is>
      </c>
      <c r="C9" s="22">
        <f>INDEX(Assumptions!$C$70:$C$76,MATCH(C$4,Assumptions!$B$70:$B$76,1))</f>
        <v/>
      </c>
      <c r="D9" s="22">
        <f>INDEX(Assumptions!$C$70:$C$76,MATCH(D$4,Assumptions!$B$70:$B$76,1))</f>
        <v/>
      </c>
      <c r="E9" s="22">
        <f>INDEX(Assumptions!$C$70:$C$76,MATCH(E$4,Assumptions!$B$70:$B$76,1))</f>
        <v/>
      </c>
      <c r="F9" s="22">
        <f>INDEX(Assumptions!$C$70:$C$76,MATCH(F$4,Assumptions!$B$70:$B$76,1))</f>
        <v/>
      </c>
      <c r="G9" s="22">
        <f>INDEX(Assumptions!$C$70:$C$76,MATCH(G$4,Assumptions!$B$70:$B$76,1))</f>
        <v/>
      </c>
      <c r="H9" s="22">
        <f>INDEX(Assumptions!$C$70:$C$76,MATCH(H$4,Assumptions!$B$70:$B$76,1))</f>
        <v/>
      </c>
      <c r="I9" s="22">
        <f>INDEX(Assumptions!$C$70:$C$76,MATCH(I$4,Assumptions!$B$70:$B$76,1))</f>
        <v/>
      </c>
      <c r="J9" s="22">
        <f>INDEX(Assumptions!$C$70:$C$76,MATCH(J$4,Assumptions!$B$70:$B$76,1))</f>
        <v/>
      </c>
      <c r="K9" s="22">
        <f>INDEX(Assumptions!$C$70:$C$76,MATCH(K$4,Assumptions!$B$70:$B$76,1))</f>
        <v/>
      </c>
      <c r="L9" s="22">
        <f>INDEX(Assumptions!$C$70:$C$76,MATCH(L$4,Assumptions!$B$70:$B$76,1))</f>
        <v/>
      </c>
      <c r="M9" s="22">
        <f>INDEX(Assumptions!$C$70:$C$76,MATCH(M$4,Assumptions!$B$70:$B$76,1))</f>
        <v/>
      </c>
      <c r="N9" s="22">
        <f>INDEX(Assumptions!$C$70:$C$76,MATCH(N$4,Assumptions!$B$70:$B$76,1))</f>
        <v/>
      </c>
      <c r="O9" s="22">
        <f>INDEX(Assumptions!$C$70:$C$76,MATCH(O$4,Assumptions!$B$70:$B$76,1))</f>
        <v/>
      </c>
      <c r="P9" s="22">
        <f>INDEX(Assumptions!$C$70:$C$76,MATCH(P$4,Assumptions!$B$70:$B$76,1))</f>
        <v/>
      </c>
      <c r="Q9" s="22">
        <f>INDEX(Assumptions!$C$70:$C$76,MATCH(Q$4,Assumptions!$B$70:$B$76,1))</f>
        <v/>
      </c>
      <c r="R9" s="22">
        <f>INDEX(Assumptions!$C$70:$C$76,MATCH(R$4,Assumptions!$B$70:$B$76,1))</f>
        <v/>
      </c>
      <c r="S9" s="22">
        <f>INDEX(Assumptions!$C$70:$C$76,MATCH(S$4,Assumptions!$B$70:$B$76,1))</f>
        <v/>
      </c>
      <c r="T9" s="22">
        <f>INDEX(Assumptions!$C$70:$C$76,MATCH(T$4,Assumptions!$B$70:$B$76,1))</f>
        <v/>
      </c>
      <c r="U9" s="22">
        <f>INDEX(Assumptions!$C$70:$C$76,MATCH(U$4,Assumptions!$B$70:$B$76,1))</f>
        <v/>
      </c>
      <c r="V9" s="22">
        <f>INDEX(Assumptions!$C$70:$C$76,MATCH(V$4,Assumptions!$B$70:$B$76,1))</f>
        <v/>
      </c>
      <c r="W9" s="22">
        <f>INDEX(Assumptions!$C$70:$C$76,MATCH(W$4,Assumptions!$B$70:$B$76,1))</f>
        <v/>
      </c>
      <c r="X9" s="22">
        <f>INDEX(Assumptions!$C$70:$C$76,MATCH(X$4,Assumptions!$B$70:$B$76,1))</f>
        <v/>
      </c>
      <c r="Y9" s="22">
        <f>INDEX(Assumptions!$C$70:$C$76,MATCH(Y$4,Assumptions!$B$70:$B$76,1))</f>
        <v/>
      </c>
      <c r="Z9" s="22">
        <f>INDEX(Assumptions!$C$70:$C$76,MATCH(Z$4,Assumptions!$B$70:$B$76,1))</f>
        <v/>
      </c>
      <c r="AA9" s="22">
        <f>INDEX(Assumptions!$C$70:$C$76,MATCH(AA$4,Assumptions!$B$70:$B$76,1))</f>
        <v/>
      </c>
      <c r="AB9" s="22">
        <f>INDEX(Assumptions!$C$70:$C$76,MATCH(AB$4,Assumptions!$B$70:$B$76,1))</f>
        <v/>
      </c>
      <c r="AC9" s="22">
        <f>INDEX(Assumptions!$C$70:$C$76,MATCH(AC$4,Assumptions!$B$70:$B$76,1))</f>
        <v/>
      </c>
      <c r="AD9" s="22">
        <f>INDEX(Assumptions!$C$70:$C$76,MATCH(AD$4,Assumptions!$B$70:$B$76,1))</f>
        <v/>
      </c>
      <c r="AE9" s="22">
        <f>INDEX(Assumptions!$C$70:$C$76,MATCH(AE$4,Assumptions!$B$70:$B$76,1))</f>
        <v/>
      </c>
      <c r="AF9" s="22">
        <f>INDEX(Assumptions!$C$70:$C$76,MATCH(AF$4,Assumptions!$B$70:$B$76,1))</f>
        <v/>
      </c>
      <c r="AG9" s="22">
        <f>INDEX(Assumptions!$C$70:$C$76,MATCH(AG$4,Assumptions!$B$70:$B$76,1))</f>
        <v/>
      </c>
      <c r="AH9" s="22">
        <f>INDEX(Assumptions!$C$70:$C$76,MATCH(AH$4,Assumptions!$B$70:$B$76,1))</f>
        <v/>
      </c>
      <c r="AI9" s="22">
        <f>INDEX(Assumptions!$C$70:$C$76,MATCH(AI$4,Assumptions!$B$70:$B$76,1))</f>
        <v/>
      </c>
      <c r="AJ9" s="22">
        <f>INDEX(Assumptions!$C$70:$C$76,MATCH(AJ$4,Assumptions!$B$70:$B$76,1))</f>
        <v/>
      </c>
      <c r="AK9" s="22">
        <f>INDEX(Assumptions!$C$70:$C$76,MATCH(AK$4,Assumptions!$B$70:$B$76,1))</f>
        <v/>
      </c>
      <c r="AL9" s="22">
        <f>INDEX(Assumptions!$C$70:$C$76,MATCH(AL$4,Assumptions!$B$70:$B$76,1))</f>
        <v/>
      </c>
    </row>
    <row r="10">
      <c r="B10" s="8" t="inlineStr">
        <is>
          <t>Cost per registered signup</t>
        </is>
      </c>
      <c r="C10" s="30">
        <f>INDEX(Assumptions!$C$32:$C$34,C$5)</f>
        <v/>
      </c>
      <c r="D10" s="30">
        <f>INDEX(Assumptions!$C$32:$C$34,D$5)</f>
        <v/>
      </c>
      <c r="E10" s="30">
        <f>INDEX(Assumptions!$C$32:$C$34,E$5)</f>
        <v/>
      </c>
      <c r="F10" s="30">
        <f>INDEX(Assumptions!$C$32:$C$34,F$5)</f>
        <v/>
      </c>
      <c r="G10" s="30">
        <f>INDEX(Assumptions!$C$32:$C$34,G$5)</f>
        <v/>
      </c>
      <c r="H10" s="30">
        <f>INDEX(Assumptions!$C$32:$C$34,H$5)</f>
        <v/>
      </c>
      <c r="I10" s="30">
        <f>INDEX(Assumptions!$C$32:$C$34,I$5)</f>
        <v/>
      </c>
      <c r="J10" s="30">
        <f>INDEX(Assumptions!$C$32:$C$34,J$5)</f>
        <v/>
      </c>
      <c r="K10" s="30">
        <f>INDEX(Assumptions!$C$32:$C$34,K$5)</f>
        <v/>
      </c>
      <c r="L10" s="30">
        <f>INDEX(Assumptions!$C$32:$C$34,L$5)</f>
        <v/>
      </c>
      <c r="M10" s="30">
        <f>INDEX(Assumptions!$C$32:$C$34,M$5)</f>
        <v/>
      </c>
      <c r="N10" s="30">
        <f>INDEX(Assumptions!$C$32:$C$34,N$5)</f>
        <v/>
      </c>
      <c r="O10" s="30">
        <f>INDEX(Assumptions!$C$32:$C$34,O$5)</f>
        <v/>
      </c>
      <c r="P10" s="30">
        <f>INDEX(Assumptions!$C$32:$C$34,P$5)</f>
        <v/>
      </c>
      <c r="Q10" s="30">
        <f>INDEX(Assumptions!$C$32:$C$34,Q$5)</f>
        <v/>
      </c>
      <c r="R10" s="30">
        <f>INDEX(Assumptions!$C$32:$C$34,R$5)</f>
        <v/>
      </c>
      <c r="S10" s="30">
        <f>INDEX(Assumptions!$C$32:$C$34,S$5)</f>
        <v/>
      </c>
      <c r="T10" s="30">
        <f>INDEX(Assumptions!$C$32:$C$34,T$5)</f>
        <v/>
      </c>
      <c r="U10" s="30">
        <f>INDEX(Assumptions!$C$32:$C$34,U$5)</f>
        <v/>
      </c>
      <c r="V10" s="30">
        <f>INDEX(Assumptions!$C$32:$C$34,V$5)</f>
        <v/>
      </c>
      <c r="W10" s="30">
        <f>INDEX(Assumptions!$C$32:$C$34,W$5)</f>
        <v/>
      </c>
      <c r="X10" s="30">
        <f>INDEX(Assumptions!$C$32:$C$34,X$5)</f>
        <v/>
      </c>
      <c r="Y10" s="30">
        <f>INDEX(Assumptions!$C$32:$C$34,Y$5)</f>
        <v/>
      </c>
      <c r="Z10" s="30">
        <f>INDEX(Assumptions!$C$32:$C$34,Z$5)</f>
        <v/>
      </c>
      <c r="AA10" s="30">
        <f>INDEX(Assumptions!$C$32:$C$34,AA$5)</f>
        <v/>
      </c>
      <c r="AB10" s="30">
        <f>INDEX(Assumptions!$C$32:$C$34,AB$5)</f>
        <v/>
      </c>
      <c r="AC10" s="30">
        <f>INDEX(Assumptions!$C$32:$C$34,AC$5)</f>
        <v/>
      </c>
      <c r="AD10" s="30">
        <f>INDEX(Assumptions!$C$32:$C$34,AD$5)</f>
        <v/>
      </c>
      <c r="AE10" s="30">
        <f>INDEX(Assumptions!$C$32:$C$34,AE$5)</f>
        <v/>
      </c>
      <c r="AF10" s="30">
        <f>INDEX(Assumptions!$C$32:$C$34,AF$5)</f>
        <v/>
      </c>
      <c r="AG10" s="30">
        <f>INDEX(Assumptions!$C$32:$C$34,AG$5)</f>
        <v/>
      </c>
      <c r="AH10" s="30">
        <f>INDEX(Assumptions!$C$32:$C$34,AH$5)</f>
        <v/>
      </c>
      <c r="AI10" s="30">
        <f>INDEX(Assumptions!$C$32:$C$34,AI$5)</f>
        <v/>
      </c>
      <c r="AJ10" s="30">
        <f>INDEX(Assumptions!$C$32:$C$34,AJ$5)</f>
        <v/>
      </c>
      <c r="AK10" s="30">
        <f>INDEX(Assumptions!$C$32:$C$34,AK$5)</f>
        <v/>
      </c>
      <c r="AL10" s="30">
        <f>INDEX(Assumptions!$C$32:$C$34,AL$5)</f>
        <v/>
      </c>
    </row>
    <row r="11">
      <c r="B11" s="8" t="inlineStr">
        <is>
          <t>Paid signups</t>
        </is>
      </c>
      <c r="C11" s="29">
        <f>IF(OR(C$4&lt;Assumptions!$C$25,C10=0),0,C9/C10)</f>
        <v/>
      </c>
      <c r="D11" s="29">
        <f>IF(OR(D$4&lt;Assumptions!$C$25,D10=0),0,D9/D10)</f>
        <v/>
      </c>
      <c r="E11" s="29">
        <f>IF(OR(E$4&lt;Assumptions!$C$25,E10=0),0,E9/E10)</f>
        <v/>
      </c>
      <c r="F11" s="29">
        <f>IF(OR(F$4&lt;Assumptions!$C$25,F10=0),0,F9/F10)</f>
        <v/>
      </c>
      <c r="G11" s="29">
        <f>IF(OR(G$4&lt;Assumptions!$C$25,G10=0),0,G9/G10)</f>
        <v/>
      </c>
      <c r="H11" s="29">
        <f>IF(OR(H$4&lt;Assumptions!$C$25,H10=0),0,H9/H10)</f>
        <v/>
      </c>
      <c r="I11" s="29">
        <f>IF(OR(I$4&lt;Assumptions!$C$25,I10=0),0,I9/I10)</f>
        <v/>
      </c>
      <c r="J11" s="29">
        <f>IF(OR(J$4&lt;Assumptions!$C$25,J10=0),0,J9/J10)</f>
        <v/>
      </c>
      <c r="K11" s="29">
        <f>IF(OR(K$4&lt;Assumptions!$C$25,K10=0),0,K9/K10)</f>
        <v/>
      </c>
      <c r="L11" s="29">
        <f>IF(OR(L$4&lt;Assumptions!$C$25,L10=0),0,L9/L10)</f>
        <v/>
      </c>
      <c r="M11" s="29">
        <f>IF(OR(M$4&lt;Assumptions!$C$25,M10=0),0,M9/M10)</f>
        <v/>
      </c>
      <c r="N11" s="29">
        <f>IF(OR(N$4&lt;Assumptions!$C$25,N10=0),0,N9/N10)</f>
        <v/>
      </c>
      <c r="O11" s="29">
        <f>IF(OR(O$4&lt;Assumptions!$C$25,O10=0),0,O9/O10)</f>
        <v/>
      </c>
      <c r="P11" s="29">
        <f>IF(OR(P$4&lt;Assumptions!$C$25,P10=0),0,P9/P10)</f>
        <v/>
      </c>
      <c r="Q11" s="29">
        <f>IF(OR(Q$4&lt;Assumptions!$C$25,Q10=0),0,Q9/Q10)</f>
        <v/>
      </c>
      <c r="R11" s="29">
        <f>IF(OR(R$4&lt;Assumptions!$C$25,R10=0),0,R9/R10)</f>
        <v/>
      </c>
      <c r="S11" s="29">
        <f>IF(OR(S$4&lt;Assumptions!$C$25,S10=0),0,S9/S10)</f>
        <v/>
      </c>
      <c r="T11" s="29">
        <f>IF(OR(T$4&lt;Assumptions!$C$25,T10=0),0,T9/T10)</f>
        <v/>
      </c>
      <c r="U11" s="29">
        <f>IF(OR(U$4&lt;Assumptions!$C$25,U10=0),0,U9/U10)</f>
        <v/>
      </c>
      <c r="V11" s="29">
        <f>IF(OR(V$4&lt;Assumptions!$C$25,V10=0),0,V9/V10)</f>
        <v/>
      </c>
      <c r="W11" s="29">
        <f>IF(OR(W$4&lt;Assumptions!$C$25,W10=0),0,W9/W10)</f>
        <v/>
      </c>
      <c r="X11" s="29">
        <f>IF(OR(X$4&lt;Assumptions!$C$25,X10=0),0,X9/X10)</f>
        <v/>
      </c>
      <c r="Y11" s="29">
        <f>IF(OR(Y$4&lt;Assumptions!$C$25,Y10=0),0,Y9/Y10)</f>
        <v/>
      </c>
      <c r="Z11" s="29">
        <f>IF(OR(Z$4&lt;Assumptions!$C$25,Z10=0),0,Z9/Z10)</f>
        <v/>
      </c>
      <c r="AA11" s="29">
        <f>IF(OR(AA$4&lt;Assumptions!$C$25,AA10=0),0,AA9/AA10)</f>
        <v/>
      </c>
      <c r="AB11" s="29">
        <f>IF(OR(AB$4&lt;Assumptions!$C$25,AB10=0),0,AB9/AB10)</f>
        <v/>
      </c>
      <c r="AC11" s="29">
        <f>IF(OR(AC$4&lt;Assumptions!$C$25,AC10=0),0,AC9/AC10)</f>
        <v/>
      </c>
      <c r="AD11" s="29">
        <f>IF(OR(AD$4&lt;Assumptions!$C$25,AD10=0),0,AD9/AD10)</f>
        <v/>
      </c>
      <c r="AE11" s="29">
        <f>IF(OR(AE$4&lt;Assumptions!$C$25,AE10=0),0,AE9/AE10)</f>
        <v/>
      </c>
      <c r="AF11" s="29">
        <f>IF(OR(AF$4&lt;Assumptions!$C$25,AF10=0),0,AF9/AF10)</f>
        <v/>
      </c>
      <c r="AG11" s="29">
        <f>IF(OR(AG$4&lt;Assumptions!$C$25,AG10=0),0,AG9/AG10)</f>
        <v/>
      </c>
      <c r="AH11" s="29">
        <f>IF(OR(AH$4&lt;Assumptions!$C$25,AH10=0),0,AH9/AH10)</f>
        <v/>
      </c>
      <c r="AI11" s="29">
        <f>IF(OR(AI$4&lt;Assumptions!$C$25,AI10=0),0,AI9/AI10)</f>
        <v/>
      </c>
      <c r="AJ11" s="29">
        <f>IF(OR(AJ$4&lt;Assumptions!$C$25,AJ10=0),0,AJ9/AJ10)</f>
        <v/>
      </c>
      <c r="AK11" s="29">
        <f>IF(OR(AK$4&lt;Assumptions!$C$25,AK10=0),0,AK9/AK10)</f>
        <v/>
      </c>
      <c r="AL11" s="29">
        <f>IF(OR(AL$4&lt;Assumptions!$C$25,AL10=0),0,AL9/AL10)</f>
        <v/>
      </c>
    </row>
    <row r="12">
      <c r="B12" s="8" t="inlineStr">
        <is>
          <t>Total registered signups</t>
        </is>
      </c>
      <c r="C12" s="29">
        <f>C8+C11</f>
        <v/>
      </c>
      <c r="D12" s="29">
        <f>D8+D11</f>
        <v/>
      </c>
      <c r="E12" s="29">
        <f>E8+E11</f>
        <v/>
      </c>
      <c r="F12" s="29">
        <f>F8+F11</f>
        <v/>
      </c>
      <c r="G12" s="29">
        <f>G8+G11</f>
        <v/>
      </c>
      <c r="H12" s="29">
        <f>H8+H11</f>
        <v/>
      </c>
      <c r="I12" s="29">
        <f>I8+I11</f>
        <v/>
      </c>
      <c r="J12" s="29">
        <f>J8+J11</f>
        <v/>
      </c>
      <c r="K12" s="29">
        <f>K8+K11</f>
        <v/>
      </c>
      <c r="L12" s="29">
        <f>L8+L11</f>
        <v/>
      </c>
      <c r="M12" s="29">
        <f>M8+M11</f>
        <v/>
      </c>
      <c r="N12" s="29">
        <f>N8+N11</f>
        <v/>
      </c>
      <c r="O12" s="29">
        <f>O8+O11</f>
        <v/>
      </c>
      <c r="P12" s="29">
        <f>P8+P11</f>
        <v/>
      </c>
      <c r="Q12" s="29">
        <f>Q8+Q11</f>
        <v/>
      </c>
      <c r="R12" s="29">
        <f>R8+R11</f>
        <v/>
      </c>
      <c r="S12" s="29">
        <f>S8+S11</f>
        <v/>
      </c>
      <c r="T12" s="29">
        <f>T8+T11</f>
        <v/>
      </c>
      <c r="U12" s="29">
        <f>U8+U11</f>
        <v/>
      </c>
      <c r="V12" s="29">
        <f>V8+V11</f>
        <v/>
      </c>
      <c r="W12" s="29">
        <f>W8+W11</f>
        <v/>
      </c>
      <c r="X12" s="29">
        <f>X8+X11</f>
        <v/>
      </c>
      <c r="Y12" s="29">
        <f>Y8+Y11</f>
        <v/>
      </c>
      <c r="Z12" s="29">
        <f>Z8+Z11</f>
        <v/>
      </c>
      <c r="AA12" s="29">
        <f>AA8+AA11</f>
        <v/>
      </c>
      <c r="AB12" s="29">
        <f>AB8+AB11</f>
        <v/>
      </c>
      <c r="AC12" s="29">
        <f>AC8+AC11</f>
        <v/>
      </c>
      <c r="AD12" s="29">
        <f>AD8+AD11</f>
        <v/>
      </c>
      <c r="AE12" s="29">
        <f>AE8+AE11</f>
        <v/>
      </c>
      <c r="AF12" s="29">
        <f>AF8+AF11</f>
        <v/>
      </c>
      <c r="AG12" s="29">
        <f>AG8+AG11</f>
        <v/>
      </c>
      <c r="AH12" s="29">
        <f>AH8+AH11</f>
        <v/>
      </c>
      <c r="AI12" s="29">
        <f>AI8+AI11</f>
        <v/>
      </c>
      <c r="AJ12" s="29">
        <f>AJ8+AJ11</f>
        <v/>
      </c>
      <c r="AK12" s="29">
        <f>AK8+AK11</f>
        <v/>
      </c>
      <c r="AL12" s="29">
        <f>AL8+AL11</f>
        <v/>
      </c>
    </row>
    <row r="13">
      <c r="B13" s="8" t="inlineStr">
        <is>
          <t>Free to paid conversion</t>
        </is>
      </c>
      <c r="C13" s="31">
        <f>INDEX(Assumptions!$C$37:$C$39,C$5)</f>
        <v/>
      </c>
      <c r="D13" s="31">
        <f>INDEX(Assumptions!$C$37:$C$39,D$5)</f>
        <v/>
      </c>
      <c r="E13" s="31">
        <f>INDEX(Assumptions!$C$37:$C$39,E$5)</f>
        <v/>
      </c>
      <c r="F13" s="31">
        <f>INDEX(Assumptions!$C$37:$C$39,F$5)</f>
        <v/>
      </c>
      <c r="G13" s="31">
        <f>INDEX(Assumptions!$C$37:$C$39,G$5)</f>
        <v/>
      </c>
      <c r="H13" s="31">
        <f>INDEX(Assumptions!$C$37:$C$39,H$5)</f>
        <v/>
      </c>
      <c r="I13" s="31">
        <f>INDEX(Assumptions!$C$37:$C$39,I$5)</f>
        <v/>
      </c>
      <c r="J13" s="31">
        <f>INDEX(Assumptions!$C$37:$C$39,J$5)</f>
        <v/>
      </c>
      <c r="K13" s="31">
        <f>INDEX(Assumptions!$C$37:$C$39,K$5)</f>
        <v/>
      </c>
      <c r="L13" s="31">
        <f>INDEX(Assumptions!$C$37:$C$39,L$5)</f>
        <v/>
      </c>
      <c r="M13" s="31">
        <f>INDEX(Assumptions!$C$37:$C$39,M$5)</f>
        <v/>
      </c>
      <c r="N13" s="31">
        <f>INDEX(Assumptions!$C$37:$C$39,N$5)</f>
        <v/>
      </c>
      <c r="O13" s="31">
        <f>INDEX(Assumptions!$C$37:$C$39,O$5)</f>
        <v/>
      </c>
      <c r="P13" s="31">
        <f>INDEX(Assumptions!$C$37:$C$39,P$5)</f>
        <v/>
      </c>
      <c r="Q13" s="31">
        <f>INDEX(Assumptions!$C$37:$C$39,Q$5)</f>
        <v/>
      </c>
      <c r="R13" s="31">
        <f>INDEX(Assumptions!$C$37:$C$39,R$5)</f>
        <v/>
      </c>
      <c r="S13" s="31">
        <f>INDEX(Assumptions!$C$37:$C$39,S$5)</f>
        <v/>
      </c>
      <c r="T13" s="31">
        <f>INDEX(Assumptions!$C$37:$C$39,T$5)</f>
        <v/>
      </c>
      <c r="U13" s="31">
        <f>INDEX(Assumptions!$C$37:$C$39,U$5)</f>
        <v/>
      </c>
      <c r="V13" s="31">
        <f>INDEX(Assumptions!$C$37:$C$39,V$5)</f>
        <v/>
      </c>
      <c r="W13" s="31">
        <f>INDEX(Assumptions!$C$37:$C$39,W$5)</f>
        <v/>
      </c>
      <c r="X13" s="31">
        <f>INDEX(Assumptions!$C$37:$C$39,X$5)</f>
        <v/>
      </c>
      <c r="Y13" s="31">
        <f>INDEX(Assumptions!$C$37:$C$39,Y$5)</f>
        <v/>
      </c>
      <c r="Z13" s="31">
        <f>INDEX(Assumptions!$C$37:$C$39,Z$5)</f>
        <v/>
      </c>
      <c r="AA13" s="31">
        <f>INDEX(Assumptions!$C$37:$C$39,AA$5)</f>
        <v/>
      </c>
      <c r="AB13" s="31">
        <f>INDEX(Assumptions!$C$37:$C$39,AB$5)</f>
        <v/>
      </c>
      <c r="AC13" s="31">
        <f>INDEX(Assumptions!$C$37:$C$39,AC$5)</f>
        <v/>
      </c>
      <c r="AD13" s="31">
        <f>INDEX(Assumptions!$C$37:$C$39,AD$5)</f>
        <v/>
      </c>
      <c r="AE13" s="31">
        <f>INDEX(Assumptions!$C$37:$C$39,AE$5)</f>
        <v/>
      </c>
      <c r="AF13" s="31">
        <f>INDEX(Assumptions!$C$37:$C$39,AF$5)</f>
        <v/>
      </c>
      <c r="AG13" s="31">
        <f>INDEX(Assumptions!$C$37:$C$39,AG$5)</f>
        <v/>
      </c>
      <c r="AH13" s="31">
        <f>INDEX(Assumptions!$C$37:$C$39,AH$5)</f>
        <v/>
      </c>
      <c r="AI13" s="31">
        <f>INDEX(Assumptions!$C$37:$C$39,AI$5)</f>
        <v/>
      </c>
      <c r="AJ13" s="31">
        <f>INDEX(Assumptions!$C$37:$C$39,AJ$5)</f>
        <v/>
      </c>
      <c r="AK13" s="31">
        <f>INDEX(Assumptions!$C$37:$C$39,AK$5)</f>
        <v/>
      </c>
      <c r="AL13" s="31">
        <f>INDEX(Assumptions!$C$37:$C$39,AL$5)</f>
        <v/>
      </c>
    </row>
    <row r="14">
      <c r="B14" s="8" t="inlineStr">
        <is>
          <t>Free users before upgrades</t>
        </is>
      </c>
      <c r="C14" s="29">
        <f>C12*(1-C13)</f>
        <v/>
      </c>
      <c r="D14" s="29">
        <f>C19*(1-Assumptions!$C$28)+D12*(1-D13)</f>
        <v/>
      </c>
      <c r="E14" s="29">
        <f>D19*(1-Assumptions!$C$28)+E12*(1-E13)</f>
        <v/>
      </c>
      <c r="F14" s="29">
        <f>E19*(1-Assumptions!$C$28)+F12*(1-F13)</f>
        <v/>
      </c>
      <c r="G14" s="29">
        <f>F19*(1-Assumptions!$C$28)+G12*(1-G13)</f>
        <v/>
      </c>
      <c r="H14" s="29">
        <f>G19*(1-Assumptions!$C$28)+H12*(1-H13)</f>
        <v/>
      </c>
      <c r="I14" s="29">
        <f>H19*(1-Assumptions!$C$28)+I12*(1-I13)</f>
        <v/>
      </c>
      <c r="J14" s="29">
        <f>I19*(1-Assumptions!$C$28)+J12*(1-J13)</f>
        <v/>
      </c>
      <c r="K14" s="29">
        <f>J19*(1-Assumptions!$C$28)+K12*(1-K13)</f>
        <v/>
      </c>
      <c r="L14" s="29">
        <f>K19*(1-Assumptions!$C$28)+L12*(1-L13)</f>
        <v/>
      </c>
      <c r="M14" s="29">
        <f>L19*(1-Assumptions!$C$28)+M12*(1-M13)</f>
        <v/>
      </c>
      <c r="N14" s="29">
        <f>M19*(1-Assumptions!$C$28)+N12*(1-N13)</f>
        <v/>
      </c>
      <c r="O14" s="29">
        <f>N19*(1-Assumptions!$C$28)+O12*(1-O13)</f>
        <v/>
      </c>
      <c r="P14" s="29">
        <f>O19*(1-Assumptions!$C$28)+P12*(1-P13)</f>
        <v/>
      </c>
      <c r="Q14" s="29">
        <f>P19*(1-Assumptions!$C$28)+Q12*(1-Q13)</f>
        <v/>
      </c>
      <c r="R14" s="29">
        <f>Q19*(1-Assumptions!$C$28)+R12*(1-R13)</f>
        <v/>
      </c>
      <c r="S14" s="29">
        <f>R19*(1-Assumptions!$C$28)+S12*(1-S13)</f>
        <v/>
      </c>
      <c r="T14" s="29">
        <f>S19*(1-Assumptions!$C$28)+T12*(1-T13)</f>
        <v/>
      </c>
      <c r="U14" s="29">
        <f>T19*(1-Assumptions!$C$28)+U12*(1-U13)</f>
        <v/>
      </c>
      <c r="V14" s="29">
        <f>U19*(1-Assumptions!$C$28)+V12*(1-V13)</f>
        <v/>
      </c>
      <c r="W14" s="29">
        <f>V19*(1-Assumptions!$C$28)+W12*(1-W13)</f>
        <v/>
      </c>
      <c r="X14" s="29">
        <f>W19*(1-Assumptions!$C$28)+X12*(1-X13)</f>
        <v/>
      </c>
      <c r="Y14" s="29">
        <f>X19*(1-Assumptions!$C$28)+Y12*(1-Y13)</f>
        <v/>
      </c>
      <c r="Z14" s="29">
        <f>Y19*(1-Assumptions!$C$28)+Z12*(1-Z13)</f>
        <v/>
      </c>
      <c r="AA14" s="29">
        <f>Z19*(1-Assumptions!$C$28)+AA12*(1-AA13)</f>
        <v/>
      </c>
      <c r="AB14" s="29">
        <f>AA19*(1-Assumptions!$C$28)+AB12*(1-AB13)</f>
        <v/>
      </c>
      <c r="AC14" s="29">
        <f>AB19*(1-Assumptions!$C$28)+AC12*(1-AC13)</f>
        <v/>
      </c>
      <c r="AD14" s="29">
        <f>AC19*(1-Assumptions!$C$28)+AD12*(1-AD13)</f>
        <v/>
      </c>
      <c r="AE14" s="29">
        <f>AD19*(1-Assumptions!$C$28)+AE12*(1-AE13)</f>
        <v/>
      </c>
      <c r="AF14" s="29">
        <f>AE19*(1-Assumptions!$C$28)+AF12*(1-AF13)</f>
        <v/>
      </c>
      <c r="AG14" s="29">
        <f>AF19*(1-Assumptions!$C$28)+AG12*(1-AG13)</f>
        <v/>
      </c>
      <c r="AH14" s="29">
        <f>AG19*(1-Assumptions!$C$28)+AH12*(1-AH13)</f>
        <v/>
      </c>
      <c r="AI14" s="29">
        <f>AH19*(1-Assumptions!$C$28)+AI12*(1-AI13)</f>
        <v/>
      </c>
      <c r="AJ14" s="29">
        <f>AI19*(1-Assumptions!$C$28)+AJ12*(1-AJ13)</f>
        <v/>
      </c>
      <c r="AK14" s="29">
        <f>AJ19*(1-Assumptions!$C$28)+AK12*(1-AK13)</f>
        <v/>
      </c>
      <c r="AL14" s="29">
        <f>AK19*(1-Assumptions!$C$28)+AL12*(1-AL13)</f>
        <v/>
      </c>
    </row>
    <row r="15">
      <c r="B15" s="8" t="inlineStr">
        <is>
          <t>Upgrades from the free base</t>
        </is>
      </c>
      <c r="C15" s="29">
        <f>C14*Assumptions!$C$29</f>
        <v/>
      </c>
      <c r="D15" s="29">
        <f>D14*Assumptions!$C$29</f>
        <v/>
      </c>
      <c r="E15" s="29">
        <f>E14*Assumptions!$C$29</f>
        <v/>
      </c>
      <c r="F15" s="29">
        <f>F14*Assumptions!$C$29</f>
        <v/>
      </c>
      <c r="G15" s="29">
        <f>G14*Assumptions!$C$29</f>
        <v/>
      </c>
      <c r="H15" s="29">
        <f>H14*Assumptions!$C$29</f>
        <v/>
      </c>
      <c r="I15" s="29">
        <f>I14*Assumptions!$C$29</f>
        <v/>
      </c>
      <c r="J15" s="29">
        <f>J14*Assumptions!$C$29</f>
        <v/>
      </c>
      <c r="K15" s="29">
        <f>K14*Assumptions!$C$29</f>
        <v/>
      </c>
      <c r="L15" s="29">
        <f>L14*Assumptions!$C$29</f>
        <v/>
      </c>
      <c r="M15" s="29">
        <f>M14*Assumptions!$C$29</f>
        <v/>
      </c>
      <c r="N15" s="29">
        <f>N14*Assumptions!$C$29</f>
        <v/>
      </c>
      <c r="O15" s="29">
        <f>O14*Assumptions!$C$29</f>
        <v/>
      </c>
      <c r="P15" s="29">
        <f>P14*Assumptions!$C$29</f>
        <v/>
      </c>
      <c r="Q15" s="29">
        <f>Q14*Assumptions!$C$29</f>
        <v/>
      </c>
      <c r="R15" s="29">
        <f>R14*Assumptions!$C$29</f>
        <v/>
      </c>
      <c r="S15" s="29">
        <f>S14*Assumptions!$C$29</f>
        <v/>
      </c>
      <c r="T15" s="29">
        <f>T14*Assumptions!$C$29</f>
        <v/>
      </c>
      <c r="U15" s="29">
        <f>U14*Assumptions!$C$29</f>
        <v/>
      </c>
      <c r="V15" s="29">
        <f>V14*Assumptions!$C$29</f>
        <v/>
      </c>
      <c r="W15" s="29">
        <f>W14*Assumptions!$C$29</f>
        <v/>
      </c>
      <c r="X15" s="29">
        <f>X14*Assumptions!$C$29</f>
        <v/>
      </c>
      <c r="Y15" s="29">
        <f>Y14*Assumptions!$C$29</f>
        <v/>
      </c>
      <c r="Z15" s="29">
        <f>Z14*Assumptions!$C$29</f>
        <v/>
      </c>
      <c r="AA15" s="29">
        <f>AA14*Assumptions!$C$29</f>
        <v/>
      </c>
      <c r="AB15" s="29">
        <f>AB14*Assumptions!$C$29</f>
        <v/>
      </c>
      <c r="AC15" s="29">
        <f>AC14*Assumptions!$C$29</f>
        <v/>
      </c>
      <c r="AD15" s="29">
        <f>AD14*Assumptions!$C$29</f>
        <v/>
      </c>
      <c r="AE15" s="29">
        <f>AE14*Assumptions!$C$29</f>
        <v/>
      </c>
      <c r="AF15" s="29">
        <f>AF14*Assumptions!$C$29</f>
        <v/>
      </c>
      <c r="AG15" s="29">
        <f>AG14*Assumptions!$C$29</f>
        <v/>
      </c>
      <c r="AH15" s="29">
        <f>AH14*Assumptions!$C$29</f>
        <v/>
      </c>
      <c r="AI15" s="29">
        <f>AI14*Assumptions!$C$29</f>
        <v/>
      </c>
      <c r="AJ15" s="29">
        <f>AJ14*Assumptions!$C$29</f>
        <v/>
      </c>
      <c r="AK15" s="29">
        <f>AK14*Assumptions!$C$29</f>
        <v/>
      </c>
      <c r="AL15" s="29">
        <f>AL14*Assumptions!$C$29</f>
        <v/>
      </c>
    </row>
    <row r="16">
      <c r="B16" s="8" t="inlineStr">
        <is>
          <t>New paying subscribers</t>
        </is>
      </c>
      <c r="C16" s="29">
        <f>C12*C13+C15</f>
        <v/>
      </c>
      <c r="D16" s="29">
        <f>D12*D13+D15</f>
        <v/>
      </c>
      <c r="E16" s="29">
        <f>E12*E13+E15</f>
        <v/>
      </c>
      <c r="F16" s="29">
        <f>F12*F13+F15</f>
        <v/>
      </c>
      <c r="G16" s="29">
        <f>G12*G13+G15</f>
        <v/>
      </c>
      <c r="H16" s="29">
        <f>H12*H13+H15</f>
        <v/>
      </c>
      <c r="I16" s="29">
        <f>I12*I13+I15</f>
        <v/>
      </c>
      <c r="J16" s="29">
        <f>J12*J13+J15</f>
        <v/>
      </c>
      <c r="K16" s="29">
        <f>K12*K13+K15</f>
        <v/>
      </c>
      <c r="L16" s="29">
        <f>L12*L13+L15</f>
        <v/>
      </c>
      <c r="M16" s="29">
        <f>M12*M13+M15</f>
        <v/>
      </c>
      <c r="N16" s="29">
        <f>N12*N13+N15</f>
        <v/>
      </c>
      <c r="O16" s="29">
        <f>O12*O13+O15</f>
        <v/>
      </c>
      <c r="P16" s="29">
        <f>P12*P13+P15</f>
        <v/>
      </c>
      <c r="Q16" s="29">
        <f>Q12*Q13+Q15</f>
        <v/>
      </c>
      <c r="R16" s="29">
        <f>R12*R13+R15</f>
        <v/>
      </c>
      <c r="S16" s="29">
        <f>S12*S13+S15</f>
        <v/>
      </c>
      <c r="T16" s="29">
        <f>T12*T13+T15</f>
        <v/>
      </c>
      <c r="U16" s="29">
        <f>U12*U13+U15</f>
        <v/>
      </c>
      <c r="V16" s="29">
        <f>V12*V13+V15</f>
        <v/>
      </c>
      <c r="W16" s="29">
        <f>W12*W13+W15</f>
        <v/>
      </c>
      <c r="X16" s="29">
        <f>X12*X13+X15</f>
        <v/>
      </c>
      <c r="Y16" s="29">
        <f>Y12*Y13+Y15</f>
        <v/>
      </c>
      <c r="Z16" s="29">
        <f>Z12*Z13+Z15</f>
        <v/>
      </c>
      <c r="AA16" s="29">
        <f>AA12*AA13+AA15</f>
        <v/>
      </c>
      <c r="AB16" s="29">
        <f>AB12*AB13+AB15</f>
        <v/>
      </c>
      <c r="AC16" s="29">
        <f>AC12*AC13+AC15</f>
        <v/>
      </c>
      <c r="AD16" s="29">
        <f>AD12*AD13+AD15</f>
        <v/>
      </c>
      <c r="AE16" s="29">
        <f>AE12*AE13+AE15</f>
        <v/>
      </c>
      <c r="AF16" s="29">
        <f>AF12*AF13+AF15</f>
        <v/>
      </c>
      <c r="AG16" s="29">
        <f>AG12*AG13+AG15</f>
        <v/>
      </c>
      <c r="AH16" s="29">
        <f>AH12*AH13+AH15</f>
        <v/>
      </c>
      <c r="AI16" s="29">
        <f>AI12*AI13+AI15</f>
        <v/>
      </c>
      <c r="AJ16" s="29">
        <f>AJ12*AJ13+AJ15</f>
        <v/>
      </c>
      <c r="AK16" s="29">
        <f>AK12*AK13+AK15</f>
        <v/>
      </c>
      <c r="AL16" s="29">
        <f>AL12*AL13+AL15</f>
        <v/>
      </c>
    </row>
    <row r="18">
      <c r="B18" s="28" t="inlineStr">
        <is>
          <t>SUBSCRIBERS, END OF MONTH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</row>
    <row r="19">
      <c r="B19" s="8" t="inlineStr">
        <is>
          <t>Free users</t>
        </is>
      </c>
      <c r="C19" s="29">
        <f>C14-C15</f>
        <v/>
      </c>
      <c r="D19" s="29">
        <f>D14-D15</f>
        <v/>
      </c>
      <c r="E19" s="29">
        <f>E14-E15</f>
        <v/>
      </c>
      <c r="F19" s="29">
        <f>F14-F15</f>
        <v/>
      </c>
      <c r="G19" s="29">
        <f>G14-G15</f>
        <v/>
      </c>
      <c r="H19" s="29">
        <f>H14-H15</f>
        <v/>
      </c>
      <c r="I19" s="29">
        <f>I14-I15</f>
        <v/>
      </c>
      <c r="J19" s="29">
        <f>J14-J15</f>
        <v/>
      </c>
      <c r="K19" s="29">
        <f>K14-K15</f>
        <v/>
      </c>
      <c r="L19" s="29">
        <f>L14-L15</f>
        <v/>
      </c>
      <c r="M19" s="29">
        <f>M14-M15</f>
        <v/>
      </c>
      <c r="N19" s="29">
        <f>N14-N15</f>
        <v/>
      </c>
      <c r="O19" s="29">
        <f>O14-O15</f>
        <v/>
      </c>
      <c r="P19" s="29">
        <f>P14-P15</f>
        <v/>
      </c>
      <c r="Q19" s="29">
        <f>Q14-Q15</f>
        <v/>
      </c>
      <c r="R19" s="29">
        <f>R14-R15</f>
        <v/>
      </c>
      <c r="S19" s="29">
        <f>S14-S15</f>
        <v/>
      </c>
      <c r="T19" s="29">
        <f>T14-T15</f>
        <v/>
      </c>
      <c r="U19" s="29">
        <f>U14-U15</f>
        <v/>
      </c>
      <c r="V19" s="29">
        <f>V14-V15</f>
        <v/>
      </c>
      <c r="W19" s="29">
        <f>W14-W15</f>
        <v/>
      </c>
      <c r="X19" s="29">
        <f>X14-X15</f>
        <v/>
      </c>
      <c r="Y19" s="29">
        <f>Y14-Y15</f>
        <v/>
      </c>
      <c r="Z19" s="29">
        <f>Z14-Z15</f>
        <v/>
      </c>
      <c r="AA19" s="29">
        <f>AA14-AA15</f>
        <v/>
      </c>
      <c r="AB19" s="29">
        <f>AB14-AB15</f>
        <v/>
      </c>
      <c r="AC19" s="29">
        <f>AC14-AC15</f>
        <v/>
      </c>
      <c r="AD19" s="29">
        <f>AD14-AD15</f>
        <v/>
      </c>
      <c r="AE19" s="29">
        <f>AE14-AE15</f>
        <v/>
      </c>
      <c r="AF19" s="29">
        <f>AF14-AF15</f>
        <v/>
      </c>
      <c r="AG19" s="29">
        <f>AG14-AG15</f>
        <v/>
      </c>
      <c r="AH19" s="29">
        <f>AH14-AH15</f>
        <v/>
      </c>
      <c r="AI19" s="29">
        <f>AI14-AI15</f>
        <v/>
      </c>
      <c r="AJ19" s="29">
        <f>AJ14-AJ15</f>
        <v/>
      </c>
      <c r="AK19" s="29">
        <f>AK14-AK15</f>
        <v/>
      </c>
      <c r="AL19" s="29">
        <f>AL14-AL15</f>
        <v/>
      </c>
    </row>
    <row r="20">
      <c r="B20" s="8" t="inlineStr">
        <is>
          <t>Monthly-plan subscribers</t>
        </is>
      </c>
      <c r="C20" s="29">
        <f>C16*Assumptions!$C$13</f>
        <v/>
      </c>
      <c r="D20" s="29">
        <f>C20*(1-INDEX(Assumptions!$C$42:$C$44,D$5))+D16*Assumptions!$C$13</f>
        <v/>
      </c>
      <c r="E20" s="29">
        <f>D20*(1-INDEX(Assumptions!$C$42:$C$44,E$5))+E16*Assumptions!$C$13</f>
        <v/>
      </c>
      <c r="F20" s="29">
        <f>E20*(1-INDEX(Assumptions!$C$42:$C$44,F$5))+F16*Assumptions!$C$13</f>
        <v/>
      </c>
      <c r="G20" s="29">
        <f>F20*(1-INDEX(Assumptions!$C$42:$C$44,G$5))+G16*Assumptions!$C$13</f>
        <v/>
      </c>
      <c r="H20" s="29">
        <f>G20*(1-INDEX(Assumptions!$C$42:$C$44,H$5))+H16*Assumptions!$C$13</f>
        <v/>
      </c>
      <c r="I20" s="29">
        <f>H20*(1-INDEX(Assumptions!$C$42:$C$44,I$5))+I16*Assumptions!$C$13</f>
        <v/>
      </c>
      <c r="J20" s="29">
        <f>I20*(1-INDEX(Assumptions!$C$42:$C$44,J$5))+J16*Assumptions!$C$13</f>
        <v/>
      </c>
      <c r="K20" s="29">
        <f>J20*(1-INDEX(Assumptions!$C$42:$C$44,K$5))+K16*Assumptions!$C$13</f>
        <v/>
      </c>
      <c r="L20" s="29">
        <f>K20*(1-INDEX(Assumptions!$C$42:$C$44,L$5))+L16*Assumptions!$C$13</f>
        <v/>
      </c>
      <c r="M20" s="29">
        <f>L20*(1-INDEX(Assumptions!$C$42:$C$44,M$5))+M16*Assumptions!$C$13</f>
        <v/>
      </c>
      <c r="N20" s="29">
        <f>M20*(1-INDEX(Assumptions!$C$42:$C$44,N$5))+N16*Assumptions!$C$13</f>
        <v/>
      </c>
      <c r="O20" s="29">
        <f>N20*(1-INDEX(Assumptions!$C$42:$C$44,O$5))+O16*Assumptions!$C$13</f>
        <v/>
      </c>
      <c r="P20" s="29">
        <f>O20*(1-INDEX(Assumptions!$C$42:$C$44,P$5))+P16*Assumptions!$C$13</f>
        <v/>
      </c>
      <c r="Q20" s="29">
        <f>P20*(1-INDEX(Assumptions!$C$42:$C$44,Q$5))+Q16*Assumptions!$C$13</f>
        <v/>
      </c>
      <c r="R20" s="29">
        <f>Q20*(1-INDEX(Assumptions!$C$42:$C$44,R$5))+R16*Assumptions!$C$13</f>
        <v/>
      </c>
      <c r="S20" s="29">
        <f>R20*(1-INDEX(Assumptions!$C$42:$C$44,S$5))+S16*Assumptions!$C$13</f>
        <v/>
      </c>
      <c r="T20" s="29">
        <f>S20*(1-INDEX(Assumptions!$C$42:$C$44,T$5))+T16*Assumptions!$C$13</f>
        <v/>
      </c>
      <c r="U20" s="29">
        <f>T20*(1-INDEX(Assumptions!$C$42:$C$44,U$5))+U16*Assumptions!$C$13</f>
        <v/>
      </c>
      <c r="V20" s="29">
        <f>U20*(1-INDEX(Assumptions!$C$42:$C$44,V$5))+V16*Assumptions!$C$13</f>
        <v/>
      </c>
      <c r="W20" s="29">
        <f>V20*(1-INDEX(Assumptions!$C$42:$C$44,W$5))+W16*Assumptions!$C$13</f>
        <v/>
      </c>
      <c r="X20" s="29">
        <f>W20*(1-INDEX(Assumptions!$C$42:$C$44,X$5))+X16*Assumptions!$C$13</f>
        <v/>
      </c>
      <c r="Y20" s="29">
        <f>X20*(1-INDEX(Assumptions!$C$42:$C$44,Y$5))+Y16*Assumptions!$C$13</f>
        <v/>
      </c>
      <c r="Z20" s="29">
        <f>Y20*(1-INDEX(Assumptions!$C$42:$C$44,Z$5))+Z16*Assumptions!$C$13</f>
        <v/>
      </c>
      <c r="AA20" s="29">
        <f>Z20*(1-INDEX(Assumptions!$C$42:$C$44,AA$5))+AA16*Assumptions!$C$13</f>
        <v/>
      </c>
      <c r="AB20" s="29">
        <f>AA20*(1-INDEX(Assumptions!$C$42:$C$44,AB$5))+AB16*Assumptions!$C$13</f>
        <v/>
      </c>
      <c r="AC20" s="29">
        <f>AB20*(1-INDEX(Assumptions!$C$42:$C$44,AC$5))+AC16*Assumptions!$C$13</f>
        <v/>
      </c>
      <c r="AD20" s="29">
        <f>AC20*(1-INDEX(Assumptions!$C$42:$C$44,AD$5))+AD16*Assumptions!$C$13</f>
        <v/>
      </c>
      <c r="AE20" s="29">
        <f>AD20*(1-INDEX(Assumptions!$C$42:$C$44,AE$5))+AE16*Assumptions!$C$13</f>
        <v/>
      </c>
      <c r="AF20" s="29">
        <f>AE20*(1-INDEX(Assumptions!$C$42:$C$44,AF$5))+AF16*Assumptions!$C$13</f>
        <v/>
      </c>
      <c r="AG20" s="29">
        <f>AF20*(1-INDEX(Assumptions!$C$42:$C$44,AG$5))+AG16*Assumptions!$C$13</f>
        <v/>
      </c>
      <c r="AH20" s="29">
        <f>AG20*(1-INDEX(Assumptions!$C$42:$C$44,AH$5))+AH16*Assumptions!$C$13</f>
        <v/>
      </c>
      <c r="AI20" s="29">
        <f>AH20*(1-INDEX(Assumptions!$C$42:$C$44,AI$5))+AI16*Assumptions!$C$13</f>
        <v/>
      </c>
      <c r="AJ20" s="29">
        <f>AI20*(1-INDEX(Assumptions!$C$42:$C$44,AJ$5))+AJ16*Assumptions!$C$13</f>
        <v/>
      </c>
      <c r="AK20" s="29">
        <f>AJ20*(1-INDEX(Assumptions!$C$42:$C$44,AK$5))+AK16*Assumptions!$C$13</f>
        <v/>
      </c>
      <c r="AL20" s="29">
        <f>AK20*(1-INDEX(Assumptions!$C$42:$C$44,AL$5))+AL16*Assumptions!$C$13</f>
        <v/>
      </c>
    </row>
    <row r="21">
      <c r="B21" s="8" t="inlineStr">
        <is>
          <t>Annual-plan subscribers</t>
        </is>
      </c>
      <c r="C21" s="29">
        <f>C16*(1-Assumptions!$C$13)</f>
        <v/>
      </c>
      <c r="D21" s="29">
        <f>C21*(1-(1-INDEX(Assumptions!$C$47:$C$49,D$5))/12)+D16*(1-Assumptions!$C$13)</f>
        <v/>
      </c>
      <c r="E21" s="29">
        <f>D21*(1-(1-INDEX(Assumptions!$C$47:$C$49,E$5))/12)+E16*(1-Assumptions!$C$13)</f>
        <v/>
      </c>
      <c r="F21" s="29">
        <f>E21*(1-(1-INDEX(Assumptions!$C$47:$C$49,F$5))/12)+F16*(1-Assumptions!$C$13)</f>
        <v/>
      </c>
      <c r="G21" s="29">
        <f>F21*(1-(1-INDEX(Assumptions!$C$47:$C$49,G$5))/12)+G16*(1-Assumptions!$C$13)</f>
        <v/>
      </c>
      <c r="H21" s="29">
        <f>G21*(1-(1-INDEX(Assumptions!$C$47:$C$49,H$5))/12)+H16*(1-Assumptions!$C$13)</f>
        <v/>
      </c>
      <c r="I21" s="29">
        <f>H21*(1-(1-INDEX(Assumptions!$C$47:$C$49,I$5))/12)+I16*(1-Assumptions!$C$13)</f>
        <v/>
      </c>
      <c r="J21" s="29">
        <f>I21*(1-(1-INDEX(Assumptions!$C$47:$C$49,J$5))/12)+J16*(1-Assumptions!$C$13)</f>
        <v/>
      </c>
      <c r="K21" s="29">
        <f>J21*(1-(1-INDEX(Assumptions!$C$47:$C$49,K$5))/12)+K16*(1-Assumptions!$C$13)</f>
        <v/>
      </c>
      <c r="L21" s="29">
        <f>K21*(1-(1-INDEX(Assumptions!$C$47:$C$49,L$5))/12)+L16*(1-Assumptions!$C$13)</f>
        <v/>
      </c>
      <c r="M21" s="29">
        <f>L21*(1-(1-INDEX(Assumptions!$C$47:$C$49,M$5))/12)+M16*(1-Assumptions!$C$13)</f>
        <v/>
      </c>
      <c r="N21" s="29">
        <f>M21*(1-(1-INDEX(Assumptions!$C$47:$C$49,N$5))/12)+N16*(1-Assumptions!$C$13)</f>
        <v/>
      </c>
      <c r="O21" s="29">
        <f>N21*(1-(1-INDEX(Assumptions!$C$47:$C$49,O$5))/12)+O16*(1-Assumptions!$C$13)</f>
        <v/>
      </c>
      <c r="P21" s="29">
        <f>O21*(1-(1-INDEX(Assumptions!$C$47:$C$49,P$5))/12)+P16*(1-Assumptions!$C$13)</f>
        <v/>
      </c>
      <c r="Q21" s="29">
        <f>P21*(1-(1-INDEX(Assumptions!$C$47:$C$49,Q$5))/12)+Q16*(1-Assumptions!$C$13)</f>
        <v/>
      </c>
      <c r="R21" s="29">
        <f>Q21*(1-(1-INDEX(Assumptions!$C$47:$C$49,R$5))/12)+R16*(1-Assumptions!$C$13)</f>
        <v/>
      </c>
      <c r="S21" s="29">
        <f>R21*(1-(1-INDEX(Assumptions!$C$47:$C$49,S$5))/12)+S16*(1-Assumptions!$C$13)</f>
        <v/>
      </c>
      <c r="T21" s="29">
        <f>S21*(1-(1-INDEX(Assumptions!$C$47:$C$49,T$5))/12)+T16*(1-Assumptions!$C$13)</f>
        <v/>
      </c>
      <c r="U21" s="29">
        <f>T21*(1-(1-INDEX(Assumptions!$C$47:$C$49,U$5))/12)+U16*(1-Assumptions!$C$13)</f>
        <v/>
      </c>
      <c r="V21" s="29">
        <f>U21*(1-(1-INDEX(Assumptions!$C$47:$C$49,V$5))/12)+V16*(1-Assumptions!$C$13)</f>
        <v/>
      </c>
      <c r="W21" s="29">
        <f>V21*(1-(1-INDEX(Assumptions!$C$47:$C$49,W$5))/12)+W16*(1-Assumptions!$C$13)</f>
        <v/>
      </c>
      <c r="X21" s="29">
        <f>W21*(1-(1-INDEX(Assumptions!$C$47:$C$49,X$5))/12)+X16*(1-Assumptions!$C$13)</f>
        <v/>
      </c>
      <c r="Y21" s="29">
        <f>X21*(1-(1-INDEX(Assumptions!$C$47:$C$49,Y$5))/12)+Y16*(1-Assumptions!$C$13)</f>
        <v/>
      </c>
      <c r="Z21" s="29">
        <f>Y21*(1-(1-INDEX(Assumptions!$C$47:$C$49,Z$5))/12)+Z16*(1-Assumptions!$C$13)</f>
        <v/>
      </c>
      <c r="AA21" s="29">
        <f>Z21*(1-(1-INDEX(Assumptions!$C$47:$C$49,AA$5))/12)+AA16*(1-Assumptions!$C$13)</f>
        <v/>
      </c>
      <c r="AB21" s="29">
        <f>AA21*(1-(1-INDEX(Assumptions!$C$47:$C$49,AB$5))/12)+AB16*(1-Assumptions!$C$13)</f>
        <v/>
      </c>
      <c r="AC21" s="29">
        <f>AB21*(1-(1-INDEX(Assumptions!$C$47:$C$49,AC$5))/12)+AC16*(1-Assumptions!$C$13)</f>
        <v/>
      </c>
      <c r="AD21" s="29">
        <f>AC21*(1-(1-INDEX(Assumptions!$C$47:$C$49,AD$5))/12)+AD16*(1-Assumptions!$C$13)</f>
        <v/>
      </c>
      <c r="AE21" s="29">
        <f>AD21*(1-(1-INDEX(Assumptions!$C$47:$C$49,AE$5))/12)+AE16*(1-Assumptions!$C$13)</f>
        <v/>
      </c>
      <c r="AF21" s="29">
        <f>AE21*(1-(1-INDEX(Assumptions!$C$47:$C$49,AF$5))/12)+AF16*(1-Assumptions!$C$13)</f>
        <v/>
      </c>
      <c r="AG21" s="29">
        <f>AF21*(1-(1-INDEX(Assumptions!$C$47:$C$49,AG$5))/12)+AG16*(1-Assumptions!$C$13)</f>
        <v/>
      </c>
      <c r="AH21" s="29">
        <f>AG21*(1-(1-INDEX(Assumptions!$C$47:$C$49,AH$5))/12)+AH16*(1-Assumptions!$C$13)</f>
        <v/>
      </c>
      <c r="AI21" s="29">
        <f>AH21*(1-(1-INDEX(Assumptions!$C$47:$C$49,AI$5))/12)+AI16*(1-Assumptions!$C$13)</f>
        <v/>
      </c>
      <c r="AJ21" s="29">
        <f>AI21*(1-(1-INDEX(Assumptions!$C$47:$C$49,AJ$5))/12)+AJ16*(1-Assumptions!$C$13)</f>
        <v/>
      </c>
      <c r="AK21" s="29">
        <f>AJ21*(1-(1-INDEX(Assumptions!$C$47:$C$49,AK$5))/12)+AK16*(1-Assumptions!$C$13)</f>
        <v/>
      </c>
      <c r="AL21" s="29">
        <f>AK21*(1-(1-INDEX(Assumptions!$C$47:$C$49,AL$5))/12)+AL16*(1-Assumptions!$C$13)</f>
        <v/>
      </c>
    </row>
    <row r="22">
      <c r="B22" s="5" t="inlineStr">
        <is>
          <t>Total paying subscribers</t>
        </is>
      </c>
      <c r="C22" s="32">
        <f>C20+C21</f>
        <v/>
      </c>
      <c r="D22" s="32">
        <f>D20+D21</f>
        <v/>
      </c>
      <c r="E22" s="32">
        <f>E20+E21</f>
        <v/>
      </c>
      <c r="F22" s="32">
        <f>F20+F21</f>
        <v/>
      </c>
      <c r="G22" s="32">
        <f>G20+G21</f>
        <v/>
      </c>
      <c r="H22" s="32">
        <f>H20+H21</f>
        <v/>
      </c>
      <c r="I22" s="32">
        <f>I20+I21</f>
        <v/>
      </c>
      <c r="J22" s="32">
        <f>J20+J21</f>
        <v/>
      </c>
      <c r="K22" s="32">
        <f>K20+K21</f>
        <v/>
      </c>
      <c r="L22" s="32">
        <f>L20+L21</f>
        <v/>
      </c>
      <c r="M22" s="32">
        <f>M20+M21</f>
        <v/>
      </c>
      <c r="N22" s="32">
        <f>N20+N21</f>
        <v/>
      </c>
      <c r="O22" s="32">
        <f>O20+O21</f>
        <v/>
      </c>
      <c r="P22" s="32">
        <f>P20+P21</f>
        <v/>
      </c>
      <c r="Q22" s="32">
        <f>Q20+Q21</f>
        <v/>
      </c>
      <c r="R22" s="32">
        <f>R20+R21</f>
        <v/>
      </c>
      <c r="S22" s="32">
        <f>S20+S21</f>
        <v/>
      </c>
      <c r="T22" s="32">
        <f>T20+T21</f>
        <v/>
      </c>
      <c r="U22" s="32">
        <f>U20+U21</f>
        <v/>
      </c>
      <c r="V22" s="32">
        <f>V20+V21</f>
        <v/>
      </c>
      <c r="W22" s="32">
        <f>W20+W21</f>
        <v/>
      </c>
      <c r="X22" s="32">
        <f>X20+X21</f>
        <v/>
      </c>
      <c r="Y22" s="32">
        <f>Y20+Y21</f>
        <v/>
      </c>
      <c r="Z22" s="32">
        <f>Z20+Z21</f>
        <v/>
      </c>
      <c r="AA22" s="32">
        <f>AA20+AA21</f>
        <v/>
      </c>
      <c r="AB22" s="32">
        <f>AB20+AB21</f>
        <v/>
      </c>
      <c r="AC22" s="32">
        <f>AC20+AC21</f>
        <v/>
      </c>
      <c r="AD22" s="32">
        <f>AD20+AD21</f>
        <v/>
      </c>
      <c r="AE22" s="32">
        <f>AE20+AE21</f>
        <v/>
      </c>
      <c r="AF22" s="32">
        <f>AF20+AF21</f>
        <v/>
      </c>
      <c r="AG22" s="32">
        <f>AG20+AG21</f>
        <v/>
      </c>
      <c r="AH22" s="32">
        <f>AH20+AH21</f>
        <v/>
      </c>
      <c r="AI22" s="32">
        <f>AI20+AI21</f>
        <v/>
      </c>
      <c r="AJ22" s="32">
        <f>AJ20+AJ21</f>
        <v/>
      </c>
      <c r="AK22" s="32">
        <f>AK20+AK21</f>
        <v/>
      </c>
      <c r="AL22" s="32">
        <f>AL20+AL21</f>
        <v/>
      </c>
    </row>
    <row r="23">
      <c r="B23" s="5" t="inlineStr">
        <is>
          <t>Exit ARR</t>
        </is>
      </c>
      <c r="C23" s="33">
        <f>C26*12</f>
        <v/>
      </c>
      <c r="D23" s="33">
        <f>D26*12</f>
        <v/>
      </c>
      <c r="E23" s="33">
        <f>E26*12</f>
        <v/>
      </c>
      <c r="F23" s="33">
        <f>F26*12</f>
        <v/>
      </c>
      <c r="G23" s="33">
        <f>G26*12</f>
        <v/>
      </c>
      <c r="H23" s="33">
        <f>H26*12</f>
        <v/>
      </c>
      <c r="I23" s="33">
        <f>I26*12</f>
        <v/>
      </c>
      <c r="J23" s="33">
        <f>J26*12</f>
        <v/>
      </c>
      <c r="K23" s="33">
        <f>K26*12</f>
        <v/>
      </c>
      <c r="L23" s="33">
        <f>L26*12</f>
        <v/>
      </c>
      <c r="M23" s="33">
        <f>M26*12</f>
        <v/>
      </c>
      <c r="N23" s="33">
        <f>N26*12</f>
        <v/>
      </c>
      <c r="O23" s="33">
        <f>O26*12</f>
        <v/>
      </c>
      <c r="P23" s="33">
        <f>P26*12</f>
        <v/>
      </c>
      <c r="Q23" s="33">
        <f>Q26*12</f>
        <v/>
      </c>
      <c r="R23" s="33">
        <f>R26*12</f>
        <v/>
      </c>
      <c r="S23" s="33">
        <f>S26*12</f>
        <v/>
      </c>
      <c r="T23" s="33">
        <f>T26*12</f>
        <v/>
      </c>
      <c r="U23" s="33">
        <f>U26*12</f>
        <v/>
      </c>
      <c r="V23" s="33">
        <f>V26*12</f>
        <v/>
      </c>
      <c r="W23" s="33">
        <f>W26*12</f>
        <v/>
      </c>
      <c r="X23" s="33">
        <f>X26*12</f>
        <v/>
      </c>
      <c r="Y23" s="33">
        <f>Y26*12</f>
        <v/>
      </c>
      <c r="Z23" s="33">
        <f>Z26*12</f>
        <v/>
      </c>
      <c r="AA23" s="33">
        <f>AA26*12</f>
        <v/>
      </c>
      <c r="AB23" s="33">
        <f>AB26*12</f>
        <v/>
      </c>
      <c r="AC23" s="33">
        <f>AC26*12</f>
        <v/>
      </c>
      <c r="AD23" s="33">
        <f>AD26*12</f>
        <v/>
      </c>
      <c r="AE23" s="33">
        <f>AE26*12</f>
        <v/>
      </c>
      <c r="AF23" s="33">
        <f>AF26*12</f>
        <v/>
      </c>
      <c r="AG23" s="33">
        <f>AG26*12</f>
        <v/>
      </c>
      <c r="AH23" s="33">
        <f>AH26*12</f>
        <v/>
      </c>
      <c r="AI23" s="33">
        <f>AI26*12</f>
        <v/>
      </c>
      <c r="AJ23" s="33">
        <f>AJ26*12</f>
        <v/>
      </c>
      <c r="AK23" s="33">
        <f>AK26*12</f>
        <v/>
      </c>
      <c r="AL23" s="33">
        <f>AL26*12</f>
        <v/>
      </c>
    </row>
    <row r="25">
      <c r="B25" s="28" t="inlineStr">
        <is>
          <t>REVENUE AND COST OF GOODS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</row>
    <row r="26">
      <c r="B26" s="5" t="inlineStr">
        <is>
          <t>Revenue</t>
        </is>
      </c>
      <c r="C26" s="33">
        <f>C20*Assumptions!$C$11+C21*Assumptions!$C$12/12</f>
        <v/>
      </c>
      <c r="D26" s="33">
        <f>D20*Assumptions!$C$11+D21*Assumptions!$C$12/12</f>
        <v/>
      </c>
      <c r="E26" s="33">
        <f>E20*Assumptions!$C$11+E21*Assumptions!$C$12/12</f>
        <v/>
      </c>
      <c r="F26" s="33">
        <f>F20*Assumptions!$C$11+F21*Assumptions!$C$12/12</f>
        <v/>
      </c>
      <c r="G26" s="33">
        <f>G20*Assumptions!$C$11+G21*Assumptions!$C$12/12</f>
        <v/>
      </c>
      <c r="H26" s="33">
        <f>H20*Assumptions!$C$11+H21*Assumptions!$C$12/12</f>
        <v/>
      </c>
      <c r="I26" s="33">
        <f>I20*Assumptions!$C$11+I21*Assumptions!$C$12/12</f>
        <v/>
      </c>
      <c r="J26" s="33">
        <f>J20*Assumptions!$C$11+J21*Assumptions!$C$12/12</f>
        <v/>
      </c>
      <c r="K26" s="33">
        <f>K20*Assumptions!$C$11+K21*Assumptions!$C$12/12</f>
        <v/>
      </c>
      <c r="L26" s="33">
        <f>L20*Assumptions!$C$11+L21*Assumptions!$C$12/12</f>
        <v/>
      </c>
      <c r="M26" s="33">
        <f>M20*Assumptions!$C$11+M21*Assumptions!$C$12/12</f>
        <v/>
      </c>
      <c r="N26" s="33">
        <f>N20*Assumptions!$C$11+N21*Assumptions!$C$12/12</f>
        <v/>
      </c>
      <c r="O26" s="33">
        <f>O20*Assumptions!$C$11+O21*Assumptions!$C$12/12</f>
        <v/>
      </c>
      <c r="P26" s="33">
        <f>P20*Assumptions!$C$11+P21*Assumptions!$C$12/12</f>
        <v/>
      </c>
      <c r="Q26" s="33">
        <f>Q20*Assumptions!$C$11+Q21*Assumptions!$C$12/12</f>
        <v/>
      </c>
      <c r="R26" s="33">
        <f>R20*Assumptions!$C$11+R21*Assumptions!$C$12/12</f>
        <v/>
      </c>
      <c r="S26" s="33">
        <f>S20*Assumptions!$C$11+S21*Assumptions!$C$12/12</f>
        <v/>
      </c>
      <c r="T26" s="33">
        <f>T20*Assumptions!$C$11+T21*Assumptions!$C$12/12</f>
        <v/>
      </c>
      <c r="U26" s="33">
        <f>U20*Assumptions!$C$11+U21*Assumptions!$C$12/12</f>
        <v/>
      </c>
      <c r="V26" s="33">
        <f>V20*Assumptions!$C$11+V21*Assumptions!$C$12/12</f>
        <v/>
      </c>
      <c r="W26" s="33">
        <f>W20*Assumptions!$C$11+W21*Assumptions!$C$12/12</f>
        <v/>
      </c>
      <c r="X26" s="33">
        <f>X20*Assumptions!$C$11+X21*Assumptions!$C$12/12</f>
        <v/>
      </c>
      <c r="Y26" s="33">
        <f>Y20*Assumptions!$C$11+Y21*Assumptions!$C$12/12</f>
        <v/>
      </c>
      <c r="Z26" s="33">
        <f>Z20*Assumptions!$C$11+Z21*Assumptions!$C$12/12</f>
        <v/>
      </c>
      <c r="AA26" s="33">
        <f>AA20*Assumptions!$C$11+AA21*Assumptions!$C$12/12</f>
        <v/>
      </c>
      <c r="AB26" s="33">
        <f>AB20*Assumptions!$C$11+AB21*Assumptions!$C$12/12</f>
        <v/>
      </c>
      <c r="AC26" s="33">
        <f>AC20*Assumptions!$C$11+AC21*Assumptions!$C$12/12</f>
        <v/>
      </c>
      <c r="AD26" s="33">
        <f>AD20*Assumptions!$C$11+AD21*Assumptions!$C$12/12</f>
        <v/>
      </c>
      <c r="AE26" s="33">
        <f>AE20*Assumptions!$C$11+AE21*Assumptions!$C$12/12</f>
        <v/>
      </c>
      <c r="AF26" s="33">
        <f>AF20*Assumptions!$C$11+AF21*Assumptions!$C$12/12</f>
        <v/>
      </c>
      <c r="AG26" s="33">
        <f>AG20*Assumptions!$C$11+AG21*Assumptions!$C$12/12</f>
        <v/>
      </c>
      <c r="AH26" s="33">
        <f>AH20*Assumptions!$C$11+AH21*Assumptions!$C$12/12</f>
        <v/>
      </c>
      <c r="AI26" s="33">
        <f>AI20*Assumptions!$C$11+AI21*Assumptions!$C$12/12</f>
        <v/>
      </c>
      <c r="AJ26" s="33">
        <f>AJ20*Assumptions!$C$11+AJ21*Assumptions!$C$12/12</f>
        <v/>
      </c>
      <c r="AK26" s="33">
        <f>AK20*Assumptions!$C$11+AK21*Assumptions!$C$12/12</f>
        <v/>
      </c>
      <c r="AL26" s="33">
        <f>AL20*Assumptions!$C$11+AL21*Assumptions!$C$12/12</f>
        <v/>
      </c>
    </row>
    <row r="27">
      <c r="B27" s="8" t="inlineStr">
        <is>
          <t>Inference — paying</t>
        </is>
      </c>
      <c r="C27" s="22">
        <f>C22*Assumptions!$C$17*Assumptions!$C$16</f>
        <v/>
      </c>
      <c r="D27" s="22">
        <f>D22*Assumptions!$C$17*Assumptions!$C$16</f>
        <v/>
      </c>
      <c r="E27" s="22">
        <f>E22*Assumptions!$C$17*Assumptions!$C$16</f>
        <v/>
      </c>
      <c r="F27" s="22">
        <f>F22*Assumptions!$C$17*Assumptions!$C$16</f>
        <v/>
      </c>
      <c r="G27" s="22">
        <f>G22*Assumptions!$C$17*Assumptions!$C$16</f>
        <v/>
      </c>
      <c r="H27" s="22">
        <f>H22*Assumptions!$C$17*Assumptions!$C$16</f>
        <v/>
      </c>
      <c r="I27" s="22">
        <f>I22*Assumptions!$C$17*Assumptions!$C$16</f>
        <v/>
      </c>
      <c r="J27" s="22">
        <f>J22*Assumptions!$C$17*Assumptions!$C$16</f>
        <v/>
      </c>
      <c r="K27" s="22">
        <f>K22*Assumptions!$C$17*Assumptions!$C$16</f>
        <v/>
      </c>
      <c r="L27" s="22">
        <f>L22*Assumptions!$C$17*Assumptions!$C$16</f>
        <v/>
      </c>
      <c r="M27" s="22">
        <f>M22*Assumptions!$C$17*Assumptions!$C$16</f>
        <v/>
      </c>
      <c r="N27" s="22">
        <f>N22*Assumptions!$C$17*Assumptions!$C$16</f>
        <v/>
      </c>
      <c r="O27" s="22">
        <f>O22*Assumptions!$C$17*Assumptions!$C$16</f>
        <v/>
      </c>
      <c r="P27" s="22">
        <f>P22*Assumptions!$C$17*Assumptions!$C$16</f>
        <v/>
      </c>
      <c r="Q27" s="22">
        <f>Q22*Assumptions!$C$17*Assumptions!$C$16</f>
        <v/>
      </c>
      <c r="R27" s="22">
        <f>R22*Assumptions!$C$17*Assumptions!$C$16</f>
        <v/>
      </c>
      <c r="S27" s="22">
        <f>S22*Assumptions!$C$17*Assumptions!$C$16</f>
        <v/>
      </c>
      <c r="T27" s="22">
        <f>T22*Assumptions!$C$17*Assumptions!$C$16</f>
        <v/>
      </c>
      <c r="U27" s="22">
        <f>U22*Assumptions!$C$17*Assumptions!$C$16</f>
        <v/>
      </c>
      <c r="V27" s="22">
        <f>V22*Assumptions!$C$17*Assumptions!$C$16</f>
        <v/>
      </c>
      <c r="W27" s="22">
        <f>W22*Assumptions!$C$17*Assumptions!$C$16</f>
        <v/>
      </c>
      <c r="X27" s="22">
        <f>X22*Assumptions!$C$17*Assumptions!$C$16</f>
        <v/>
      </c>
      <c r="Y27" s="22">
        <f>Y22*Assumptions!$C$17*Assumptions!$C$16</f>
        <v/>
      </c>
      <c r="Z27" s="22">
        <f>Z22*Assumptions!$C$17*Assumptions!$C$16</f>
        <v/>
      </c>
      <c r="AA27" s="22">
        <f>AA22*Assumptions!$C$17*Assumptions!$C$16</f>
        <v/>
      </c>
      <c r="AB27" s="22">
        <f>AB22*Assumptions!$C$17*Assumptions!$C$16</f>
        <v/>
      </c>
      <c r="AC27" s="22">
        <f>AC22*Assumptions!$C$17*Assumptions!$C$16</f>
        <v/>
      </c>
      <c r="AD27" s="22">
        <f>AD22*Assumptions!$C$17*Assumptions!$C$16</f>
        <v/>
      </c>
      <c r="AE27" s="22">
        <f>AE22*Assumptions!$C$17*Assumptions!$C$16</f>
        <v/>
      </c>
      <c r="AF27" s="22">
        <f>AF22*Assumptions!$C$17*Assumptions!$C$16</f>
        <v/>
      </c>
      <c r="AG27" s="22">
        <f>AG22*Assumptions!$C$17*Assumptions!$C$16</f>
        <v/>
      </c>
      <c r="AH27" s="22">
        <f>AH22*Assumptions!$C$17*Assumptions!$C$16</f>
        <v/>
      </c>
      <c r="AI27" s="22">
        <f>AI22*Assumptions!$C$17*Assumptions!$C$16</f>
        <v/>
      </c>
      <c r="AJ27" s="22">
        <f>AJ22*Assumptions!$C$17*Assumptions!$C$16</f>
        <v/>
      </c>
      <c r="AK27" s="22">
        <f>AK22*Assumptions!$C$17*Assumptions!$C$16</f>
        <v/>
      </c>
      <c r="AL27" s="22">
        <f>AL22*Assumptions!$C$17*Assumptions!$C$16</f>
        <v/>
      </c>
    </row>
    <row r="28">
      <c r="B28" s="8" t="inlineStr">
        <is>
          <t>Inference — free tier</t>
        </is>
      </c>
      <c r="C28" s="22">
        <f>C19*Assumptions!$C$18*Assumptions!$C$16</f>
        <v/>
      </c>
      <c r="D28" s="22">
        <f>D19*Assumptions!$C$18*Assumptions!$C$16</f>
        <v/>
      </c>
      <c r="E28" s="22">
        <f>E19*Assumptions!$C$18*Assumptions!$C$16</f>
        <v/>
      </c>
      <c r="F28" s="22">
        <f>F19*Assumptions!$C$18*Assumptions!$C$16</f>
        <v/>
      </c>
      <c r="G28" s="22">
        <f>G19*Assumptions!$C$18*Assumptions!$C$16</f>
        <v/>
      </c>
      <c r="H28" s="22">
        <f>H19*Assumptions!$C$18*Assumptions!$C$16</f>
        <v/>
      </c>
      <c r="I28" s="22">
        <f>I19*Assumptions!$C$18*Assumptions!$C$16</f>
        <v/>
      </c>
      <c r="J28" s="22">
        <f>J19*Assumptions!$C$18*Assumptions!$C$16</f>
        <v/>
      </c>
      <c r="K28" s="22">
        <f>K19*Assumptions!$C$18*Assumptions!$C$16</f>
        <v/>
      </c>
      <c r="L28" s="22">
        <f>L19*Assumptions!$C$18*Assumptions!$C$16</f>
        <v/>
      </c>
      <c r="M28" s="22">
        <f>M19*Assumptions!$C$18*Assumptions!$C$16</f>
        <v/>
      </c>
      <c r="N28" s="22">
        <f>N19*Assumptions!$C$18*Assumptions!$C$16</f>
        <v/>
      </c>
      <c r="O28" s="22">
        <f>O19*Assumptions!$C$18*Assumptions!$C$16</f>
        <v/>
      </c>
      <c r="P28" s="22">
        <f>P19*Assumptions!$C$18*Assumptions!$C$16</f>
        <v/>
      </c>
      <c r="Q28" s="22">
        <f>Q19*Assumptions!$C$18*Assumptions!$C$16</f>
        <v/>
      </c>
      <c r="R28" s="22">
        <f>R19*Assumptions!$C$18*Assumptions!$C$16</f>
        <v/>
      </c>
      <c r="S28" s="22">
        <f>S19*Assumptions!$C$18*Assumptions!$C$16</f>
        <v/>
      </c>
      <c r="T28" s="22">
        <f>T19*Assumptions!$C$18*Assumptions!$C$16</f>
        <v/>
      </c>
      <c r="U28" s="22">
        <f>U19*Assumptions!$C$18*Assumptions!$C$16</f>
        <v/>
      </c>
      <c r="V28" s="22">
        <f>V19*Assumptions!$C$18*Assumptions!$C$16</f>
        <v/>
      </c>
      <c r="W28" s="22">
        <f>W19*Assumptions!$C$18*Assumptions!$C$16</f>
        <v/>
      </c>
      <c r="X28" s="22">
        <f>X19*Assumptions!$C$18*Assumptions!$C$16</f>
        <v/>
      </c>
      <c r="Y28" s="22">
        <f>Y19*Assumptions!$C$18*Assumptions!$C$16</f>
        <v/>
      </c>
      <c r="Z28" s="22">
        <f>Z19*Assumptions!$C$18*Assumptions!$C$16</f>
        <v/>
      </c>
      <c r="AA28" s="22">
        <f>AA19*Assumptions!$C$18*Assumptions!$C$16</f>
        <v/>
      </c>
      <c r="AB28" s="22">
        <f>AB19*Assumptions!$C$18*Assumptions!$C$16</f>
        <v/>
      </c>
      <c r="AC28" s="22">
        <f>AC19*Assumptions!$C$18*Assumptions!$C$16</f>
        <v/>
      </c>
      <c r="AD28" s="22">
        <f>AD19*Assumptions!$C$18*Assumptions!$C$16</f>
        <v/>
      </c>
      <c r="AE28" s="22">
        <f>AE19*Assumptions!$C$18*Assumptions!$C$16</f>
        <v/>
      </c>
      <c r="AF28" s="22">
        <f>AF19*Assumptions!$C$18*Assumptions!$C$16</f>
        <v/>
      </c>
      <c r="AG28" s="22">
        <f>AG19*Assumptions!$C$18*Assumptions!$C$16</f>
        <v/>
      </c>
      <c r="AH28" s="22">
        <f>AH19*Assumptions!$C$18*Assumptions!$C$16</f>
        <v/>
      </c>
      <c r="AI28" s="22">
        <f>AI19*Assumptions!$C$18*Assumptions!$C$16</f>
        <v/>
      </c>
      <c r="AJ28" s="22">
        <f>AJ19*Assumptions!$C$18*Assumptions!$C$16</f>
        <v/>
      </c>
      <c r="AK28" s="22">
        <f>AK19*Assumptions!$C$18*Assumptions!$C$16</f>
        <v/>
      </c>
      <c r="AL28" s="22">
        <f>AL19*Assumptions!$C$18*Assumptions!$C$16</f>
        <v/>
      </c>
    </row>
    <row r="29">
      <c r="B29" s="8" t="inlineStr">
        <is>
          <t>Hosting</t>
        </is>
      </c>
      <c r="C29" s="22">
        <f>C22*Assumptions!$C$19</f>
        <v/>
      </c>
      <c r="D29" s="22">
        <f>D22*Assumptions!$C$19</f>
        <v/>
      </c>
      <c r="E29" s="22">
        <f>E22*Assumptions!$C$19</f>
        <v/>
      </c>
      <c r="F29" s="22">
        <f>F22*Assumptions!$C$19</f>
        <v/>
      </c>
      <c r="G29" s="22">
        <f>G22*Assumptions!$C$19</f>
        <v/>
      </c>
      <c r="H29" s="22">
        <f>H22*Assumptions!$C$19</f>
        <v/>
      </c>
      <c r="I29" s="22">
        <f>I22*Assumptions!$C$19</f>
        <v/>
      </c>
      <c r="J29" s="22">
        <f>J22*Assumptions!$C$19</f>
        <v/>
      </c>
      <c r="K29" s="22">
        <f>K22*Assumptions!$C$19</f>
        <v/>
      </c>
      <c r="L29" s="22">
        <f>L22*Assumptions!$C$19</f>
        <v/>
      </c>
      <c r="M29" s="22">
        <f>M22*Assumptions!$C$19</f>
        <v/>
      </c>
      <c r="N29" s="22">
        <f>N22*Assumptions!$C$19</f>
        <v/>
      </c>
      <c r="O29" s="22">
        <f>O22*Assumptions!$C$19</f>
        <v/>
      </c>
      <c r="P29" s="22">
        <f>P22*Assumptions!$C$19</f>
        <v/>
      </c>
      <c r="Q29" s="22">
        <f>Q22*Assumptions!$C$19</f>
        <v/>
      </c>
      <c r="R29" s="22">
        <f>R22*Assumptions!$C$19</f>
        <v/>
      </c>
      <c r="S29" s="22">
        <f>S22*Assumptions!$C$19</f>
        <v/>
      </c>
      <c r="T29" s="22">
        <f>T22*Assumptions!$C$19</f>
        <v/>
      </c>
      <c r="U29" s="22">
        <f>U22*Assumptions!$C$19</f>
        <v/>
      </c>
      <c r="V29" s="22">
        <f>V22*Assumptions!$C$19</f>
        <v/>
      </c>
      <c r="W29" s="22">
        <f>W22*Assumptions!$C$19</f>
        <v/>
      </c>
      <c r="X29" s="22">
        <f>X22*Assumptions!$C$19</f>
        <v/>
      </c>
      <c r="Y29" s="22">
        <f>Y22*Assumptions!$C$19</f>
        <v/>
      </c>
      <c r="Z29" s="22">
        <f>Z22*Assumptions!$C$19</f>
        <v/>
      </c>
      <c r="AA29" s="22">
        <f>AA22*Assumptions!$C$19</f>
        <v/>
      </c>
      <c r="AB29" s="22">
        <f>AB22*Assumptions!$C$19</f>
        <v/>
      </c>
      <c r="AC29" s="22">
        <f>AC22*Assumptions!$C$19</f>
        <v/>
      </c>
      <c r="AD29" s="22">
        <f>AD22*Assumptions!$C$19</f>
        <v/>
      </c>
      <c r="AE29" s="22">
        <f>AE22*Assumptions!$C$19</f>
        <v/>
      </c>
      <c r="AF29" s="22">
        <f>AF22*Assumptions!$C$19</f>
        <v/>
      </c>
      <c r="AG29" s="22">
        <f>AG22*Assumptions!$C$19</f>
        <v/>
      </c>
      <c r="AH29" s="22">
        <f>AH22*Assumptions!$C$19</f>
        <v/>
      </c>
      <c r="AI29" s="22">
        <f>AI22*Assumptions!$C$19</f>
        <v/>
      </c>
      <c r="AJ29" s="22">
        <f>AJ22*Assumptions!$C$19</f>
        <v/>
      </c>
      <c r="AK29" s="22">
        <f>AK22*Assumptions!$C$19</f>
        <v/>
      </c>
      <c r="AL29" s="22">
        <f>AL22*Assumptions!$C$19</f>
        <v/>
      </c>
    </row>
    <row r="30">
      <c r="B30" s="8" t="inlineStr">
        <is>
          <t>Support</t>
        </is>
      </c>
      <c r="C30" s="22">
        <f>C22*Assumptions!$C$20</f>
        <v/>
      </c>
      <c r="D30" s="22">
        <f>D22*Assumptions!$C$20</f>
        <v/>
      </c>
      <c r="E30" s="22">
        <f>E22*Assumptions!$C$20</f>
        <v/>
      </c>
      <c r="F30" s="22">
        <f>F22*Assumptions!$C$20</f>
        <v/>
      </c>
      <c r="G30" s="22">
        <f>G22*Assumptions!$C$20</f>
        <v/>
      </c>
      <c r="H30" s="22">
        <f>H22*Assumptions!$C$20</f>
        <v/>
      </c>
      <c r="I30" s="22">
        <f>I22*Assumptions!$C$20</f>
        <v/>
      </c>
      <c r="J30" s="22">
        <f>J22*Assumptions!$C$20</f>
        <v/>
      </c>
      <c r="K30" s="22">
        <f>K22*Assumptions!$C$20</f>
        <v/>
      </c>
      <c r="L30" s="22">
        <f>L22*Assumptions!$C$20</f>
        <v/>
      </c>
      <c r="M30" s="22">
        <f>M22*Assumptions!$C$20</f>
        <v/>
      </c>
      <c r="N30" s="22">
        <f>N22*Assumptions!$C$20</f>
        <v/>
      </c>
      <c r="O30" s="22">
        <f>O22*Assumptions!$C$20</f>
        <v/>
      </c>
      <c r="P30" s="22">
        <f>P22*Assumptions!$C$20</f>
        <v/>
      </c>
      <c r="Q30" s="22">
        <f>Q22*Assumptions!$C$20</f>
        <v/>
      </c>
      <c r="R30" s="22">
        <f>R22*Assumptions!$C$20</f>
        <v/>
      </c>
      <c r="S30" s="22">
        <f>S22*Assumptions!$C$20</f>
        <v/>
      </c>
      <c r="T30" s="22">
        <f>T22*Assumptions!$C$20</f>
        <v/>
      </c>
      <c r="U30" s="22">
        <f>U22*Assumptions!$C$20</f>
        <v/>
      </c>
      <c r="V30" s="22">
        <f>V22*Assumptions!$C$20</f>
        <v/>
      </c>
      <c r="W30" s="22">
        <f>W22*Assumptions!$C$20</f>
        <v/>
      </c>
      <c r="X30" s="22">
        <f>X22*Assumptions!$C$20</f>
        <v/>
      </c>
      <c r="Y30" s="22">
        <f>Y22*Assumptions!$C$20</f>
        <v/>
      </c>
      <c r="Z30" s="22">
        <f>Z22*Assumptions!$C$20</f>
        <v/>
      </c>
      <c r="AA30" s="22">
        <f>AA22*Assumptions!$C$20</f>
        <v/>
      </c>
      <c r="AB30" s="22">
        <f>AB22*Assumptions!$C$20</f>
        <v/>
      </c>
      <c r="AC30" s="22">
        <f>AC22*Assumptions!$C$20</f>
        <v/>
      </c>
      <c r="AD30" s="22">
        <f>AD22*Assumptions!$C$20</f>
        <v/>
      </c>
      <c r="AE30" s="22">
        <f>AE22*Assumptions!$C$20</f>
        <v/>
      </c>
      <c r="AF30" s="22">
        <f>AF22*Assumptions!$C$20</f>
        <v/>
      </c>
      <c r="AG30" s="22">
        <f>AG22*Assumptions!$C$20</f>
        <v/>
      </c>
      <c r="AH30" s="22">
        <f>AH22*Assumptions!$C$20</f>
        <v/>
      </c>
      <c r="AI30" s="22">
        <f>AI22*Assumptions!$C$20</f>
        <v/>
      </c>
      <c r="AJ30" s="22">
        <f>AJ22*Assumptions!$C$20</f>
        <v/>
      </c>
      <c r="AK30" s="22">
        <f>AK22*Assumptions!$C$20</f>
        <v/>
      </c>
      <c r="AL30" s="22">
        <f>AL22*Assumptions!$C$20</f>
        <v/>
      </c>
    </row>
    <row r="31">
      <c r="B31" s="8" t="inlineStr">
        <is>
          <t>Card fees</t>
        </is>
      </c>
      <c r="C31" s="22">
        <f>C20*(Assumptions!$C$21*Assumptions!$C$11+Assumptions!$C$22)+C21*(Assumptions!$C$21*Assumptions!$C$12+Assumptions!$C$22)/12</f>
        <v/>
      </c>
      <c r="D31" s="22">
        <f>D20*(Assumptions!$C$21*Assumptions!$C$11+Assumptions!$C$22)+D21*(Assumptions!$C$21*Assumptions!$C$12+Assumptions!$C$22)/12</f>
        <v/>
      </c>
      <c r="E31" s="22">
        <f>E20*(Assumptions!$C$21*Assumptions!$C$11+Assumptions!$C$22)+E21*(Assumptions!$C$21*Assumptions!$C$12+Assumptions!$C$22)/12</f>
        <v/>
      </c>
      <c r="F31" s="22">
        <f>F20*(Assumptions!$C$21*Assumptions!$C$11+Assumptions!$C$22)+F21*(Assumptions!$C$21*Assumptions!$C$12+Assumptions!$C$22)/12</f>
        <v/>
      </c>
      <c r="G31" s="22">
        <f>G20*(Assumptions!$C$21*Assumptions!$C$11+Assumptions!$C$22)+G21*(Assumptions!$C$21*Assumptions!$C$12+Assumptions!$C$22)/12</f>
        <v/>
      </c>
      <c r="H31" s="22">
        <f>H20*(Assumptions!$C$21*Assumptions!$C$11+Assumptions!$C$22)+H21*(Assumptions!$C$21*Assumptions!$C$12+Assumptions!$C$22)/12</f>
        <v/>
      </c>
      <c r="I31" s="22">
        <f>I20*(Assumptions!$C$21*Assumptions!$C$11+Assumptions!$C$22)+I21*(Assumptions!$C$21*Assumptions!$C$12+Assumptions!$C$22)/12</f>
        <v/>
      </c>
      <c r="J31" s="22">
        <f>J20*(Assumptions!$C$21*Assumptions!$C$11+Assumptions!$C$22)+J21*(Assumptions!$C$21*Assumptions!$C$12+Assumptions!$C$22)/12</f>
        <v/>
      </c>
      <c r="K31" s="22">
        <f>K20*(Assumptions!$C$21*Assumptions!$C$11+Assumptions!$C$22)+K21*(Assumptions!$C$21*Assumptions!$C$12+Assumptions!$C$22)/12</f>
        <v/>
      </c>
      <c r="L31" s="22">
        <f>L20*(Assumptions!$C$21*Assumptions!$C$11+Assumptions!$C$22)+L21*(Assumptions!$C$21*Assumptions!$C$12+Assumptions!$C$22)/12</f>
        <v/>
      </c>
      <c r="M31" s="22">
        <f>M20*(Assumptions!$C$21*Assumptions!$C$11+Assumptions!$C$22)+M21*(Assumptions!$C$21*Assumptions!$C$12+Assumptions!$C$22)/12</f>
        <v/>
      </c>
      <c r="N31" s="22">
        <f>N20*(Assumptions!$C$21*Assumptions!$C$11+Assumptions!$C$22)+N21*(Assumptions!$C$21*Assumptions!$C$12+Assumptions!$C$22)/12</f>
        <v/>
      </c>
      <c r="O31" s="22">
        <f>O20*(Assumptions!$C$21*Assumptions!$C$11+Assumptions!$C$22)+O21*(Assumptions!$C$21*Assumptions!$C$12+Assumptions!$C$22)/12</f>
        <v/>
      </c>
      <c r="P31" s="22">
        <f>P20*(Assumptions!$C$21*Assumptions!$C$11+Assumptions!$C$22)+P21*(Assumptions!$C$21*Assumptions!$C$12+Assumptions!$C$22)/12</f>
        <v/>
      </c>
      <c r="Q31" s="22">
        <f>Q20*(Assumptions!$C$21*Assumptions!$C$11+Assumptions!$C$22)+Q21*(Assumptions!$C$21*Assumptions!$C$12+Assumptions!$C$22)/12</f>
        <v/>
      </c>
      <c r="R31" s="22">
        <f>R20*(Assumptions!$C$21*Assumptions!$C$11+Assumptions!$C$22)+R21*(Assumptions!$C$21*Assumptions!$C$12+Assumptions!$C$22)/12</f>
        <v/>
      </c>
      <c r="S31" s="22">
        <f>S20*(Assumptions!$C$21*Assumptions!$C$11+Assumptions!$C$22)+S21*(Assumptions!$C$21*Assumptions!$C$12+Assumptions!$C$22)/12</f>
        <v/>
      </c>
      <c r="T31" s="22">
        <f>T20*(Assumptions!$C$21*Assumptions!$C$11+Assumptions!$C$22)+T21*(Assumptions!$C$21*Assumptions!$C$12+Assumptions!$C$22)/12</f>
        <v/>
      </c>
      <c r="U31" s="22">
        <f>U20*(Assumptions!$C$21*Assumptions!$C$11+Assumptions!$C$22)+U21*(Assumptions!$C$21*Assumptions!$C$12+Assumptions!$C$22)/12</f>
        <v/>
      </c>
      <c r="V31" s="22">
        <f>V20*(Assumptions!$C$21*Assumptions!$C$11+Assumptions!$C$22)+V21*(Assumptions!$C$21*Assumptions!$C$12+Assumptions!$C$22)/12</f>
        <v/>
      </c>
      <c r="W31" s="22">
        <f>W20*(Assumptions!$C$21*Assumptions!$C$11+Assumptions!$C$22)+W21*(Assumptions!$C$21*Assumptions!$C$12+Assumptions!$C$22)/12</f>
        <v/>
      </c>
      <c r="X31" s="22">
        <f>X20*(Assumptions!$C$21*Assumptions!$C$11+Assumptions!$C$22)+X21*(Assumptions!$C$21*Assumptions!$C$12+Assumptions!$C$22)/12</f>
        <v/>
      </c>
      <c r="Y31" s="22">
        <f>Y20*(Assumptions!$C$21*Assumptions!$C$11+Assumptions!$C$22)+Y21*(Assumptions!$C$21*Assumptions!$C$12+Assumptions!$C$22)/12</f>
        <v/>
      </c>
      <c r="Z31" s="22">
        <f>Z20*(Assumptions!$C$21*Assumptions!$C$11+Assumptions!$C$22)+Z21*(Assumptions!$C$21*Assumptions!$C$12+Assumptions!$C$22)/12</f>
        <v/>
      </c>
      <c r="AA31" s="22">
        <f>AA20*(Assumptions!$C$21*Assumptions!$C$11+Assumptions!$C$22)+AA21*(Assumptions!$C$21*Assumptions!$C$12+Assumptions!$C$22)/12</f>
        <v/>
      </c>
      <c r="AB31" s="22">
        <f>AB20*(Assumptions!$C$21*Assumptions!$C$11+Assumptions!$C$22)+AB21*(Assumptions!$C$21*Assumptions!$C$12+Assumptions!$C$22)/12</f>
        <v/>
      </c>
      <c r="AC31" s="22">
        <f>AC20*(Assumptions!$C$21*Assumptions!$C$11+Assumptions!$C$22)+AC21*(Assumptions!$C$21*Assumptions!$C$12+Assumptions!$C$22)/12</f>
        <v/>
      </c>
      <c r="AD31" s="22">
        <f>AD20*(Assumptions!$C$21*Assumptions!$C$11+Assumptions!$C$22)+AD21*(Assumptions!$C$21*Assumptions!$C$12+Assumptions!$C$22)/12</f>
        <v/>
      </c>
      <c r="AE31" s="22">
        <f>AE20*(Assumptions!$C$21*Assumptions!$C$11+Assumptions!$C$22)+AE21*(Assumptions!$C$21*Assumptions!$C$12+Assumptions!$C$22)/12</f>
        <v/>
      </c>
      <c r="AF31" s="22">
        <f>AF20*(Assumptions!$C$21*Assumptions!$C$11+Assumptions!$C$22)+AF21*(Assumptions!$C$21*Assumptions!$C$12+Assumptions!$C$22)/12</f>
        <v/>
      </c>
      <c r="AG31" s="22">
        <f>AG20*(Assumptions!$C$21*Assumptions!$C$11+Assumptions!$C$22)+AG21*(Assumptions!$C$21*Assumptions!$C$12+Assumptions!$C$22)/12</f>
        <v/>
      </c>
      <c r="AH31" s="22">
        <f>AH20*(Assumptions!$C$21*Assumptions!$C$11+Assumptions!$C$22)+AH21*(Assumptions!$C$21*Assumptions!$C$12+Assumptions!$C$22)/12</f>
        <v/>
      </c>
      <c r="AI31" s="22">
        <f>AI20*(Assumptions!$C$21*Assumptions!$C$11+Assumptions!$C$22)+AI21*(Assumptions!$C$21*Assumptions!$C$12+Assumptions!$C$22)/12</f>
        <v/>
      </c>
      <c r="AJ31" s="22">
        <f>AJ20*(Assumptions!$C$21*Assumptions!$C$11+Assumptions!$C$22)+AJ21*(Assumptions!$C$21*Assumptions!$C$12+Assumptions!$C$22)/12</f>
        <v/>
      </c>
      <c r="AK31" s="22">
        <f>AK20*(Assumptions!$C$21*Assumptions!$C$11+Assumptions!$C$22)+AK21*(Assumptions!$C$21*Assumptions!$C$12+Assumptions!$C$22)/12</f>
        <v/>
      </c>
      <c r="AL31" s="22">
        <f>AL20*(Assumptions!$C$21*Assumptions!$C$11+Assumptions!$C$22)+AL21*(Assumptions!$C$21*Assumptions!$C$12+Assumptions!$C$22)/12</f>
        <v/>
      </c>
    </row>
    <row r="32">
      <c r="B32" s="5" t="inlineStr">
        <is>
          <t>Total cost of goods</t>
        </is>
      </c>
      <c r="C32" s="33">
        <f>SUM(C27:C31)</f>
        <v/>
      </c>
      <c r="D32" s="33">
        <f>SUM(D27:D31)</f>
        <v/>
      </c>
      <c r="E32" s="33">
        <f>SUM(E27:E31)</f>
        <v/>
      </c>
      <c r="F32" s="33">
        <f>SUM(F27:F31)</f>
        <v/>
      </c>
      <c r="G32" s="33">
        <f>SUM(G27:G31)</f>
        <v/>
      </c>
      <c r="H32" s="33">
        <f>SUM(H27:H31)</f>
        <v/>
      </c>
      <c r="I32" s="33">
        <f>SUM(I27:I31)</f>
        <v/>
      </c>
      <c r="J32" s="33">
        <f>SUM(J27:J31)</f>
        <v/>
      </c>
      <c r="K32" s="33">
        <f>SUM(K27:K31)</f>
        <v/>
      </c>
      <c r="L32" s="33">
        <f>SUM(L27:L31)</f>
        <v/>
      </c>
      <c r="M32" s="33">
        <f>SUM(M27:M31)</f>
        <v/>
      </c>
      <c r="N32" s="33">
        <f>SUM(N27:N31)</f>
        <v/>
      </c>
      <c r="O32" s="33">
        <f>SUM(O27:O31)</f>
        <v/>
      </c>
      <c r="P32" s="33">
        <f>SUM(P27:P31)</f>
        <v/>
      </c>
      <c r="Q32" s="33">
        <f>SUM(Q27:Q31)</f>
        <v/>
      </c>
      <c r="R32" s="33">
        <f>SUM(R27:R31)</f>
        <v/>
      </c>
      <c r="S32" s="33">
        <f>SUM(S27:S31)</f>
        <v/>
      </c>
      <c r="T32" s="33">
        <f>SUM(T27:T31)</f>
        <v/>
      </c>
      <c r="U32" s="33">
        <f>SUM(U27:U31)</f>
        <v/>
      </c>
      <c r="V32" s="33">
        <f>SUM(V27:V31)</f>
        <v/>
      </c>
      <c r="W32" s="33">
        <f>SUM(W27:W31)</f>
        <v/>
      </c>
      <c r="X32" s="33">
        <f>SUM(X27:X31)</f>
        <v/>
      </c>
      <c r="Y32" s="33">
        <f>SUM(Y27:Y31)</f>
        <v/>
      </c>
      <c r="Z32" s="33">
        <f>SUM(Z27:Z31)</f>
        <v/>
      </c>
      <c r="AA32" s="33">
        <f>SUM(AA27:AA31)</f>
        <v/>
      </c>
      <c r="AB32" s="33">
        <f>SUM(AB27:AB31)</f>
        <v/>
      </c>
      <c r="AC32" s="33">
        <f>SUM(AC27:AC31)</f>
        <v/>
      </c>
      <c r="AD32" s="33">
        <f>SUM(AD27:AD31)</f>
        <v/>
      </c>
      <c r="AE32" s="33">
        <f>SUM(AE27:AE31)</f>
        <v/>
      </c>
      <c r="AF32" s="33">
        <f>SUM(AF27:AF31)</f>
        <v/>
      </c>
      <c r="AG32" s="33">
        <f>SUM(AG27:AG31)</f>
        <v/>
      </c>
      <c r="AH32" s="33">
        <f>SUM(AH27:AH31)</f>
        <v/>
      </c>
      <c r="AI32" s="33">
        <f>SUM(AI27:AI31)</f>
        <v/>
      </c>
      <c r="AJ32" s="33">
        <f>SUM(AJ27:AJ31)</f>
        <v/>
      </c>
      <c r="AK32" s="33">
        <f>SUM(AK27:AK31)</f>
        <v/>
      </c>
      <c r="AL32" s="33">
        <f>SUM(AL27:AL31)</f>
        <v/>
      </c>
    </row>
    <row r="33">
      <c r="B33" s="5" t="inlineStr">
        <is>
          <t>Gross profit</t>
        </is>
      </c>
      <c r="C33" s="33">
        <f>C26-C32</f>
        <v/>
      </c>
      <c r="D33" s="33">
        <f>D26-D32</f>
        <v/>
      </c>
      <c r="E33" s="33">
        <f>E26-E32</f>
        <v/>
      </c>
      <c r="F33" s="33">
        <f>F26-F32</f>
        <v/>
      </c>
      <c r="G33" s="33">
        <f>G26-G32</f>
        <v/>
      </c>
      <c r="H33" s="33">
        <f>H26-H32</f>
        <v/>
      </c>
      <c r="I33" s="33">
        <f>I26-I32</f>
        <v/>
      </c>
      <c r="J33" s="33">
        <f>J26-J32</f>
        <v/>
      </c>
      <c r="K33" s="33">
        <f>K26-K32</f>
        <v/>
      </c>
      <c r="L33" s="33">
        <f>L26-L32</f>
        <v/>
      </c>
      <c r="M33" s="33">
        <f>M26-M32</f>
        <v/>
      </c>
      <c r="N33" s="33">
        <f>N26-N32</f>
        <v/>
      </c>
      <c r="O33" s="33">
        <f>O26-O32</f>
        <v/>
      </c>
      <c r="P33" s="33">
        <f>P26-P32</f>
        <v/>
      </c>
      <c r="Q33" s="33">
        <f>Q26-Q32</f>
        <v/>
      </c>
      <c r="R33" s="33">
        <f>R26-R32</f>
        <v/>
      </c>
      <c r="S33" s="33">
        <f>S26-S32</f>
        <v/>
      </c>
      <c r="T33" s="33">
        <f>T26-T32</f>
        <v/>
      </c>
      <c r="U33" s="33">
        <f>U26-U32</f>
        <v/>
      </c>
      <c r="V33" s="33">
        <f>V26-V32</f>
        <v/>
      </c>
      <c r="W33" s="33">
        <f>W26-W32</f>
        <v/>
      </c>
      <c r="X33" s="33">
        <f>X26-X32</f>
        <v/>
      </c>
      <c r="Y33" s="33">
        <f>Y26-Y32</f>
        <v/>
      </c>
      <c r="Z33" s="33">
        <f>Z26-Z32</f>
        <v/>
      </c>
      <c r="AA33" s="33">
        <f>AA26-AA32</f>
        <v/>
      </c>
      <c r="AB33" s="33">
        <f>AB26-AB32</f>
        <v/>
      </c>
      <c r="AC33" s="33">
        <f>AC26-AC32</f>
        <v/>
      </c>
      <c r="AD33" s="33">
        <f>AD26-AD32</f>
        <v/>
      </c>
      <c r="AE33" s="33">
        <f>AE26-AE32</f>
        <v/>
      </c>
      <c r="AF33" s="33">
        <f>AF26-AF32</f>
        <v/>
      </c>
      <c r="AG33" s="33">
        <f>AG26-AG32</f>
        <v/>
      </c>
      <c r="AH33" s="33">
        <f>AH26-AH32</f>
        <v/>
      </c>
      <c r="AI33" s="33">
        <f>AI26-AI32</f>
        <v/>
      </c>
      <c r="AJ33" s="33">
        <f>AJ26-AJ32</f>
        <v/>
      </c>
      <c r="AK33" s="33">
        <f>AK26-AK32</f>
        <v/>
      </c>
      <c r="AL33" s="33">
        <f>AL26-AL32</f>
        <v/>
      </c>
    </row>
    <row r="34">
      <c r="B34" s="8" t="inlineStr">
        <is>
          <t>Gross margin</t>
        </is>
      </c>
      <c r="C34" s="31">
        <f>IFERROR(C33/C26,0)</f>
        <v/>
      </c>
      <c r="D34" s="31">
        <f>IFERROR(D33/D26,0)</f>
        <v/>
      </c>
      <c r="E34" s="31">
        <f>IFERROR(E33/E26,0)</f>
        <v/>
      </c>
      <c r="F34" s="31">
        <f>IFERROR(F33/F26,0)</f>
        <v/>
      </c>
      <c r="G34" s="31">
        <f>IFERROR(G33/G26,0)</f>
        <v/>
      </c>
      <c r="H34" s="31">
        <f>IFERROR(H33/H26,0)</f>
        <v/>
      </c>
      <c r="I34" s="31">
        <f>IFERROR(I33/I26,0)</f>
        <v/>
      </c>
      <c r="J34" s="31">
        <f>IFERROR(J33/J26,0)</f>
        <v/>
      </c>
      <c r="K34" s="31">
        <f>IFERROR(K33/K26,0)</f>
        <v/>
      </c>
      <c r="L34" s="31">
        <f>IFERROR(L33/L26,0)</f>
        <v/>
      </c>
      <c r="M34" s="31">
        <f>IFERROR(M33/M26,0)</f>
        <v/>
      </c>
      <c r="N34" s="31">
        <f>IFERROR(N33/N26,0)</f>
        <v/>
      </c>
      <c r="O34" s="31">
        <f>IFERROR(O33/O26,0)</f>
        <v/>
      </c>
      <c r="P34" s="31">
        <f>IFERROR(P33/P26,0)</f>
        <v/>
      </c>
      <c r="Q34" s="31">
        <f>IFERROR(Q33/Q26,0)</f>
        <v/>
      </c>
      <c r="R34" s="31">
        <f>IFERROR(R33/R26,0)</f>
        <v/>
      </c>
      <c r="S34" s="31">
        <f>IFERROR(S33/S26,0)</f>
        <v/>
      </c>
      <c r="T34" s="31">
        <f>IFERROR(T33/T26,0)</f>
        <v/>
      </c>
      <c r="U34" s="31">
        <f>IFERROR(U33/U26,0)</f>
        <v/>
      </c>
      <c r="V34" s="31">
        <f>IFERROR(V33/V26,0)</f>
        <v/>
      </c>
      <c r="W34" s="31">
        <f>IFERROR(W33/W26,0)</f>
        <v/>
      </c>
      <c r="X34" s="31">
        <f>IFERROR(X33/X26,0)</f>
        <v/>
      </c>
      <c r="Y34" s="31">
        <f>IFERROR(Y33/Y26,0)</f>
        <v/>
      </c>
      <c r="Z34" s="31">
        <f>IFERROR(Z33/Z26,0)</f>
        <v/>
      </c>
      <c r="AA34" s="31">
        <f>IFERROR(AA33/AA26,0)</f>
        <v/>
      </c>
      <c r="AB34" s="31">
        <f>IFERROR(AB33/AB26,0)</f>
        <v/>
      </c>
      <c r="AC34" s="31">
        <f>IFERROR(AC33/AC26,0)</f>
        <v/>
      </c>
      <c r="AD34" s="31">
        <f>IFERROR(AD33/AD26,0)</f>
        <v/>
      </c>
      <c r="AE34" s="31">
        <f>IFERROR(AE33/AE26,0)</f>
        <v/>
      </c>
      <c r="AF34" s="31">
        <f>IFERROR(AF33/AF26,0)</f>
        <v/>
      </c>
      <c r="AG34" s="31">
        <f>IFERROR(AG33/AG26,0)</f>
        <v/>
      </c>
      <c r="AH34" s="31">
        <f>IFERROR(AH33/AH26,0)</f>
        <v/>
      </c>
      <c r="AI34" s="31">
        <f>IFERROR(AI33/AI26,0)</f>
        <v/>
      </c>
      <c r="AJ34" s="31">
        <f>IFERROR(AJ33/AJ26,0)</f>
        <v/>
      </c>
      <c r="AK34" s="31">
        <f>IFERROR(AK33/AK26,0)</f>
        <v/>
      </c>
      <c r="AL34" s="31">
        <f>IFERROR(AL33/AL26,0)</f>
        <v/>
      </c>
    </row>
    <row r="36">
      <c r="B36" s="28" t="inlineStr">
        <is>
          <t>OPERATING EXPENSE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</row>
    <row r="37">
      <c r="B37" s="8" t="inlineStr">
        <is>
          <t>Personnel</t>
        </is>
      </c>
      <c r="C37" s="34">
        <f>Team!J34</f>
        <v/>
      </c>
      <c r="D37" s="34">
        <f>Team!K34</f>
        <v/>
      </c>
      <c r="E37" s="34">
        <f>Team!L34</f>
        <v/>
      </c>
      <c r="F37" s="34">
        <f>Team!M34</f>
        <v/>
      </c>
      <c r="G37" s="34">
        <f>Team!N34</f>
        <v/>
      </c>
      <c r="H37" s="34">
        <f>Team!O34</f>
        <v/>
      </c>
      <c r="I37" s="34">
        <f>Team!P34</f>
        <v/>
      </c>
      <c r="J37" s="34">
        <f>Team!Q34</f>
        <v/>
      </c>
      <c r="K37" s="34">
        <f>Team!R34</f>
        <v/>
      </c>
      <c r="L37" s="34">
        <f>Team!S34</f>
        <v/>
      </c>
      <c r="M37" s="34">
        <f>Team!T34</f>
        <v/>
      </c>
      <c r="N37" s="34">
        <f>Team!U34</f>
        <v/>
      </c>
      <c r="O37" s="34">
        <f>Team!V34</f>
        <v/>
      </c>
      <c r="P37" s="34">
        <f>Team!W34</f>
        <v/>
      </c>
      <c r="Q37" s="34">
        <f>Team!X34</f>
        <v/>
      </c>
      <c r="R37" s="34">
        <f>Team!Y34</f>
        <v/>
      </c>
      <c r="S37" s="34">
        <f>Team!Z34</f>
        <v/>
      </c>
      <c r="T37" s="34">
        <f>Team!AA34</f>
        <v/>
      </c>
      <c r="U37" s="34">
        <f>Team!AB34</f>
        <v/>
      </c>
      <c r="V37" s="34">
        <f>Team!AC34</f>
        <v/>
      </c>
      <c r="W37" s="34">
        <f>Team!AD34</f>
        <v/>
      </c>
      <c r="X37" s="34">
        <f>Team!AE34</f>
        <v/>
      </c>
      <c r="Y37" s="34">
        <f>Team!AF34</f>
        <v/>
      </c>
      <c r="Z37" s="34">
        <f>Team!AG34</f>
        <v/>
      </c>
      <c r="AA37" s="34">
        <f>Team!AH34</f>
        <v/>
      </c>
      <c r="AB37" s="34">
        <f>Team!AI34</f>
        <v/>
      </c>
      <c r="AC37" s="34">
        <f>Team!AJ34</f>
        <v/>
      </c>
      <c r="AD37" s="34">
        <f>Team!AK34</f>
        <v/>
      </c>
      <c r="AE37" s="34">
        <f>Team!AL34</f>
        <v/>
      </c>
      <c r="AF37" s="34">
        <f>Team!AM34</f>
        <v/>
      </c>
      <c r="AG37" s="34">
        <f>Team!AN34</f>
        <v/>
      </c>
      <c r="AH37" s="34">
        <f>Team!AO34</f>
        <v/>
      </c>
      <c r="AI37" s="34">
        <f>Team!AP34</f>
        <v/>
      </c>
      <c r="AJ37" s="34">
        <f>Team!AQ34</f>
        <v/>
      </c>
      <c r="AK37" s="34">
        <f>Team!AR34</f>
        <v/>
      </c>
      <c r="AL37" s="34">
        <f>Team!AS34</f>
        <v/>
      </c>
    </row>
    <row r="38">
      <c r="B38" s="8" t="inlineStr">
        <is>
          <t>Sales and marketing</t>
        </is>
      </c>
      <c r="C38" s="22">
        <f>C9</f>
        <v/>
      </c>
      <c r="D38" s="22">
        <f>D9</f>
        <v/>
      </c>
      <c r="E38" s="22">
        <f>E9</f>
        <v/>
      </c>
      <c r="F38" s="22">
        <f>F9</f>
        <v/>
      </c>
      <c r="G38" s="22">
        <f>G9</f>
        <v/>
      </c>
      <c r="H38" s="22">
        <f>H9</f>
        <v/>
      </c>
      <c r="I38" s="22">
        <f>I9</f>
        <v/>
      </c>
      <c r="J38" s="22">
        <f>J9</f>
        <v/>
      </c>
      <c r="K38" s="22">
        <f>K9</f>
        <v/>
      </c>
      <c r="L38" s="22">
        <f>L9</f>
        <v/>
      </c>
      <c r="M38" s="22">
        <f>M9</f>
        <v/>
      </c>
      <c r="N38" s="22">
        <f>N9</f>
        <v/>
      </c>
      <c r="O38" s="22">
        <f>O9</f>
        <v/>
      </c>
      <c r="P38" s="22">
        <f>P9</f>
        <v/>
      </c>
      <c r="Q38" s="22">
        <f>Q9</f>
        <v/>
      </c>
      <c r="R38" s="22">
        <f>R9</f>
        <v/>
      </c>
      <c r="S38" s="22">
        <f>S9</f>
        <v/>
      </c>
      <c r="T38" s="22">
        <f>T9</f>
        <v/>
      </c>
      <c r="U38" s="22">
        <f>U9</f>
        <v/>
      </c>
      <c r="V38" s="22">
        <f>V9</f>
        <v/>
      </c>
      <c r="W38" s="22">
        <f>W9</f>
        <v/>
      </c>
      <c r="X38" s="22">
        <f>X9</f>
        <v/>
      </c>
      <c r="Y38" s="22">
        <f>Y9</f>
        <v/>
      </c>
      <c r="Z38" s="22">
        <f>Z9</f>
        <v/>
      </c>
      <c r="AA38" s="22">
        <f>AA9</f>
        <v/>
      </c>
      <c r="AB38" s="22">
        <f>AB9</f>
        <v/>
      </c>
      <c r="AC38" s="22">
        <f>AC9</f>
        <v/>
      </c>
      <c r="AD38" s="22">
        <f>AD9</f>
        <v/>
      </c>
      <c r="AE38" s="22">
        <f>AE9</f>
        <v/>
      </c>
      <c r="AF38" s="22">
        <f>AF9</f>
        <v/>
      </c>
      <c r="AG38" s="22">
        <f>AG9</f>
        <v/>
      </c>
      <c r="AH38" s="22">
        <f>AH9</f>
        <v/>
      </c>
      <c r="AI38" s="22">
        <f>AI9</f>
        <v/>
      </c>
      <c r="AJ38" s="22">
        <f>AJ9</f>
        <v/>
      </c>
      <c r="AK38" s="22">
        <f>AK9</f>
        <v/>
      </c>
      <c r="AL38" s="22">
        <f>AL9</f>
        <v/>
      </c>
    </row>
    <row r="39">
      <c r="B39" s="8" t="inlineStr">
        <is>
          <t>G&amp;A, legal, compliance, data</t>
        </is>
      </c>
      <c r="C39" s="22">
        <f>INDEX(Assumptions!$C$58:$C$60,C$5)</f>
        <v/>
      </c>
      <c r="D39" s="22">
        <f>INDEX(Assumptions!$C$58:$C$60,D$5)</f>
        <v/>
      </c>
      <c r="E39" s="22">
        <f>INDEX(Assumptions!$C$58:$C$60,E$5)</f>
        <v/>
      </c>
      <c r="F39" s="22">
        <f>INDEX(Assumptions!$C$58:$C$60,F$5)</f>
        <v/>
      </c>
      <c r="G39" s="22">
        <f>INDEX(Assumptions!$C$58:$C$60,G$5)</f>
        <v/>
      </c>
      <c r="H39" s="22">
        <f>INDEX(Assumptions!$C$58:$C$60,H$5)</f>
        <v/>
      </c>
      <c r="I39" s="22">
        <f>INDEX(Assumptions!$C$58:$C$60,I$5)</f>
        <v/>
      </c>
      <c r="J39" s="22">
        <f>INDEX(Assumptions!$C$58:$C$60,J$5)</f>
        <v/>
      </c>
      <c r="K39" s="22">
        <f>INDEX(Assumptions!$C$58:$C$60,K$5)</f>
        <v/>
      </c>
      <c r="L39" s="22">
        <f>INDEX(Assumptions!$C$58:$C$60,L$5)</f>
        <v/>
      </c>
      <c r="M39" s="22">
        <f>INDEX(Assumptions!$C$58:$C$60,M$5)</f>
        <v/>
      </c>
      <c r="N39" s="22">
        <f>INDEX(Assumptions!$C$58:$C$60,N$5)</f>
        <v/>
      </c>
      <c r="O39" s="22">
        <f>INDEX(Assumptions!$C$58:$C$60,O$5)</f>
        <v/>
      </c>
      <c r="P39" s="22">
        <f>INDEX(Assumptions!$C$58:$C$60,P$5)</f>
        <v/>
      </c>
      <c r="Q39" s="22">
        <f>INDEX(Assumptions!$C$58:$C$60,Q$5)</f>
        <v/>
      </c>
      <c r="R39" s="22">
        <f>INDEX(Assumptions!$C$58:$C$60,R$5)</f>
        <v/>
      </c>
      <c r="S39" s="22">
        <f>INDEX(Assumptions!$C$58:$C$60,S$5)</f>
        <v/>
      </c>
      <c r="T39" s="22">
        <f>INDEX(Assumptions!$C$58:$C$60,T$5)</f>
        <v/>
      </c>
      <c r="U39" s="22">
        <f>INDEX(Assumptions!$C$58:$C$60,U$5)</f>
        <v/>
      </c>
      <c r="V39" s="22">
        <f>INDEX(Assumptions!$C$58:$C$60,V$5)</f>
        <v/>
      </c>
      <c r="W39" s="22">
        <f>INDEX(Assumptions!$C$58:$C$60,W$5)</f>
        <v/>
      </c>
      <c r="X39" s="22">
        <f>INDEX(Assumptions!$C$58:$C$60,X$5)</f>
        <v/>
      </c>
      <c r="Y39" s="22">
        <f>INDEX(Assumptions!$C$58:$C$60,Y$5)</f>
        <v/>
      </c>
      <c r="Z39" s="22">
        <f>INDEX(Assumptions!$C$58:$C$60,Z$5)</f>
        <v/>
      </c>
      <c r="AA39" s="22">
        <f>INDEX(Assumptions!$C$58:$C$60,AA$5)</f>
        <v/>
      </c>
      <c r="AB39" s="22">
        <f>INDEX(Assumptions!$C$58:$C$60,AB$5)</f>
        <v/>
      </c>
      <c r="AC39" s="22">
        <f>INDEX(Assumptions!$C$58:$C$60,AC$5)</f>
        <v/>
      </c>
      <c r="AD39" s="22">
        <f>INDEX(Assumptions!$C$58:$C$60,AD$5)</f>
        <v/>
      </c>
      <c r="AE39" s="22">
        <f>INDEX(Assumptions!$C$58:$C$60,AE$5)</f>
        <v/>
      </c>
      <c r="AF39" s="22">
        <f>INDEX(Assumptions!$C$58:$C$60,AF$5)</f>
        <v/>
      </c>
      <c r="AG39" s="22">
        <f>INDEX(Assumptions!$C$58:$C$60,AG$5)</f>
        <v/>
      </c>
      <c r="AH39" s="22">
        <f>INDEX(Assumptions!$C$58:$C$60,AH$5)</f>
        <v/>
      </c>
      <c r="AI39" s="22">
        <f>INDEX(Assumptions!$C$58:$C$60,AI$5)</f>
        <v/>
      </c>
      <c r="AJ39" s="22">
        <f>INDEX(Assumptions!$C$58:$C$60,AJ$5)</f>
        <v/>
      </c>
      <c r="AK39" s="22">
        <f>INDEX(Assumptions!$C$58:$C$60,AK$5)</f>
        <v/>
      </c>
      <c r="AL39" s="22">
        <f>INDEX(Assumptions!$C$58:$C$60,AL$5)</f>
        <v/>
      </c>
    </row>
    <row r="40">
      <c r="B40" s="8" t="inlineStr">
        <is>
          <t>One-off costs</t>
        </is>
      </c>
      <c r="C40" s="22">
        <f>SUMIF(Assumptions!$B$80:$B$85,C$4,Assumptions!$C$80:$C$85)</f>
        <v/>
      </c>
      <c r="D40" s="22">
        <f>SUMIF(Assumptions!$B$80:$B$85,D$4,Assumptions!$C$80:$C$85)</f>
        <v/>
      </c>
      <c r="E40" s="22">
        <f>SUMIF(Assumptions!$B$80:$B$85,E$4,Assumptions!$C$80:$C$85)</f>
        <v/>
      </c>
      <c r="F40" s="22">
        <f>SUMIF(Assumptions!$B$80:$B$85,F$4,Assumptions!$C$80:$C$85)</f>
        <v/>
      </c>
      <c r="G40" s="22">
        <f>SUMIF(Assumptions!$B$80:$B$85,G$4,Assumptions!$C$80:$C$85)</f>
        <v/>
      </c>
      <c r="H40" s="22">
        <f>SUMIF(Assumptions!$B$80:$B$85,H$4,Assumptions!$C$80:$C$85)</f>
        <v/>
      </c>
      <c r="I40" s="22">
        <f>SUMIF(Assumptions!$B$80:$B$85,I$4,Assumptions!$C$80:$C$85)</f>
        <v/>
      </c>
      <c r="J40" s="22">
        <f>SUMIF(Assumptions!$B$80:$B$85,J$4,Assumptions!$C$80:$C$85)</f>
        <v/>
      </c>
      <c r="K40" s="22">
        <f>SUMIF(Assumptions!$B$80:$B$85,K$4,Assumptions!$C$80:$C$85)</f>
        <v/>
      </c>
      <c r="L40" s="22">
        <f>SUMIF(Assumptions!$B$80:$B$85,L$4,Assumptions!$C$80:$C$85)</f>
        <v/>
      </c>
      <c r="M40" s="22">
        <f>SUMIF(Assumptions!$B$80:$B$85,M$4,Assumptions!$C$80:$C$85)</f>
        <v/>
      </c>
      <c r="N40" s="22">
        <f>SUMIF(Assumptions!$B$80:$B$85,N$4,Assumptions!$C$80:$C$85)</f>
        <v/>
      </c>
      <c r="O40" s="22">
        <f>SUMIF(Assumptions!$B$80:$B$85,O$4,Assumptions!$C$80:$C$85)</f>
        <v/>
      </c>
      <c r="P40" s="22">
        <f>SUMIF(Assumptions!$B$80:$B$85,P$4,Assumptions!$C$80:$C$85)</f>
        <v/>
      </c>
      <c r="Q40" s="22">
        <f>SUMIF(Assumptions!$B$80:$B$85,Q$4,Assumptions!$C$80:$C$85)</f>
        <v/>
      </c>
      <c r="R40" s="22">
        <f>SUMIF(Assumptions!$B$80:$B$85,R$4,Assumptions!$C$80:$C$85)</f>
        <v/>
      </c>
      <c r="S40" s="22">
        <f>SUMIF(Assumptions!$B$80:$B$85,S$4,Assumptions!$C$80:$C$85)</f>
        <v/>
      </c>
      <c r="T40" s="22">
        <f>SUMIF(Assumptions!$B$80:$B$85,T$4,Assumptions!$C$80:$C$85)</f>
        <v/>
      </c>
      <c r="U40" s="22">
        <f>SUMIF(Assumptions!$B$80:$B$85,U$4,Assumptions!$C$80:$C$85)</f>
        <v/>
      </c>
      <c r="V40" s="22">
        <f>SUMIF(Assumptions!$B$80:$B$85,V$4,Assumptions!$C$80:$C$85)</f>
        <v/>
      </c>
      <c r="W40" s="22">
        <f>SUMIF(Assumptions!$B$80:$B$85,W$4,Assumptions!$C$80:$C$85)</f>
        <v/>
      </c>
      <c r="X40" s="22">
        <f>SUMIF(Assumptions!$B$80:$B$85,X$4,Assumptions!$C$80:$C$85)</f>
        <v/>
      </c>
      <c r="Y40" s="22">
        <f>SUMIF(Assumptions!$B$80:$B$85,Y$4,Assumptions!$C$80:$C$85)</f>
        <v/>
      </c>
      <c r="Z40" s="22">
        <f>SUMIF(Assumptions!$B$80:$B$85,Z$4,Assumptions!$C$80:$C$85)</f>
        <v/>
      </c>
      <c r="AA40" s="22">
        <f>SUMIF(Assumptions!$B$80:$B$85,AA$4,Assumptions!$C$80:$C$85)</f>
        <v/>
      </c>
      <c r="AB40" s="22">
        <f>SUMIF(Assumptions!$B$80:$B$85,AB$4,Assumptions!$C$80:$C$85)</f>
        <v/>
      </c>
      <c r="AC40" s="22">
        <f>SUMIF(Assumptions!$B$80:$B$85,AC$4,Assumptions!$C$80:$C$85)</f>
        <v/>
      </c>
      <c r="AD40" s="22">
        <f>SUMIF(Assumptions!$B$80:$B$85,AD$4,Assumptions!$C$80:$C$85)</f>
        <v/>
      </c>
      <c r="AE40" s="22">
        <f>SUMIF(Assumptions!$B$80:$B$85,AE$4,Assumptions!$C$80:$C$85)</f>
        <v/>
      </c>
      <c r="AF40" s="22">
        <f>SUMIF(Assumptions!$B$80:$B$85,AF$4,Assumptions!$C$80:$C$85)</f>
        <v/>
      </c>
      <c r="AG40" s="22">
        <f>SUMIF(Assumptions!$B$80:$B$85,AG$4,Assumptions!$C$80:$C$85)</f>
        <v/>
      </c>
      <c r="AH40" s="22">
        <f>SUMIF(Assumptions!$B$80:$B$85,AH$4,Assumptions!$C$80:$C$85)</f>
        <v/>
      </c>
      <c r="AI40" s="22">
        <f>SUMIF(Assumptions!$B$80:$B$85,AI$4,Assumptions!$C$80:$C$85)</f>
        <v/>
      </c>
      <c r="AJ40" s="22">
        <f>SUMIF(Assumptions!$B$80:$B$85,AJ$4,Assumptions!$C$80:$C$85)</f>
        <v/>
      </c>
      <c r="AK40" s="22">
        <f>SUMIF(Assumptions!$B$80:$B$85,AK$4,Assumptions!$C$80:$C$85)</f>
        <v/>
      </c>
      <c r="AL40" s="22">
        <f>SUMIF(Assumptions!$B$80:$B$85,AL$4,Assumptions!$C$80:$C$85)</f>
        <v/>
      </c>
    </row>
    <row r="41">
      <c r="B41" s="8" t="inlineStr">
        <is>
          <t>Fixed infrastructure</t>
        </is>
      </c>
      <c r="C41" s="22">
        <f>IF(C$4&lt;Assumptions!$C$25,Assumptions!$C$52,INDEX(Assumptions!$C$53:$C$55,C$5))</f>
        <v/>
      </c>
      <c r="D41" s="22">
        <f>IF(D$4&lt;Assumptions!$C$25,Assumptions!$C$52,INDEX(Assumptions!$C$53:$C$55,D$5))</f>
        <v/>
      </c>
      <c r="E41" s="22">
        <f>IF(E$4&lt;Assumptions!$C$25,Assumptions!$C$52,INDEX(Assumptions!$C$53:$C$55,E$5))</f>
        <v/>
      </c>
      <c r="F41" s="22">
        <f>IF(F$4&lt;Assumptions!$C$25,Assumptions!$C$52,INDEX(Assumptions!$C$53:$C$55,F$5))</f>
        <v/>
      </c>
      <c r="G41" s="22">
        <f>IF(G$4&lt;Assumptions!$C$25,Assumptions!$C$52,INDEX(Assumptions!$C$53:$C$55,G$5))</f>
        <v/>
      </c>
      <c r="H41" s="22">
        <f>IF(H$4&lt;Assumptions!$C$25,Assumptions!$C$52,INDEX(Assumptions!$C$53:$C$55,H$5))</f>
        <v/>
      </c>
      <c r="I41" s="22">
        <f>IF(I$4&lt;Assumptions!$C$25,Assumptions!$C$52,INDEX(Assumptions!$C$53:$C$55,I$5))</f>
        <v/>
      </c>
      <c r="J41" s="22">
        <f>IF(J$4&lt;Assumptions!$C$25,Assumptions!$C$52,INDEX(Assumptions!$C$53:$C$55,J$5))</f>
        <v/>
      </c>
      <c r="K41" s="22">
        <f>IF(K$4&lt;Assumptions!$C$25,Assumptions!$C$52,INDEX(Assumptions!$C$53:$C$55,K$5))</f>
        <v/>
      </c>
      <c r="L41" s="22">
        <f>IF(L$4&lt;Assumptions!$C$25,Assumptions!$C$52,INDEX(Assumptions!$C$53:$C$55,L$5))</f>
        <v/>
      </c>
      <c r="M41" s="22">
        <f>IF(M$4&lt;Assumptions!$C$25,Assumptions!$C$52,INDEX(Assumptions!$C$53:$C$55,M$5))</f>
        <v/>
      </c>
      <c r="N41" s="22">
        <f>IF(N$4&lt;Assumptions!$C$25,Assumptions!$C$52,INDEX(Assumptions!$C$53:$C$55,N$5))</f>
        <v/>
      </c>
      <c r="O41" s="22">
        <f>IF(O$4&lt;Assumptions!$C$25,Assumptions!$C$52,INDEX(Assumptions!$C$53:$C$55,O$5))</f>
        <v/>
      </c>
      <c r="P41" s="22">
        <f>IF(P$4&lt;Assumptions!$C$25,Assumptions!$C$52,INDEX(Assumptions!$C$53:$C$55,P$5))</f>
        <v/>
      </c>
      <c r="Q41" s="22">
        <f>IF(Q$4&lt;Assumptions!$C$25,Assumptions!$C$52,INDEX(Assumptions!$C$53:$C$55,Q$5))</f>
        <v/>
      </c>
      <c r="R41" s="22">
        <f>IF(R$4&lt;Assumptions!$C$25,Assumptions!$C$52,INDEX(Assumptions!$C$53:$C$55,R$5))</f>
        <v/>
      </c>
      <c r="S41" s="22">
        <f>IF(S$4&lt;Assumptions!$C$25,Assumptions!$C$52,INDEX(Assumptions!$C$53:$C$55,S$5))</f>
        <v/>
      </c>
      <c r="T41" s="22">
        <f>IF(T$4&lt;Assumptions!$C$25,Assumptions!$C$52,INDEX(Assumptions!$C$53:$C$55,T$5))</f>
        <v/>
      </c>
      <c r="U41" s="22">
        <f>IF(U$4&lt;Assumptions!$C$25,Assumptions!$C$52,INDEX(Assumptions!$C$53:$C$55,U$5))</f>
        <v/>
      </c>
      <c r="V41" s="22">
        <f>IF(V$4&lt;Assumptions!$C$25,Assumptions!$C$52,INDEX(Assumptions!$C$53:$C$55,V$5))</f>
        <v/>
      </c>
      <c r="W41" s="22">
        <f>IF(W$4&lt;Assumptions!$C$25,Assumptions!$C$52,INDEX(Assumptions!$C$53:$C$55,W$5))</f>
        <v/>
      </c>
      <c r="X41" s="22">
        <f>IF(X$4&lt;Assumptions!$C$25,Assumptions!$C$52,INDEX(Assumptions!$C$53:$C$55,X$5))</f>
        <v/>
      </c>
      <c r="Y41" s="22">
        <f>IF(Y$4&lt;Assumptions!$C$25,Assumptions!$C$52,INDEX(Assumptions!$C$53:$C$55,Y$5))</f>
        <v/>
      </c>
      <c r="Z41" s="22">
        <f>IF(Z$4&lt;Assumptions!$C$25,Assumptions!$C$52,INDEX(Assumptions!$C$53:$C$55,Z$5))</f>
        <v/>
      </c>
      <c r="AA41" s="22">
        <f>IF(AA$4&lt;Assumptions!$C$25,Assumptions!$C$52,INDEX(Assumptions!$C$53:$C$55,AA$5))</f>
        <v/>
      </c>
      <c r="AB41" s="22">
        <f>IF(AB$4&lt;Assumptions!$C$25,Assumptions!$C$52,INDEX(Assumptions!$C$53:$C$55,AB$5))</f>
        <v/>
      </c>
      <c r="AC41" s="22">
        <f>IF(AC$4&lt;Assumptions!$C$25,Assumptions!$C$52,INDEX(Assumptions!$C$53:$C$55,AC$5))</f>
        <v/>
      </c>
      <c r="AD41" s="22">
        <f>IF(AD$4&lt;Assumptions!$C$25,Assumptions!$C$52,INDEX(Assumptions!$C$53:$C$55,AD$5))</f>
        <v/>
      </c>
      <c r="AE41" s="22">
        <f>IF(AE$4&lt;Assumptions!$C$25,Assumptions!$C$52,INDEX(Assumptions!$C$53:$C$55,AE$5))</f>
        <v/>
      </c>
      <c r="AF41" s="22">
        <f>IF(AF$4&lt;Assumptions!$C$25,Assumptions!$C$52,INDEX(Assumptions!$C$53:$C$55,AF$5))</f>
        <v/>
      </c>
      <c r="AG41" s="22">
        <f>IF(AG$4&lt;Assumptions!$C$25,Assumptions!$C$52,INDEX(Assumptions!$C$53:$C$55,AG$5))</f>
        <v/>
      </c>
      <c r="AH41" s="22">
        <f>IF(AH$4&lt;Assumptions!$C$25,Assumptions!$C$52,INDEX(Assumptions!$C$53:$C$55,AH$5))</f>
        <v/>
      </c>
      <c r="AI41" s="22">
        <f>IF(AI$4&lt;Assumptions!$C$25,Assumptions!$C$52,INDEX(Assumptions!$C$53:$C$55,AI$5))</f>
        <v/>
      </c>
      <c r="AJ41" s="22">
        <f>IF(AJ$4&lt;Assumptions!$C$25,Assumptions!$C$52,INDEX(Assumptions!$C$53:$C$55,AJ$5))</f>
        <v/>
      </c>
      <c r="AK41" s="22">
        <f>IF(AK$4&lt;Assumptions!$C$25,Assumptions!$C$52,INDEX(Assumptions!$C$53:$C$55,AK$5))</f>
        <v/>
      </c>
      <c r="AL41" s="22">
        <f>IF(AL$4&lt;Assumptions!$C$25,Assumptions!$C$52,INDEX(Assumptions!$C$53:$C$55,AL$5))</f>
        <v/>
      </c>
    </row>
    <row r="42">
      <c r="B42" s="5" t="inlineStr">
        <is>
          <t>Total operating expense</t>
        </is>
      </c>
      <c r="C42" s="33">
        <f>SUM(C37:C41)</f>
        <v/>
      </c>
      <c r="D42" s="33">
        <f>SUM(D37:D41)</f>
        <v/>
      </c>
      <c r="E42" s="33">
        <f>SUM(E37:E41)</f>
        <v/>
      </c>
      <c r="F42" s="33">
        <f>SUM(F37:F41)</f>
        <v/>
      </c>
      <c r="G42" s="33">
        <f>SUM(G37:G41)</f>
        <v/>
      </c>
      <c r="H42" s="33">
        <f>SUM(H37:H41)</f>
        <v/>
      </c>
      <c r="I42" s="33">
        <f>SUM(I37:I41)</f>
        <v/>
      </c>
      <c r="J42" s="33">
        <f>SUM(J37:J41)</f>
        <v/>
      </c>
      <c r="K42" s="33">
        <f>SUM(K37:K41)</f>
        <v/>
      </c>
      <c r="L42" s="33">
        <f>SUM(L37:L41)</f>
        <v/>
      </c>
      <c r="M42" s="33">
        <f>SUM(M37:M41)</f>
        <v/>
      </c>
      <c r="N42" s="33">
        <f>SUM(N37:N41)</f>
        <v/>
      </c>
      <c r="O42" s="33">
        <f>SUM(O37:O41)</f>
        <v/>
      </c>
      <c r="P42" s="33">
        <f>SUM(P37:P41)</f>
        <v/>
      </c>
      <c r="Q42" s="33">
        <f>SUM(Q37:Q41)</f>
        <v/>
      </c>
      <c r="R42" s="33">
        <f>SUM(R37:R41)</f>
        <v/>
      </c>
      <c r="S42" s="33">
        <f>SUM(S37:S41)</f>
        <v/>
      </c>
      <c r="T42" s="33">
        <f>SUM(T37:T41)</f>
        <v/>
      </c>
      <c r="U42" s="33">
        <f>SUM(U37:U41)</f>
        <v/>
      </c>
      <c r="V42" s="33">
        <f>SUM(V37:V41)</f>
        <v/>
      </c>
      <c r="W42" s="33">
        <f>SUM(W37:W41)</f>
        <v/>
      </c>
      <c r="X42" s="33">
        <f>SUM(X37:X41)</f>
        <v/>
      </c>
      <c r="Y42" s="33">
        <f>SUM(Y37:Y41)</f>
        <v/>
      </c>
      <c r="Z42" s="33">
        <f>SUM(Z37:Z41)</f>
        <v/>
      </c>
      <c r="AA42" s="33">
        <f>SUM(AA37:AA41)</f>
        <v/>
      </c>
      <c r="AB42" s="33">
        <f>SUM(AB37:AB41)</f>
        <v/>
      </c>
      <c r="AC42" s="33">
        <f>SUM(AC37:AC41)</f>
        <v/>
      </c>
      <c r="AD42" s="33">
        <f>SUM(AD37:AD41)</f>
        <v/>
      </c>
      <c r="AE42" s="33">
        <f>SUM(AE37:AE41)</f>
        <v/>
      </c>
      <c r="AF42" s="33">
        <f>SUM(AF37:AF41)</f>
        <v/>
      </c>
      <c r="AG42" s="33">
        <f>SUM(AG37:AG41)</f>
        <v/>
      </c>
      <c r="AH42" s="33">
        <f>SUM(AH37:AH41)</f>
        <v/>
      </c>
      <c r="AI42" s="33">
        <f>SUM(AI37:AI41)</f>
        <v/>
      </c>
      <c r="AJ42" s="33">
        <f>SUM(AJ37:AJ41)</f>
        <v/>
      </c>
      <c r="AK42" s="33">
        <f>SUM(AK37:AK41)</f>
        <v/>
      </c>
      <c r="AL42" s="33">
        <f>SUM(AL37:AL41)</f>
        <v/>
      </c>
    </row>
    <row r="44">
      <c r="B44" s="28" t="inlineStr">
        <is>
          <t>RESULT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</row>
    <row r="45">
      <c r="B45" s="5" t="inlineStr">
        <is>
          <t>EBITDA</t>
        </is>
      </c>
      <c r="C45" s="33">
        <f>C33-C42</f>
        <v/>
      </c>
      <c r="D45" s="33">
        <f>D33-D42</f>
        <v/>
      </c>
      <c r="E45" s="33">
        <f>E33-E42</f>
        <v/>
      </c>
      <c r="F45" s="33">
        <f>F33-F42</f>
        <v/>
      </c>
      <c r="G45" s="33">
        <f>G33-G42</f>
        <v/>
      </c>
      <c r="H45" s="33">
        <f>H33-H42</f>
        <v/>
      </c>
      <c r="I45" s="33">
        <f>I33-I42</f>
        <v/>
      </c>
      <c r="J45" s="33">
        <f>J33-J42</f>
        <v/>
      </c>
      <c r="K45" s="33">
        <f>K33-K42</f>
        <v/>
      </c>
      <c r="L45" s="33">
        <f>L33-L42</f>
        <v/>
      </c>
      <c r="M45" s="33">
        <f>M33-M42</f>
        <v/>
      </c>
      <c r="N45" s="33">
        <f>N33-N42</f>
        <v/>
      </c>
      <c r="O45" s="33">
        <f>O33-O42</f>
        <v/>
      </c>
      <c r="P45" s="33">
        <f>P33-P42</f>
        <v/>
      </c>
      <c r="Q45" s="33">
        <f>Q33-Q42</f>
        <v/>
      </c>
      <c r="R45" s="33">
        <f>R33-R42</f>
        <v/>
      </c>
      <c r="S45" s="33">
        <f>S33-S42</f>
        <v/>
      </c>
      <c r="T45" s="33">
        <f>T33-T42</f>
        <v/>
      </c>
      <c r="U45" s="33">
        <f>U33-U42</f>
        <v/>
      </c>
      <c r="V45" s="33">
        <f>V33-V42</f>
        <v/>
      </c>
      <c r="W45" s="33">
        <f>W33-W42</f>
        <v/>
      </c>
      <c r="X45" s="33">
        <f>X33-X42</f>
        <v/>
      </c>
      <c r="Y45" s="33">
        <f>Y33-Y42</f>
        <v/>
      </c>
      <c r="Z45" s="33">
        <f>Z33-Z42</f>
        <v/>
      </c>
      <c r="AA45" s="33">
        <f>AA33-AA42</f>
        <v/>
      </c>
      <c r="AB45" s="33">
        <f>AB33-AB42</f>
        <v/>
      </c>
      <c r="AC45" s="33">
        <f>AC33-AC42</f>
        <v/>
      </c>
      <c r="AD45" s="33">
        <f>AD33-AD42</f>
        <v/>
      </c>
      <c r="AE45" s="33">
        <f>AE33-AE42</f>
        <v/>
      </c>
      <c r="AF45" s="33">
        <f>AF33-AF42</f>
        <v/>
      </c>
      <c r="AG45" s="33">
        <f>AG33-AG42</f>
        <v/>
      </c>
      <c r="AH45" s="33">
        <f>AH33-AH42</f>
        <v/>
      </c>
      <c r="AI45" s="33">
        <f>AI33-AI42</f>
        <v/>
      </c>
      <c r="AJ45" s="33">
        <f>AJ33-AJ42</f>
        <v/>
      </c>
      <c r="AK45" s="33">
        <f>AK33-AK42</f>
        <v/>
      </c>
      <c r="AL45" s="33">
        <f>AL33-AL42</f>
        <v/>
      </c>
    </row>
    <row r="46">
      <c r="B46" s="8" t="inlineStr">
        <is>
          <t>Cumulative EBITDA</t>
        </is>
      </c>
      <c r="C46" s="22">
        <f>C45</f>
        <v/>
      </c>
      <c r="D46" s="22">
        <f>C46+D45</f>
        <v/>
      </c>
      <c r="E46" s="22">
        <f>D46+E45</f>
        <v/>
      </c>
      <c r="F46" s="22">
        <f>E46+F45</f>
        <v/>
      </c>
      <c r="G46" s="22">
        <f>F46+G45</f>
        <v/>
      </c>
      <c r="H46" s="22">
        <f>G46+H45</f>
        <v/>
      </c>
      <c r="I46" s="22">
        <f>H46+I45</f>
        <v/>
      </c>
      <c r="J46" s="22">
        <f>I46+J45</f>
        <v/>
      </c>
      <c r="K46" s="22">
        <f>J46+K45</f>
        <v/>
      </c>
      <c r="L46" s="22">
        <f>K46+L45</f>
        <v/>
      </c>
      <c r="M46" s="22">
        <f>L46+M45</f>
        <v/>
      </c>
      <c r="N46" s="22">
        <f>M46+N45</f>
        <v/>
      </c>
      <c r="O46" s="22">
        <f>N46+O45</f>
        <v/>
      </c>
      <c r="P46" s="22">
        <f>O46+P45</f>
        <v/>
      </c>
      <c r="Q46" s="22">
        <f>P46+Q45</f>
        <v/>
      </c>
      <c r="R46" s="22">
        <f>Q46+R45</f>
        <v/>
      </c>
      <c r="S46" s="22">
        <f>R46+S45</f>
        <v/>
      </c>
      <c r="T46" s="22">
        <f>S46+T45</f>
        <v/>
      </c>
      <c r="U46" s="22">
        <f>T46+U45</f>
        <v/>
      </c>
      <c r="V46" s="22">
        <f>U46+V45</f>
        <v/>
      </c>
      <c r="W46" s="22">
        <f>V46+W45</f>
        <v/>
      </c>
      <c r="X46" s="22">
        <f>W46+X45</f>
        <v/>
      </c>
      <c r="Y46" s="22">
        <f>X46+Y45</f>
        <v/>
      </c>
      <c r="Z46" s="22">
        <f>Y46+Z45</f>
        <v/>
      </c>
      <c r="AA46" s="22">
        <f>Z46+AA45</f>
        <v/>
      </c>
      <c r="AB46" s="22">
        <f>AA46+AB45</f>
        <v/>
      </c>
      <c r="AC46" s="22">
        <f>AB46+AC45</f>
        <v/>
      </c>
      <c r="AD46" s="22">
        <f>AC46+AD45</f>
        <v/>
      </c>
      <c r="AE46" s="22">
        <f>AD46+AE45</f>
        <v/>
      </c>
      <c r="AF46" s="22">
        <f>AE46+AF45</f>
        <v/>
      </c>
      <c r="AG46" s="22">
        <f>AF46+AG45</f>
        <v/>
      </c>
      <c r="AH46" s="22">
        <f>AG46+AH45</f>
        <v/>
      </c>
      <c r="AI46" s="22">
        <f>AH46+AI45</f>
        <v/>
      </c>
      <c r="AJ46" s="22">
        <f>AI46+AJ45</f>
        <v/>
      </c>
      <c r="AK46" s="22">
        <f>AJ46+AK45</f>
        <v/>
      </c>
      <c r="AL46" s="22">
        <f>AK46+AL45</f>
        <v/>
      </c>
    </row>
    <row r="47">
      <c r="B47" s="8" t="inlineStr">
        <is>
          <t>Funding received</t>
        </is>
      </c>
      <c r="C47" s="22">
        <f>IF(C$4=Assumptions!$C$64,Assumptions!$C$63,0)+IF(C$4=Assumptions!$C$66,Assumptions!$C$65,0)</f>
        <v/>
      </c>
      <c r="D47" s="22">
        <f>IF(D$4=Assumptions!$C$64,Assumptions!$C$63,0)+IF(D$4=Assumptions!$C$66,Assumptions!$C$65,0)</f>
        <v/>
      </c>
      <c r="E47" s="22">
        <f>IF(E$4=Assumptions!$C$64,Assumptions!$C$63,0)+IF(E$4=Assumptions!$C$66,Assumptions!$C$65,0)</f>
        <v/>
      </c>
      <c r="F47" s="22">
        <f>IF(F$4=Assumptions!$C$64,Assumptions!$C$63,0)+IF(F$4=Assumptions!$C$66,Assumptions!$C$65,0)</f>
        <v/>
      </c>
      <c r="G47" s="22">
        <f>IF(G$4=Assumptions!$C$64,Assumptions!$C$63,0)+IF(G$4=Assumptions!$C$66,Assumptions!$C$65,0)</f>
        <v/>
      </c>
      <c r="H47" s="22">
        <f>IF(H$4=Assumptions!$C$64,Assumptions!$C$63,0)+IF(H$4=Assumptions!$C$66,Assumptions!$C$65,0)</f>
        <v/>
      </c>
      <c r="I47" s="22">
        <f>IF(I$4=Assumptions!$C$64,Assumptions!$C$63,0)+IF(I$4=Assumptions!$C$66,Assumptions!$C$65,0)</f>
        <v/>
      </c>
      <c r="J47" s="22">
        <f>IF(J$4=Assumptions!$C$64,Assumptions!$C$63,0)+IF(J$4=Assumptions!$C$66,Assumptions!$C$65,0)</f>
        <v/>
      </c>
      <c r="K47" s="22">
        <f>IF(K$4=Assumptions!$C$64,Assumptions!$C$63,0)+IF(K$4=Assumptions!$C$66,Assumptions!$C$65,0)</f>
        <v/>
      </c>
      <c r="L47" s="22">
        <f>IF(L$4=Assumptions!$C$64,Assumptions!$C$63,0)+IF(L$4=Assumptions!$C$66,Assumptions!$C$65,0)</f>
        <v/>
      </c>
      <c r="M47" s="22">
        <f>IF(M$4=Assumptions!$C$64,Assumptions!$C$63,0)+IF(M$4=Assumptions!$C$66,Assumptions!$C$65,0)</f>
        <v/>
      </c>
      <c r="N47" s="22">
        <f>IF(N$4=Assumptions!$C$64,Assumptions!$C$63,0)+IF(N$4=Assumptions!$C$66,Assumptions!$C$65,0)</f>
        <v/>
      </c>
      <c r="O47" s="22">
        <f>IF(O$4=Assumptions!$C$64,Assumptions!$C$63,0)+IF(O$4=Assumptions!$C$66,Assumptions!$C$65,0)</f>
        <v/>
      </c>
      <c r="P47" s="22">
        <f>IF(P$4=Assumptions!$C$64,Assumptions!$C$63,0)+IF(P$4=Assumptions!$C$66,Assumptions!$C$65,0)</f>
        <v/>
      </c>
      <c r="Q47" s="22">
        <f>IF(Q$4=Assumptions!$C$64,Assumptions!$C$63,0)+IF(Q$4=Assumptions!$C$66,Assumptions!$C$65,0)</f>
        <v/>
      </c>
      <c r="R47" s="22">
        <f>IF(R$4=Assumptions!$C$64,Assumptions!$C$63,0)+IF(R$4=Assumptions!$C$66,Assumptions!$C$65,0)</f>
        <v/>
      </c>
      <c r="S47" s="22">
        <f>IF(S$4=Assumptions!$C$64,Assumptions!$C$63,0)+IF(S$4=Assumptions!$C$66,Assumptions!$C$65,0)</f>
        <v/>
      </c>
      <c r="T47" s="22">
        <f>IF(T$4=Assumptions!$C$64,Assumptions!$C$63,0)+IF(T$4=Assumptions!$C$66,Assumptions!$C$65,0)</f>
        <v/>
      </c>
      <c r="U47" s="22">
        <f>IF(U$4=Assumptions!$C$64,Assumptions!$C$63,0)+IF(U$4=Assumptions!$C$66,Assumptions!$C$65,0)</f>
        <v/>
      </c>
      <c r="V47" s="22">
        <f>IF(V$4=Assumptions!$C$64,Assumptions!$C$63,0)+IF(V$4=Assumptions!$C$66,Assumptions!$C$65,0)</f>
        <v/>
      </c>
      <c r="W47" s="22">
        <f>IF(W$4=Assumptions!$C$64,Assumptions!$C$63,0)+IF(W$4=Assumptions!$C$66,Assumptions!$C$65,0)</f>
        <v/>
      </c>
      <c r="X47" s="22">
        <f>IF(X$4=Assumptions!$C$64,Assumptions!$C$63,0)+IF(X$4=Assumptions!$C$66,Assumptions!$C$65,0)</f>
        <v/>
      </c>
      <c r="Y47" s="22">
        <f>IF(Y$4=Assumptions!$C$64,Assumptions!$C$63,0)+IF(Y$4=Assumptions!$C$66,Assumptions!$C$65,0)</f>
        <v/>
      </c>
      <c r="Z47" s="22">
        <f>IF(Z$4=Assumptions!$C$64,Assumptions!$C$63,0)+IF(Z$4=Assumptions!$C$66,Assumptions!$C$65,0)</f>
        <v/>
      </c>
      <c r="AA47" s="22">
        <f>IF(AA$4=Assumptions!$C$64,Assumptions!$C$63,0)+IF(AA$4=Assumptions!$C$66,Assumptions!$C$65,0)</f>
        <v/>
      </c>
      <c r="AB47" s="22">
        <f>IF(AB$4=Assumptions!$C$64,Assumptions!$C$63,0)+IF(AB$4=Assumptions!$C$66,Assumptions!$C$65,0)</f>
        <v/>
      </c>
      <c r="AC47" s="22">
        <f>IF(AC$4=Assumptions!$C$64,Assumptions!$C$63,0)+IF(AC$4=Assumptions!$C$66,Assumptions!$C$65,0)</f>
        <v/>
      </c>
      <c r="AD47" s="22">
        <f>IF(AD$4=Assumptions!$C$64,Assumptions!$C$63,0)+IF(AD$4=Assumptions!$C$66,Assumptions!$C$65,0)</f>
        <v/>
      </c>
      <c r="AE47" s="22">
        <f>IF(AE$4=Assumptions!$C$64,Assumptions!$C$63,0)+IF(AE$4=Assumptions!$C$66,Assumptions!$C$65,0)</f>
        <v/>
      </c>
      <c r="AF47" s="22">
        <f>IF(AF$4=Assumptions!$C$64,Assumptions!$C$63,0)+IF(AF$4=Assumptions!$C$66,Assumptions!$C$65,0)</f>
        <v/>
      </c>
      <c r="AG47" s="22">
        <f>IF(AG$4=Assumptions!$C$64,Assumptions!$C$63,0)+IF(AG$4=Assumptions!$C$66,Assumptions!$C$65,0)</f>
        <v/>
      </c>
      <c r="AH47" s="22">
        <f>IF(AH$4=Assumptions!$C$64,Assumptions!$C$63,0)+IF(AH$4=Assumptions!$C$66,Assumptions!$C$65,0)</f>
        <v/>
      </c>
      <c r="AI47" s="22">
        <f>IF(AI$4=Assumptions!$C$64,Assumptions!$C$63,0)+IF(AI$4=Assumptions!$C$66,Assumptions!$C$65,0)</f>
        <v/>
      </c>
      <c r="AJ47" s="22">
        <f>IF(AJ$4=Assumptions!$C$64,Assumptions!$C$63,0)+IF(AJ$4=Assumptions!$C$66,Assumptions!$C$65,0)</f>
        <v/>
      </c>
      <c r="AK47" s="22">
        <f>IF(AK$4=Assumptions!$C$64,Assumptions!$C$63,0)+IF(AK$4=Assumptions!$C$66,Assumptions!$C$65,0)</f>
        <v/>
      </c>
      <c r="AL47" s="22">
        <f>IF(AL$4=Assumptions!$C$64,Assumptions!$C$63,0)+IF(AL$4=Assumptions!$C$66,Assumptions!$C$65,0)</f>
        <v/>
      </c>
    </row>
    <row r="48">
      <c r="B48" s="5" t="inlineStr">
        <is>
          <t>Cash on hand</t>
        </is>
      </c>
      <c r="C48" s="33">
        <f>C47+C45</f>
        <v/>
      </c>
      <c r="D48" s="33">
        <f>C48+D47+D45</f>
        <v/>
      </c>
      <c r="E48" s="33">
        <f>D48+E47+E45</f>
        <v/>
      </c>
      <c r="F48" s="33">
        <f>E48+F47+F45</f>
        <v/>
      </c>
      <c r="G48" s="33">
        <f>F48+G47+G45</f>
        <v/>
      </c>
      <c r="H48" s="33">
        <f>G48+H47+H45</f>
        <v/>
      </c>
      <c r="I48" s="33">
        <f>H48+I47+I45</f>
        <v/>
      </c>
      <c r="J48" s="33">
        <f>I48+J47+J45</f>
        <v/>
      </c>
      <c r="K48" s="33">
        <f>J48+K47+K45</f>
        <v/>
      </c>
      <c r="L48" s="33">
        <f>K48+L47+L45</f>
        <v/>
      </c>
      <c r="M48" s="33">
        <f>L48+M47+M45</f>
        <v/>
      </c>
      <c r="N48" s="33">
        <f>M48+N47+N45</f>
        <v/>
      </c>
      <c r="O48" s="33">
        <f>N48+O47+O45</f>
        <v/>
      </c>
      <c r="P48" s="33">
        <f>O48+P47+P45</f>
        <v/>
      </c>
      <c r="Q48" s="33">
        <f>P48+Q47+Q45</f>
        <v/>
      </c>
      <c r="R48" s="33">
        <f>Q48+R47+R45</f>
        <v/>
      </c>
      <c r="S48" s="33">
        <f>R48+S47+S45</f>
        <v/>
      </c>
      <c r="T48" s="33">
        <f>S48+T47+T45</f>
        <v/>
      </c>
      <c r="U48" s="33">
        <f>T48+U47+U45</f>
        <v/>
      </c>
      <c r="V48" s="33">
        <f>U48+V47+V45</f>
        <v/>
      </c>
      <c r="W48" s="33">
        <f>V48+W47+W45</f>
        <v/>
      </c>
      <c r="X48" s="33">
        <f>W48+X47+X45</f>
        <v/>
      </c>
      <c r="Y48" s="33">
        <f>X48+Y47+Y45</f>
        <v/>
      </c>
      <c r="Z48" s="33">
        <f>Y48+Z47+Z45</f>
        <v/>
      </c>
      <c r="AA48" s="33">
        <f>Z48+AA47+AA45</f>
        <v/>
      </c>
      <c r="AB48" s="33">
        <f>AA48+AB47+AB45</f>
        <v/>
      </c>
      <c r="AC48" s="33">
        <f>AB48+AC47+AC45</f>
        <v/>
      </c>
      <c r="AD48" s="33">
        <f>AC48+AD47+AD45</f>
        <v/>
      </c>
      <c r="AE48" s="33">
        <f>AD48+AE47+AE45</f>
        <v/>
      </c>
      <c r="AF48" s="33">
        <f>AE48+AF47+AF45</f>
        <v/>
      </c>
      <c r="AG48" s="33">
        <f>AF48+AG47+AG45</f>
        <v/>
      </c>
      <c r="AH48" s="33">
        <f>AG48+AH47+AH45</f>
        <v/>
      </c>
      <c r="AI48" s="33">
        <f>AH48+AI47+AI45</f>
        <v/>
      </c>
      <c r="AJ48" s="33">
        <f>AI48+AJ47+AJ45</f>
        <v/>
      </c>
      <c r="AK48" s="33">
        <f>AJ48+AK47+AK45</f>
        <v/>
      </c>
      <c r="AL48" s="33">
        <f>AK48+AL47+AL45</f>
        <v/>
      </c>
    </row>
    <row r="49">
      <c r="B49" s="8" t="inlineStr">
        <is>
          <t>Headcount</t>
        </is>
      </c>
      <c r="C49" s="35">
        <f>Team!J35</f>
        <v/>
      </c>
      <c r="D49" s="35">
        <f>Team!K35</f>
        <v/>
      </c>
      <c r="E49" s="35">
        <f>Team!L35</f>
        <v/>
      </c>
      <c r="F49" s="35">
        <f>Team!M35</f>
        <v/>
      </c>
      <c r="G49" s="35">
        <f>Team!N35</f>
        <v/>
      </c>
      <c r="H49" s="35">
        <f>Team!O35</f>
        <v/>
      </c>
      <c r="I49" s="35">
        <f>Team!P35</f>
        <v/>
      </c>
      <c r="J49" s="35">
        <f>Team!Q35</f>
        <v/>
      </c>
      <c r="K49" s="35">
        <f>Team!R35</f>
        <v/>
      </c>
      <c r="L49" s="35">
        <f>Team!S35</f>
        <v/>
      </c>
      <c r="M49" s="35">
        <f>Team!T35</f>
        <v/>
      </c>
      <c r="N49" s="35">
        <f>Team!U35</f>
        <v/>
      </c>
      <c r="O49" s="35">
        <f>Team!V35</f>
        <v/>
      </c>
      <c r="P49" s="35">
        <f>Team!W35</f>
        <v/>
      </c>
      <c r="Q49" s="35">
        <f>Team!X35</f>
        <v/>
      </c>
      <c r="R49" s="35">
        <f>Team!Y35</f>
        <v/>
      </c>
      <c r="S49" s="35">
        <f>Team!Z35</f>
        <v/>
      </c>
      <c r="T49" s="35">
        <f>Team!AA35</f>
        <v/>
      </c>
      <c r="U49" s="35">
        <f>Team!AB35</f>
        <v/>
      </c>
      <c r="V49" s="35">
        <f>Team!AC35</f>
        <v/>
      </c>
      <c r="W49" s="35">
        <f>Team!AD35</f>
        <v/>
      </c>
      <c r="X49" s="35">
        <f>Team!AE35</f>
        <v/>
      </c>
      <c r="Y49" s="35">
        <f>Team!AF35</f>
        <v/>
      </c>
      <c r="Z49" s="35">
        <f>Team!AG35</f>
        <v/>
      </c>
      <c r="AA49" s="35">
        <f>Team!AH35</f>
        <v/>
      </c>
      <c r="AB49" s="35">
        <f>Team!AI35</f>
        <v/>
      </c>
      <c r="AC49" s="35">
        <f>Team!AJ35</f>
        <v/>
      </c>
      <c r="AD49" s="35">
        <f>Team!AK35</f>
        <v/>
      </c>
      <c r="AE49" s="35">
        <f>Team!AL35</f>
        <v/>
      </c>
      <c r="AF49" s="35">
        <f>Team!AM35</f>
        <v/>
      </c>
      <c r="AG49" s="35">
        <f>Team!AN35</f>
        <v/>
      </c>
      <c r="AH49" s="35">
        <f>Team!AO35</f>
        <v/>
      </c>
      <c r="AI49" s="35">
        <f>Team!AP35</f>
        <v/>
      </c>
      <c r="AJ49" s="35">
        <f>Team!AQ35</f>
        <v/>
      </c>
      <c r="AK49" s="35">
        <f>Team!AR35</f>
        <v/>
      </c>
      <c r="AL49" s="35">
        <f>Team!AS35</f>
        <v/>
      </c>
    </row>
    <row r="51">
      <c r="B51" s="2" t="inlineStr">
        <is>
          <t>First EBITDA-positive month (helper)</t>
        </is>
      </c>
      <c r="C51" s="51">
        <f>IF(C45&gt;0,C$4,999)</f>
        <v/>
      </c>
      <c r="D51" s="51">
        <f>IF(D45&gt;0,D$4,999)</f>
        <v/>
      </c>
      <c r="E51" s="51">
        <f>IF(E45&gt;0,E$4,999)</f>
        <v/>
      </c>
      <c r="F51" s="51">
        <f>IF(F45&gt;0,F$4,999)</f>
        <v/>
      </c>
      <c r="G51" s="51">
        <f>IF(G45&gt;0,G$4,999)</f>
        <v/>
      </c>
      <c r="H51" s="51">
        <f>IF(H45&gt;0,H$4,999)</f>
        <v/>
      </c>
      <c r="I51" s="51">
        <f>IF(I45&gt;0,I$4,999)</f>
        <v/>
      </c>
      <c r="J51" s="51">
        <f>IF(J45&gt;0,J$4,999)</f>
        <v/>
      </c>
      <c r="K51" s="51">
        <f>IF(K45&gt;0,K$4,999)</f>
        <v/>
      </c>
      <c r="L51" s="51">
        <f>IF(L45&gt;0,L$4,999)</f>
        <v/>
      </c>
      <c r="M51" s="51">
        <f>IF(M45&gt;0,M$4,999)</f>
        <v/>
      </c>
      <c r="N51" s="51">
        <f>IF(N45&gt;0,N$4,999)</f>
        <v/>
      </c>
      <c r="O51" s="51">
        <f>IF(O45&gt;0,O$4,999)</f>
        <v/>
      </c>
      <c r="P51" s="51">
        <f>IF(P45&gt;0,P$4,999)</f>
        <v/>
      </c>
      <c r="Q51" s="51">
        <f>IF(Q45&gt;0,Q$4,999)</f>
        <v/>
      </c>
      <c r="R51" s="51">
        <f>IF(R45&gt;0,R$4,999)</f>
        <v/>
      </c>
      <c r="S51" s="51">
        <f>IF(S45&gt;0,S$4,999)</f>
        <v/>
      </c>
      <c r="T51" s="51">
        <f>IF(T45&gt;0,T$4,999)</f>
        <v/>
      </c>
      <c r="U51" s="51">
        <f>IF(U45&gt;0,U$4,999)</f>
        <v/>
      </c>
      <c r="V51" s="51">
        <f>IF(V45&gt;0,V$4,999)</f>
        <v/>
      </c>
      <c r="W51" s="51">
        <f>IF(W45&gt;0,W$4,999)</f>
        <v/>
      </c>
      <c r="X51" s="51">
        <f>IF(X45&gt;0,X$4,999)</f>
        <v/>
      </c>
      <c r="Y51" s="51">
        <f>IF(Y45&gt;0,Y$4,999)</f>
        <v/>
      </c>
      <c r="Z51" s="51">
        <f>IF(Z45&gt;0,Z$4,999)</f>
        <v/>
      </c>
      <c r="AA51" s="51">
        <f>IF(AA45&gt;0,AA$4,999)</f>
        <v/>
      </c>
      <c r="AB51" s="51">
        <f>IF(AB45&gt;0,AB$4,999)</f>
        <v/>
      </c>
      <c r="AC51" s="51">
        <f>IF(AC45&gt;0,AC$4,999)</f>
        <v/>
      </c>
      <c r="AD51" s="51">
        <f>IF(AD45&gt;0,AD$4,999)</f>
        <v/>
      </c>
      <c r="AE51" s="51">
        <f>IF(AE45&gt;0,AE$4,999)</f>
        <v/>
      </c>
      <c r="AF51" s="51">
        <f>IF(AF45&gt;0,AF$4,999)</f>
        <v/>
      </c>
      <c r="AG51" s="51">
        <f>IF(AG45&gt;0,AG$4,999)</f>
        <v/>
      </c>
      <c r="AH51" s="51">
        <f>IF(AH45&gt;0,AH$4,999)</f>
        <v/>
      </c>
      <c r="AI51" s="51">
        <f>IF(AI45&gt;0,AI$4,999)</f>
        <v/>
      </c>
      <c r="AJ51" s="51">
        <f>IF(AJ45&gt;0,AJ$4,999)</f>
        <v/>
      </c>
      <c r="AK51" s="51">
        <f>IF(AK45&gt;0,AK$4,999)</f>
        <v/>
      </c>
      <c r="AL51" s="51">
        <f>IF(AL45&gt;0,AL$4,999)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L5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2">
      <c r="B2" s="1" t="inlineStr">
        <is>
          <t>DiaBite — monthly model · Upside case</t>
        </is>
      </c>
    </row>
    <row r="3">
      <c r="B3" s="2" t="inlineStr">
        <is>
          <t>Every figure is a formula reading column E of the Assumptions tab and the Team tab. Change an assumption and this sheet follows. Month 1 is November 2026.</t>
        </is>
      </c>
    </row>
    <row r="4">
      <c r="B4" s="12" t="inlineStr">
        <is>
          <t>Month</t>
        </is>
      </c>
      <c r="C4" s="21" t="n">
        <v>1</v>
      </c>
      <c r="D4" s="21" t="n">
        <v>2</v>
      </c>
      <c r="E4" s="21" t="n">
        <v>3</v>
      </c>
      <c r="F4" s="21" t="n">
        <v>4</v>
      </c>
      <c r="G4" s="21" t="n">
        <v>5</v>
      </c>
      <c r="H4" s="21" t="n">
        <v>6</v>
      </c>
      <c r="I4" s="21" t="n">
        <v>7</v>
      </c>
      <c r="J4" s="21" t="n">
        <v>8</v>
      </c>
      <c r="K4" s="21" t="n">
        <v>9</v>
      </c>
      <c r="L4" s="21" t="n">
        <v>10</v>
      </c>
      <c r="M4" s="21" t="n">
        <v>11</v>
      </c>
      <c r="N4" s="21" t="n">
        <v>12</v>
      </c>
      <c r="O4" s="21" t="n">
        <v>13</v>
      </c>
      <c r="P4" s="21" t="n">
        <v>14</v>
      </c>
      <c r="Q4" s="21" t="n">
        <v>15</v>
      </c>
      <c r="R4" s="21" t="n">
        <v>16</v>
      </c>
      <c r="S4" s="21" t="n">
        <v>17</v>
      </c>
      <c r="T4" s="21" t="n">
        <v>18</v>
      </c>
      <c r="U4" s="21" t="n">
        <v>19</v>
      </c>
      <c r="V4" s="21" t="n">
        <v>20</v>
      </c>
      <c r="W4" s="21" t="n">
        <v>21</v>
      </c>
      <c r="X4" s="21" t="n">
        <v>22</v>
      </c>
      <c r="Y4" s="21" t="n">
        <v>23</v>
      </c>
      <c r="Z4" s="21" t="n">
        <v>24</v>
      </c>
      <c r="AA4" s="21" t="n">
        <v>25</v>
      </c>
      <c r="AB4" s="21" t="n">
        <v>26</v>
      </c>
      <c r="AC4" s="21" t="n">
        <v>27</v>
      </c>
      <c r="AD4" s="21" t="n">
        <v>28</v>
      </c>
      <c r="AE4" s="21" t="n">
        <v>29</v>
      </c>
      <c r="AF4" s="21" t="n">
        <v>30</v>
      </c>
      <c r="AG4" s="21" t="n">
        <v>31</v>
      </c>
      <c r="AH4" s="21" t="n">
        <v>32</v>
      </c>
      <c r="AI4" s="21" t="n">
        <v>33</v>
      </c>
      <c r="AJ4" s="21" t="n">
        <v>34</v>
      </c>
      <c r="AK4" s="21" t="n">
        <v>35</v>
      </c>
      <c r="AL4" s="21" t="n">
        <v>36</v>
      </c>
    </row>
    <row r="5">
      <c r="B5" s="26" t="inlineStr">
        <is>
          <t>Year</t>
        </is>
      </c>
      <c r="C5" s="27">
        <f>MIN(3,ROUNDUP(C4/12,0))</f>
        <v/>
      </c>
      <c r="D5" s="27">
        <f>MIN(3,ROUNDUP(D4/12,0))</f>
        <v/>
      </c>
      <c r="E5" s="27">
        <f>MIN(3,ROUNDUP(E4/12,0))</f>
        <v/>
      </c>
      <c r="F5" s="27">
        <f>MIN(3,ROUNDUP(F4/12,0))</f>
        <v/>
      </c>
      <c r="G5" s="27">
        <f>MIN(3,ROUNDUP(G4/12,0))</f>
        <v/>
      </c>
      <c r="H5" s="27">
        <f>MIN(3,ROUNDUP(H4/12,0))</f>
        <v/>
      </c>
      <c r="I5" s="27">
        <f>MIN(3,ROUNDUP(I4/12,0))</f>
        <v/>
      </c>
      <c r="J5" s="27">
        <f>MIN(3,ROUNDUP(J4/12,0))</f>
        <v/>
      </c>
      <c r="K5" s="27">
        <f>MIN(3,ROUNDUP(K4/12,0))</f>
        <v/>
      </c>
      <c r="L5" s="27">
        <f>MIN(3,ROUNDUP(L4/12,0))</f>
        <v/>
      </c>
      <c r="M5" s="27">
        <f>MIN(3,ROUNDUP(M4/12,0))</f>
        <v/>
      </c>
      <c r="N5" s="27">
        <f>MIN(3,ROUNDUP(N4/12,0))</f>
        <v/>
      </c>
      <c r="O5" s="27">
        <f>MIN(3,ROUNDUP(O4/12,0))</f>
        <v/>
      </c>
      <c r="P5" s="27">
        <f>MIN(3,ROUNDUP(P4/12,0))</f>
        <v/>
      </c>
      <c r="Q5" s="27">
        <f>MIN(3,ROUNDUP(Q4/12,0))</f>
        <v/>
      </c>
      <c r="R5" s="27">
        <f>MIN(3,ROUNDUP(R4/12,0))</f>
        <v/>
      </c>
      <c r="S5" s="27">
        <f>MIN(3,ROUNDUP(S4/12,0))</f>
        <v/>
      </c>
      <c r="T5" s="27">
        <f>MIN(3,ROUNDUP(T4/12,0))</f>
        <v/>
      </c>
      <c r="U5" s="27">
        <f>MIN(3,ROUNDUP(U4/12,0))</f>
        <v/>
      </c>
      <c r="V5" s="27">
        <f>MIN(3,ROUNDUP(V4/12,0))</f>
        <v/>
      </c>
      <c r="W5" s="27">
        <f>MIN(3,ROUNDUP(W4/12,0))</f>
        <v/>
      </c>
      <c r="X5" s="27">
        <f>MIN(3,ROUNDUP(X4/12,0))</f>
        <v/>
      </c>
      <c r="Y5" s="27">
        <f>MIN(3,ROUNDUP(Y4/12,0))</f>
        <v/>
      </c>
      <c r="Z5" s="27">
        <f>MIN(3,ROUNDUP(Z4/12,0))</f>
        <v/>
      </c>
      <c r="AA5" s="27">
        <f>MIN(3,ROUNDUP(AA4/12,0))</f>
        <v/>
      </c>
      <c r="AB5" s="27">
        <f>MIN(3,ROUNDUP(AB4/12,0))</f>
        <v/>
      </c>
      <c r="AC5" s="27">
        <f>MIN(3,ROUNDUP(AC4/12,0))</f>
        <v/>
      </c>
      <c r="AD5" s="27">
        <f>MIN(3,ROUNDUP(AD4/12,0))</f>
        <v/>
      </c>
      <c r="AE5" s="27">
        <f>MIN(3,ROUNDUP(AE4/12,0))</f>
        <v/>
      </c>
      <c r="AF5" s="27">
        <f>MIN(3,ROUNDUP(AF4/12,0))</f>
        <v/>
      </c>
      <c r="AG5" s="27">
        <f>MIN(3,ROUNDUP(AG4/12,0))</f>
        <v/>
      </c>
      <c r="AH5" s="27">
        <f>MIN(3,ROUNDUP(AH4/12,0))</f>
        <v/>
      </c>
      <c r="AI5" s="27">
        <f>MIN(3,ROUNDUP(AI4/12,0))</f>
        <v/>
      </c>
      <c r="AJ5" s="27">
        <f>MIN(3,ROUNDUP(AJ4/12,0))</f>
        <v/>
      </c>
      <c r="AK5" s="27">
        <f>MIN(3,ROUNDUP(AK4/12,0))</f>
        <v/>
      </c>
      <c r="AL5" s="27">
        <f>MIN(3,ROUNDUP(AL4/12,0))</f>
        <v/>
      </c>
    </row>
    <row r="7">
      <c r="B7" s="28" t="inlineStr">
        <is>
          <t>ACQUISITION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</row>
    <row r="8">
      <c r="B8" s="8" t="inlineStr">
        <is>
          <t>Organic signups</t>
        </is>
      </c>
      <c r="C8" s="29">
        <f>IF(C$4&lt;Assumptions!$E$25,0,Assumptions!$E$26*(1+Assumptions!$E$27)^(C$4-Assumptions!$E$25))</f>
        <v/>
      </c>
      <c r="D8" s="29">
        <f>IF(D$4&lt;Assumptions!$E$25,0,Assumptions!$E$26*(1+Assumptions!$E$27)^(D$4-Assumptions!$E$25))</f>
        <v/>
      </c>
      <c r="E8" s="29">
        <f>IF(E$4&lt;Assumptions!$E$25,0,Assumptions!$E$26*(1+Assumptions!$E$27)^(E$4-Assumptions!$E$25))</f>
        <v/>
      </c>
      <c r="F8" s="29">
        <f>IF(F$4&lt;Assumptions!$E$25,0,Assumptions!$E$26*(1+Assumptions!$E$27)^(F$4-Assumptions!$E$25))</f>
        <v/>
      </c>
      <c r="G8" s="29">
        <f>IF(G$4&lt;Assumptions!$E$25,0,Assumptions!$E$26*(1+Assumptions!$E$27)^(G$4-Assumptions!$E$25))</f>
        <v/>
      </c>
      <c r="H8" s="29">
        <f>IF(H$4&lt;Assumptions!$E$25,0,Assumptions!$E$26*(1+Assumptions!$E$27)^(H$4-Assumptions!$E$25))</f>
        <v/>
      </c>
      <c r="I8" s="29">
        <f>IF(I$4&lt;Assumptions!$E$25,0,Assumptions!$E$26*(1+Assumptions!$E$27)^(I$4-Assumptions!$E$25))</f>
        <v/>
      </c>
      <c r="J8" s="29">
        <f>IF(J$4&lt;Assumptions!$E$25,0,Assumptions!$E$26*(1+Assumptions!$E$27)^(J$4-Assumptions!$E$25))</f>
        <v/>
      </c>
      <c r="K8" s="29">
        <f>IF(K$4&lt;Assumptions!$E$25,0,Assumptions!$E$26*(1+Assumptions!$E$27)^(K$4-Assumptions!$E$25))</f>
        <v/>
      </c>
      <c r="L8" s="29">
        <f>IF(L$4&lt;Assumptions!$E$25,0,Assumptions!$E$26*(1+Assumptions!$E$27)^(L$4-Assumptions!$E$25))</f>
        <v/>
      </c>
      <c r="M8" s="29">
        <f>IF(M$4&lt;Assumptions!$E$25,0,Assumptions!$E$26*(1+Assumptions!$E$27)^(M$4-Assumptions!$E$25))</f>
        <v/>
      </c>
      <c r="N8" s="29">
        <f>IF(N$4&lt;Assumptions!$E$25,0,Assumptions!$E$26*(1+Assumptions!$E$27)^(N$4-Assumptions!$E$25))</f>
        <v/>
      </c>
      <c r="O8" s="29">
        <f>IF(O$4&lt;Assumptions!$E$25,0,Assumptions!$E$26*(1+Assumptions!$E$27)^(O$4-Assumptions!$E$25))</f>
        <v/>
      </c>
      <c r="P8" s="29">
        <f>IF(P$4&lt;Assumptions!$E$25,0,Assumptions!$E$26*(1+Assumptions!$E$27)^(P$4-Assumptions!$E$25))</f>
        <v/>
      </c>
      <c r="Q8" s="29">
        <f>IF(Q$4&lt;Assumptions!$E$25,0,Assumptions!$E$26*(1+Assumptions!$E$27)^(Q$4-Assumptions!$E$25))</f>
        <v/>
      </c>
      <c r="R8" s="29">
        <f>IF(R$4&lt;Assumptions!$E$25,0,Assumptions!$E$26*(1+Assumptions!$E$27)^(R$4-Assumptions!$E$25))</f>
        <v/>
      </c>
      <c r="S8" s="29">
        <f>IF(S$4&lt;Assumptions!$E$25,0,Assumptions!$E$26*(1+Assumptions!$E$27)^(S$4-Assumptions!$E$25))</f>
        <v/>
      </c>
      <c r="T8" s="29">
        <f>IF(T$4&lt;Assumptions!$E$25,0,Assumptions!$E$26*(1+Assumptions!$E$27)^(T$4-Assumptions!$E$25))</f>
        <v/>
      </c>
      <c r="U8" s="29">
        <f>IF(U$4&lt;Assumptions!$E$25,0,Assumptions!$E$26*(1+Assumptions!$E$27)^(U$4-Assumptions!$E$25))</f>
        <v/>
      </c>
      <c r="V8" s="29">
        <f>IF(V$4&lt;Assumptions!$E$25,0,Assumptions!$E$26*(1+Assumptions!$E$27)^(V$4-Assumptions!$E$25))</f>
        <v/>
      </c>
      <c r="W8" s="29">
        <f>IF(W$4&lt;Assumptions!$E$25,0,Assumptions!$E$26*(1+Assumptions!$E$27)^(W$4-Assumptions!$E$25))</f>
        <v/>
      </c>
      <c r="X8" s="29">
        <f>IF(X$4&lt;Assumptions!$E$25,0,Assumptions!$E$26*(1+Assumptions!$E$27)^(X$4-Assumptions!$E$25))</f>
        <v/>
      </c>
      <c r="Y8" s="29">
        <f>IF(Y$4&lt;Assumptions!$E$25,0,Assumptions!$E$26*(1+Assumptions!$E$27)^(Y$4-Assumptions!$E$25))</f>
        <v/>
      </c>
      <c r="Z8" s="29">
        <f>IF(Z$4&lt;Assumptions!$E$25,0,Assumptions!$E$26*(1+Assumptions!$E$27)^(Z$4-Assumptions!$E$25))</f>
        <v/>
      </c>
      <c r="AA8" s="29">
        <f>IF(AA$4&lt;Assumptions!$E$25,0,Assumptions!$E$26*(1+Assumptions!$E$27)^(AA$4-Assumptions!$E$25))</f>
        <v/>
      </c>
      <c r="AB8" s="29">
        <f>IF(AB$4&lt;Assumptions!$E$25,0,Assumptions!$E$26*(1+Assumptions!$E$27)^(AB$4-Assumptions!$E$25))</f>
        <v/>
      </c>
      <c r="AC8" s="29">
        <f>IF(AC$4&lt;Assumptions!$E$25,0,Assumptions!$E$26*(1+Assumptions!$E$27)^(AC$4-Assumptions!$E$25))</f>
        <v/>
      </c>
      <c r="AD8" s="29">
        <f>IF(AD$4&lt;Assumptions!$E$25,0,Assumptions!$E$26*(1+Assumptions!$E$27)^(AD$4-Assumptions!$E$25))</f>
        <v/>
      </c>
      <c r="AE8" s="29">
        <f>IF(AE$4&lt;Assumptions!$E$25,0,Assumptions!$E$26*(1+Assumptions!$E$27)^(AE$4-Assumptions!$E$25))</f>
        <v/>
      </c>
      <c r="AF8" s="29">
        <f>IF(AF$4&lt;Assumptions!$E$25,0,Assumptions!$E$26*(1+Assumptions!$E$27)^(AF$4-Assumptions!$E$25))</f>
        <v/>
      </c>
      <c r="AG8" s="29">
        <f>IF(AG$4&lt;Assumptions!$E$25,0,Assumptions!$E$26*(1+Assumptions!$E$27)^(AG$4-Assumptions!$E$25))</f>
        <v/>
      </c>
      <c r="AH8" s="29">
        <f>IF(AH$4&lt;Assumptions!$E$25,0,Assumptions!$E$26*(1+Assumptions!$E$27)^(AH$4-Assumptions!$E$25))</f>
        <v/>
      </c>
      <c r="AI8" s="29">
        <f>IF(AI$4&lt;Assumptions!$E$25,0,Assumptions!$E$26*(1+Assumptions!$E$27)^(AI$4-Assumptions!$E$25))</f>
        <v/>
      </c>
      <c r="AJ8" s="29">
        <f>IF(AJ$4&lt;Assumptions!$E$25,0,Assumptions!$E$26*(1+Assumptions!$E$27)^(AJ$4-Assumptions!$E$25))</f>
        <v/>
      </c>
      <c r="AK8" s="29">
        <f>IF(AK$4&lt;Assumptions!$E$25,0,Assumptions!$E$26*(1+Assumptions!$E$27)^(AK$4-Assumptions!$E$25))</f>
        <v/>
      </c>
      <c r="AL8" s="29">
        <f>IF(AL$4&lt;Assumptions!$E$25,0,Assumptions!$E$26*(1+Assumptions!$E$27)^(AL$4-Assumptions!$E$25))</f>
        <v/>
      </c>
    </row>
    <row r="9">
      <c r="B9" s="8" t="inlineStr">
        <is>
          <t>Marketing spend</t>
        </is>
      </c>
      <c r="C9" s="22">
        <f>INDEX(Assumptions!$E$70:$E$76,MATCH(C$4,Assumptions!$B$70:$B$76,1))</f>
        <v/>
      </c>
      <c r="D9" s="22">
        <f>INDEX(Assumptions!$E$70:$E$76,MATCH(D$4,Assumptions!$B$70:$B$76,1))</f>
        <v/>
      </c>
      <c r="E9" s="22">
        <f>INDEX(Assumptions!$E$70:$E$76,MATCH(E$4,Assumptions!$B$70:$B$76,1))</f>
        <v/>
      </c>
      <c r="F9" s="22">
        <f>INDEX(Assumptions!$E$70:$E$76,MATCH(F$4,Assumptions!$B$70:$B$76,1))</f>
        <v/>
      </c>
      <c r="G9" s="22">
        <f>INDEX(Assumptions!$E$70:$E$76,MATCH(G$4,Assumptions!$B$70:$B$76,1))</f>
        <v/>
      </c>
      <c r="H9" s="22">
        <f>INDEX(Assumptions!$E$70:$E$76,MATCH(H$4,Assumptions!$B$70:$B$76,1))</f>
        <v/>
      </c>
      <c r="I9" s="22">
        <f>INDEX(Assumptions!$E$70:$E$76,MATCH(I$4,Assumptions!$B$70:$B$76,1))</f>
        <v/>
      </c>
      <c r="J9" s="22">
        <f>INDEX(Assumptions!$E$70:$E$76,MATCH(J$4,Assumptions!$B$70:$B$76,1))</f>
        <v/>
      </c>
      <c r="K9" s="22">
        <f>INDEX(Assumptions!$E$70:$E$76,MATCH(K$4,Assumptions!$B$70:$B$76,1))</f>
        <v/>
      </c>
      <c r="L9" s="22">
        <f>INDEX(Assumptions!$E$70:$E$76,MATCH(L$4,Assumptions!$B$70:$B$76,1))</f>
        <v/>
      </c>
      <c r="M9" s="22">
        <f>INDEX(Assumptions!$E$70:$E$76,MATCH(M$4,Assumptions!$B$70:$B$76,1))</f>
        <v/>
      </c>
      <c r="N9" s="22">
        <f>INDEX(Assumptions!$E$70:$E$76,MATCH(N$4,Assumptions!$B$70:$B$76,1))</f>
        <v/>
      </c>
      <c r="O9" s="22">
        <f>INDEX(Assumptions!$E$70:$E$76,MATCH(O$4,Assumptions!$B$70:$B$76,1))</f>
        <v/>
      </c>
      <c r="P9" s="22">
        <f>INDEX(Assumptions!$E$70:$E$76,MATCH(P$4,Assumptions!$B$70:$B$76,1))</f>
        <v/>
      </c>
      <c r="Q9" s="22">
        <f>INDEX(Assumptions!$E$70:$E$76,MATCH(Q$4,Assumptions!$B$70:$B$76,1))</f>
        <v/>
      </c>
      <c r="R9" s="22">
        <f>INDEX(Assumptions!$E$70:$E$76,MATCH(R$4,Assumptions!$B$70:$B$76,1))</f>
        <v/>
      </c>
      <c r="S9" s="22">
        <f>INDEX(Assumptions!$E$70:$E$76,MATCH(S$4,Assumptions!$B$70:$B$76,1))</f>
        <v/>
      </c>
      <c r="T9" s="22">
        <f>INDEX(Assumptions!$E$70:$E$76,MATCH(T$4,Assumptions!$B$70:$B$76,1))</f>
        <v/>
      </c>
      <c r="U9" s="22">
        <f>INDEX(Assumptions!$E$70:$E$76,MATCH(U$4,Assumptions!$B$70:$B$76,1))</f>
        <v/>
      </c>
      <c r="V9" s="22">
        <f>INDEX(Assumptions!$E$70:$E$76,MATCH(V$4,Assumptions!$B$70:$B$76,1))</f>
        <v/>
      </c>
      <c r="W9" s="22">
        <f>INDEX(Assumptions!$E$70:$E$76,MATCH(W$4,Assumptions!$B$70:$B$76,1))</f>
        <v/>
      </c>
      <c r="X9" s="22">
        <f>INDEX(Assumptions!$E$70:$E$76,MATCH(X$4,Assumptions!$B$70:$B$76,1))</f>
        <v/>
      </c>
      <c r="Y9" s="22">
        <f>INDEX(Assumptions!$E$70:$E$76,MATCH(Y$4,Assumptions!$B$70:$B$76,1))</f>
        <v/>
      </c>
      <c r="Z9" s="22">
        <f>INDEX(Assumptions!$E$70:$E$76,MATCH(Z$4,Assumptions!$B$70:$B$76,1))</f>
        <v/>
      </c>
      <c r="AA9" s="22">
        <f>INDEX(Assumptions!$E$70:$E$76,MATCH(AA$4,Assumptions!$B$70:$B$76,1))</f>
        <v/>
      </c>
      <c r="AB9" s="22">
        <f>INDEX(Assumptions!$E$70:$E$76,MATCH(AB$4,Assumptions!$B$70:$B$76,1))</f>
        <v/>
      </c>
      <c r="AC9" s="22">
        <f>INDEX(Assumptions!$E$70:$E$76,MATCH(AC$4,Assumptions!$B$70:$B$76,1))</f>
        <v/>
      </c>
      <c r="AD9" s="22">
        <f>INDEX(Assumptions!$E$70:$E$76,MATCH(AD$4,Assumptions!$B$70:$B$76,1))</f>
        <v/>
      </c>
      <c r="AE9" s="22">
        <f>INDEX(Assumptions!$E$70:$E$76,MATCH(AE$4,Assumptions!$B$70:$B$76,1))</f>
        <v/>
      </c>
      <c r="AF9" s="22">
        <f>INDEX(Assumptions!$E$70:$E$76,MATCH(AF$4,Assumptions!$B$70:$B$76,1))</f>
        <v/>
      </c>
      <c r="AG9" s="22">
        <f>INDEX(Assumptions!$E$70:$E$76,MATCH(AG$4,Assumptions!$B$70:$B$76,1))</f>
        <v/>
      </c>
      <c r="AH9" s="22">
        <f>INDEX(Assumptions!$E$70:$E$76,MATCH(AH$4,Assumptions!$B$70:$B$76,1))</f>
        <v/>
      </c>
      <c r="AI9" s="22">
        <f>INDEX(Assumptions!$E$70:$E$76,MATCH(AI$4,Assumptions!$B$70:$B$76,1))</f>
        <v/>
      </c>
      <c r="AJ9" s="22">
        <f>INDEX(Assumptions!$E$70:$E$76,MATCH(AJ$4,Assumptions!$B$70:$B$76,1))</f>
        <v/>
      </c>
      <c r="AK9" s="22">
        <f>INDEX(Assumptions!$E$70:$E$76,MATCH(AK$4,Assumptions!$B$70:$B$76,1))</f>
        <v/>
      </c>
      <c r="AL9" s="22">
        <f>INDEX(Assumptions!$E$70:$E$76,MATCH(AL$4,Assumptions!$B$70:$B$76,1))</f>
        <v/>
      </c>
    </row>
    <row r="10">
      <c r="B10" s="8" t="inlineStr">
        <is>
          <t>Cost per registered signup</t>
        </is>
      </c>
      <c r="C10" s="30">
        <f>INDEX(Assumptions!$E$32:$E$34,C$5)</f>
        <v/>
      </c>
      <c r="D10" s="30">
        <f>INDEX(Assumptions!$E$32:$E$34,D$5)</f>
        <v/>
      </c>
      <c r="E10" s="30">
        <f>INDEX(Assumptions!$E$32:$E$34,E$5)</f>
        <v/>
      </c>
      <c r="F10" s="30">
        <f>INDEX(Assumptions!$E$32:$E$34,F$5)</f>
        <v/>
      </c>
      <c r="G10" s="30">
        <f>INDEX(Assumptions!$E$32:$E$34,G$5)</f>
        <v/>
      </c>
      <c r="H10" s="30">
        <f>INDEX(Assumptions!$E$32:$E$34,H$5)</f>
        <v/>
      </c>
      <c r="I10" s="30">
        <f>INDEX(Assumptions!$E$32:$E$34,I$5)</f>
        <v/>
      </c>
      <c r="J10" s="30">
        <f>INDEX(Assumptions!$E$32:$E$34,J$5)</f>
        <v/>
      </c>
      <c r="K10" s="30">
        <f>INDEX(Assumptions!$E$32:$E$34,K$5)</f>
        <v/>
      </c>
      <c r="L10" s="30">
        <f>INDEX(Assumptions!$E$32:$E$34,L$5)</f>
        <v/>
      </c>
      <c r="M10" s="30">
        <f>INDEX(Assumptions!$E$32:$E$34,M$5)</f>
        <v/>
      </c>
      <c r="N10" s="30">
        <f>INDEX(Assumptions!$E$32:$E$34,N$5)</f>
        <v/>
      </c>
      <c r="O10" s="30">
        <f>INDEX(Assumptions!$E$32:$E$34,O$5)</f>
        <v/>
      </c>
      <c r="P10" s="30">
        <f>INDEX(Assumptions!$E$32:$E$34,P$5)</f>
        <v/>
      </c>
      <c r="Q10" s="30">
        <f>INDEX(Assumptions!$E$32:$E$34,Q$5)</f>
        <v/>
      </c>
      <c r="R10" s="30">
        <f>INDEX(Assumptions!$E$32:$E$34,R$5)</f>
        <v/>
      </c>
      <c r="S10" s="30">
        <f>INDEX(Assumptions!$E$32:$E$34,S$5)</f>
        <v/>
      </c>
      <c r="T10" s="30">
        <f>INDEX(Assumptions!$E$32:$E$34,T$5)</f>
        <v/>
      </c>
      <c r="U10" s="30">
        <f>INDEX(Assumptions!$E$32:$E$34,U$5)</f>
        <v/>
      </c>
      <c r="V10" s="30">
        <f>INDEX(Assumptions!$E$32:$E$34,V$5)</f>
        <v/>
      </c>
      <c r="W10" s="30">
        <f>INDEX(Assumptions!$E$32:$E$34,W$5)</f>
        <v/>
      </c>
      <c r="X10" s="30">
        <f>INDEX(Assumptions!$E$32:$E$34,X$5)</f>
        <v/>
      </c>
      <c r="Y10" s="30">
        <f>INDEX(Assumptions!$E$32:$E$34,Y$5)</f>
        <v/>
      </c>
      <c r="Z10" s="30">
        <f>INDEX(Assumptions!$E$32:$E$34,Z$5)</f>
        <v/>
      </c>
      <c r="AA10" s="30">
        <f>INDEX(Assumptions!$E$32:$E$34,AA$5)</f>
        <v/>
      </c>
      <c r="AB10" s="30">
        <f>INDEX(Assumptions!$E$32:$E$34,AB$5)</f>
        <v/>
      </c>
      <c r="AC10" s="30">
        <f>INDEX(Assumptions!$E$32:$E$34,AC$5)</f>
        <v/>
      </c>
      <c r="AD10" s="30">
        <f>INDEX(Assumptions!$E$32:$E$34,AD$5)</f>
        <v/>
      </c>
      <c r="AE10" s="30">
        <f>INDEX(Assumptions!$E$32:$E$34,AE$5)</f>
        <v/>
      </c>
      <c r="AF10" s="30">
        <f>INDEX(Assumptions!$E$32:$E$34,AF$5)</f>
        <v/>
      </c>
      <c r="AG10" s="30">
        <f>INDEX(Assumptions!$E$32:$E$34,AG$5)</f>
        <v/>
      </c>
      <c r="AH10" s="30">
        <f>INDEX(Assumptions!$E$32:$E$34,AH$5)</f>
        <v/>
      </c>
      <c r="AI10" s="30">
        <f>INDEX(Assumptions!$E$32:$E$34,AI$5)</f>
        <v/>
      </c>
      <c r="AJ10" s="30">
        <f>INDEX(Assumptions!$E$32:$E$34,AJ$5)</f>
        <v/>
      </c>
      <c r="AK10" s="30">
        <f>INDEX(Assumptions!$E$32:$E$34,AK$5)</f>
        <v/>
      </c>
      <c r="AL10" s="30">
        <f>INDEX(Assumptions!$E$32:$E$34,AL$5)</f>
        <v/>
      </c>
    </row>
    <row r="11">
      <c r="B11" s="8" t="inlineStr">
        <is>
          <t>Paid signups</t>
        </is>
      </c>
      <c r="C11" s="29">
        <f>IF(OR(C$4&lt;Assumptions!$E$25,C10=0),0,C9/C10)</f>
        <v/>
      </c>
      <c r="D11" s="29">
        <f>IF(OR(D$4&lt;Assumptions!$E$25,D10=0),0,D9/D10)</f>
        <v/>
      </c>
      <c r="E11" s="29">
        <f>IF(OR(E$4&lt;Assumptions!$E$25,E10=0),0,E9/E10)</f>
        <v/>
      </c>
      <c r="F11" s="29">
        <f>IF(OR(F$4&lt;Assumptions!$E$25,F10=0),0,F9/F10)</f>
        <v/>
      </c>
      <c r="G11" s="29">
        <f>IF(OR(G$4&lt;Assumptions!$E$25,G10=0),0,G9/G10)</f>
        <v/>
      </c>
      <c r="H11" s="29">
        <f>IF(OR(H$4&lt;Assumptions!$E$25,H10=0),0,H9/H10)</f>
        <v/>
      </c>
      <c r="I11" s="29">
        <f>IF(OR(I$4&lt;Assumptions!$E$25,I10=0),0,I9/I10)</f>
        <v/>
      </c>
      <c r="J11" s="29">
        <f>IF(OR(J$4&lt;Assumptions!$E$25,J10=0),0,J9/J10)</f>
        <v/>
      </c>
      <c r="K11" s="29">
        <f>IF(OR(K$4&lt;Assumptions!$E$25,K10=0),0,K9/K10)</f>
        <v/>
      </c>
      <c r="L11" s="29">
        <f>IF(OR(L$4&lt;Assumptions!$E$25,L10=0),0,L9/L10)</f>
        <v/>
      </c>
      <c r="M11" s="29">
        <f>IF(OR(M$4&lt;Assumptions!$E$25,M10=0),0,M9/M10)</f>
        <v/>
      </c>
      <c r="N11" s="29">
        <f>IF(OR(N$4&lt;Assumptions!$E$25,N10=0),0,N9/N10)</f>
        <v/>
      </c>
      <c r="O11" s="29">
        <f>IF(OR(O$4&lt;Assumptions!$E$25,O10=0),0,O9/O10)</f>
        <v/>
      </c>
      <c r="P11" s="29">
        <f>IF(OR(P$4&lt;Assumptions!$E$25,P10=0),0,P9/P10)</f>
        <v/>
      </c>
      <c r="Q11" s="29">
        <f>IF(OR(Q$4&lt;Assumptions!$E$25,Q10=0),0,Q9/Q10)</f>
        <v/>
      </c>
      <c r="R11" s="29">
        <f>IF(OR(R$4&lt;Assumptions!$E$25,R10=0),0,R9/R10)</f>
        <v/>
      </c>
      <c r="S11" s="29">
        <f>IF(OR(S$4&lt;Assumptions!$E$25,S10=0),0,S9/S10)</f>
        <v/>
      </c>
      <c r="T11" s="29">
        <f>IF(OR(T$4&lt;Assumptions!$E$25,T10=0),0,T9/T10)</f>
        <v/>
      </c>
      <c r="U11" s="29">
        <f>IF(OR(U$4&lt;Assumptions!$E$25,U10=0),0,U9/U10)</f>
        <v/>
      </c>
      <c r="V11" s="29">
        <f>IF(OR(V$4&lt;Assumptions!$E$25,V10=0),0,V9/V10)</f>
        <v/>
      </c>
      <c r="W11" s="29">
        <f>IF(OR(W$4&lt;Assumptions!$E$25,W10=0),0,W9/W10)</f>
        <v/>
      </c>
      <c r="X11" s="29">
        <f>IF(OR(X$4&lt;Assumptions!$E$25,X10=0),0,X9/X10)</f>
        <v/>
      </c>
      <c r="Y11" s="29">
        <f>IF(OR(Y$4&lt;Assumptions!$E$25,Y10=0),0,Y9/Y10)</f>
        <v/>
      </c>
      <c r="Z11" s="29">
        <f>IF(OR(Z$4&lt;Assumptions!$E$25,Z10=0),0,Z9/Z10)</f>
        <v/>
      </c>
      <c r="AA11" s="29">
        <f>IF(OR(AA$4&lt;Assumptions!$E$25,AA10=0),0,AA9/AA10)</f>
        <v/>
      </c>
      <c r="AB11" s="29">
        <f>IF(OR(AB$4&lt;Assumptions!$E$25,AB10=0),0,AB9/AB10)</f>
        <v/>
      </c>
      <c r="AC11" s="29">
        <f>IF(OR(AC$4&lt;Assumptions!$E$25,AC10=0),0,AC9/AC10)</f>
        <v/>
      </c>
      <c r="AD11" s="29">
        <f>IF(OR(AD$4&lt;Assumptions!$E$25,AD10=0),0,AD9/AD10)</f>
        <v/>
      </c>
      <c r="AE11" s="29">
        <f>IF(OR(AE$4&lt;Assumptions!$E$25,AE10=0),0,AE9/AE10)</f>
        <v/>
      </c>
      <c r="AF11" s="29">
        <f>IF(OR(AF$4&lt;Assumptions!$E$25,AF10=0),0,AF9/AF10)</f>
        <v/>
      </c>
      <c r="AG11" s="29">
        <f>IF(OR(AG$4&lt;Assumptions!$E$25,AG10=0),0,AG9/AG10)</f>
        <v/>
      </c>
      <c r="AH11" s="29">
        <f>IF(OR(AH$4&lt;Assumptions!$E$25,AH10=0),0,AH9/AH10)</f>
        <v/>
      </c>
      <c r="AI11" s="29">
        <f>IF(OR(AI$4&lt;Assumptions!$E$25,AI10=0),0,AI9/AI10)</f>
        <v/>
      </c>
      <c r="AJ11" s="29">
        <f>IF(OR(AJ$4&lt;Assumptions!$E$25,AJ10=0),0,AJ9/AJ10)</f>
        <v/>
      </c>
      <c r="AK11" s="29">
        <f>IF(OR(AK$4&lt;Assumptions!$E$25,AK10=0),0,AK9/AK10)</f>
        <v/>
      </c>
      <c r="AL11" s="29">
        <f>IF(OR(AL$4&lt;Assumptions!$E$25,AL10=0),0,AL9/AL10)</f>
        <v/>
      </c>
    </row>
    <row r="12">
      <c r="B12" s="8" t="inlineStr">
        <is>
          <t>Total registered signups</t>
        </is>
      </c>
      <c r="C12" s="29">
        <f>C8+C11</f>
        <v/>
      </c>
      <c r="D12" s="29">
        <f>D8+D11</f>
        <v/>
      </c>
      <c r="E12" s="29">
        <f>E8+E11</f>
        <v/>
      </c>
      <c r="F12" s="29">
        <f>F8+F11</f>
        <v/>
      </c>
      <c r="G12" s="29">
        <f>G8+G11</f>
        <v/>
      </c>
      <c r="H12" s="29">
        <f>H8+H11</f>
        <v/>
      </c>
      <c r="I12" s="29">
        <f>I8+I11</f>
        <v/>
      </c>
      <c r="J12" s="29">
        <f>J8+J11</f>
        <v/>
      </c>
      <c r="K12" s="29">
        <f>K8+K11</f>
        <v/>
      </c>
      <c r="L12" s="29">
        <f>L8+L11</f>
        <v/>
      </c>
      <c r="M12" s="29">
        <f>M8+M11</f>
        <v/>
      </c>
      <c r="N12" s="29">
        <f>N8+N11</f>
        <v/>
      </c>
      <c r="O12" s="29">
        <f>O8+O11</f>
        <v/>
      </c>
      <c r="P12" s="29">
        <f>P8+P11</f>
        <v/>
      </c>
      <c r="Q12" s="29">
        <f>Q8+Q11</f>
        <v/>
      </c>
      <c r="R12" s="29">
        <f>R8+R11</f>
        <v/>
      </c>
      <c r="S12" s="29">
        <f>S8+S11</f>
        <v/>
      </c>
      <c r="T12" s="29">
        <f>T8+T11</f>
        <v/>
      </c>
      <c r="U12" s="29">
        <f>U8+U11</f>
        <v/>
      </c>
      <c r="V12" s="29">
        <f>V8+V11</f>
        <v/>
      </c>
      <c r="W12" s="29">
        <f>W8+W11</f>
        <v/>
      </c>
      <c r="X12" s="29">
        <f>X8+X11</f>
        <v/>
      </c>
      <c r="Y12" s="29">
        <f>Y8+Y11</f>
        <v/>
      </c>
      <c r="Z12" s="29">
        <f>Z8+Z11</f>
        <v/>
      </c>
      <c r="AA12" s="29">
        <f>AA8+AA11</f>
        <v/>
      </c>
      <c r="AB12" s="29">
        <f>AB8+AB11</f>
        <v/>
      </c>
      <c r="AC12" s="29">
        <f>AC8+AC11</f>
        <v/>
      </c>
      <c r="AD12" s="29">
        <f>AD8+AD11</f>
        <v/>
      </c>
      <c r="AE12" s="29">
        <f>AE8+AE11</f>
        <v/>
      </c>
      <c r="AF12" s="29">
        <f>AF8+AF11</f>
        <v/>
      </c>
      <c r="AG12" s="29">
        <f>AG8+AG11</f>
        <v/>
      </c>
      <c r="AH12" s="29">
        <f>AH8+AH11</f>
        <v/>
      </c>
      <c r="AI12" s="29">
        <f>AI8+AI11</f>
        <v/>
      </c>
      <c r="AJ12" s="29">
        <f>AJ8+AJ11</f>
        <v/>
      </c>
      <c r="AK12" s="29">
        <f>AK8+AK11</f>
        <v/>
      </c>
      <c r="AL12" s="29">
        <f>AL8+AL11</f>
        <v/>
      </c>
    </row>
    <row r="13">
      <c r="B13" s="8" t="inlineStr">
        <is>
          <t>Free to paid conversion</t>
        </is>
      </c>
      <c r="C13" s="31">
        <f>INDEX(Assumptions!$E$37:$E$39,C$5)</f>
        <v/>
      </c>
      <c r="D13" s="31">
        <f>INDEX(Assumptions!$E$37:$E$39,D$5)</f>
        <v/>
      </c>
      <c r="E13" s="31">
        <f>INDEX(Assumptions!$E$37:$E$39,E$5)</f>
        <v/>
      </c>
      <c r="F13" s="31">
        <f>INDEX(Assumptions!$E$37:$E$39,F$5)</f>
        <v/>
      </c>
      <c r="G13" s="31">
        <f>INDEX(Assumptions!$E$37:$E$39,G$5)</f>
        <v/>
      </c>
      <c r="H13" s="31">
        <f>INDEX(Assumptions!$E$37:$E$39,H$5)</f>
        <v/>
      </c>
      <c r="I13" s="31">
        <f>INDEX(Assumptions!$E$37:$E$39,I$5)</f>
        <v/>
      </c>
      <c r="J13" s="31">
        <f>INDEX(Assumptions!$E$37:$E$39,J$5)</f>
        <v/>
      </c>
      <c r="K13" s="31">
        <f>INDEX(Assumptions!$E$37:$E$39,K$5)</f>
        <v/>
      </c>
      <c r="L13" s="31">
        <f>INDEX(Assumptions!$E$37:$E$39,L$5)</f>
        <v/>
      </c>
      <c r="M13" s="31">
        <f>INDEX(Assumptions!$E$37:$E$39,M$5)</f>
        <v/>
      </c>
      <c r="N13" s="31">
        <f>INDEX(Assumptions!$E$37:$E$39,N$5)</f>
        <v/>
      </c>
      <c r="O13" s="31">
        <f>INDEX(Assumptions!$E$37:$E$39,O$5)</f>
        <v/>
      </c>
      <c r="P13" s="31">
        <f>INDEX(Assumptions!$E$37:$E$39,P$5)</f>
        <v/>
      </c>
      <c r="Q13" s="31">
        <f>INDEX(Assumptions!$E$37:$E$39,Q$5)</f>
        <v/>
      </c>
      <c r="R13" s="31">
        <f>INDEX(Assumptions!$E$37:$E$39,R$5)</f>
        <v/>
      </c>
      <c r="S13" s="31">
        <f>INDEX(Assumptions!$E$37:$E$39,S$5)</f>
        <v/>
      </c>
      <c r="T13" s="31">
        <f>INDEX(Assumptions!$E$37:$E$39,T$5)</f>
        <v/>
      </c>
      <c r="U13" s="31">
        <f>INDEX(Assumptions!$E$37:$E$39,U$5)</f>
        <v/>
      </c>
      <c r="V13" s="31">
        <f>INDEX(Assumptions!$E$37:$E$39,V$5)</f>
        <v/>
      </c>
      <c r="W13" s="31">
        <f>INDEX(Assumptions!$E$37:$E$39,W$5)</f>
        <v/>
      </c>
      <c r="X13" s="31">
        <f>INDEX(Assumptions!$E$37:$E$39,X$5)</f>
        <v/>
      </c>
      <c r="Y13" s="31">
        <f>INDEX(Assumptions!$E$37:$E$39,Y$5)</f>
        <v/>
      </c>
      <c r="Z13" s="31">
        <f>INDEX(Assumptions!$E$37:$E$39,Z$5)</f>
        <v/>
      </c>
      <c r="AA13" s="31">
        <f>INDEX(Assumptions!$E$37:$E$39,AA$5)</f>
        <v/>
      </c>
      <c r="AB13" s="31">
        <f>INDEX(Assumptions!$E$37:$E$39,AB$5)</f>
        <v/>
      </c>
      <c r="AC13" s="31">
        <f>INDEX(Assumptions!$E$37:$E$39,AC$5)</f>
        <v/>
      </c>
      <c r="AD13" s="31">
        <f>INDEX(Assumptions!$E$37:$E$39,AD$5)</f>
        <v/>
      </c>
      <c r="AE13" s="31">
        <f>INDEX(Assumptions!$E$37:$E$39,AE$5)</f>
        <v/>
      </c>
      <c r="AF13" s="31">
        <f>INDEX(Assumptions!$E$37:$E$39,AF$5)</f>
        <v/>
      </c>
      <c r="AG13" s="31">
        <f>INDEX(Assumptions!$E$37:$E$39,AG$5)</f>
        <v/>
      </c>
      <c r="AH13" s="31">
        <f>INDEX(Assumptions!$E$37:$E$39,AH$5)</f>
        <v/>
      </c>
      <c r="AI13" s="31">
        <f>INDEX(Assumptions!$E$37:$E$39,AI$5)</f>
        <v/>
      </c>
      <c r="AJ13" s="31">
        <f>INDEX(Assumptions!$E$37:$E$39,AJ$5)</f>
        <v/>
      </c>
      <c r="AK13" s="31">
        <f>INDEX(Assumptions!$E$37:$E$39,AK$5)</f>
        <v/>
      </c>
      <c r="AL13" s="31">
        <f>INDEX(Assumptions!$E$37:$E$39,AL$5)</f>
        <v/>
      </c>
    </row>
    <row r="14">
      <c r="B14" s="8" t="inlineStr">
        <is>
          <t>Free users before upgrades</t>
        </is>
      </c>
      <c r="C14" s="29">
        <f>C12*(1-C13)</f>
        <v/>
      </c>
      <c r="D14" s="29">
        <f>C19*(1-Assumptions!$E$28)+D12*(1-D13)</f>
        <v/>
      </c>
      <c r="E14" s="29">
        <f>D19*(1-Assumptions!$E$28)+E12*(1-E13)</f>
        <v/>
      </c>
      <c r="F14" s="29">
        <f>E19*(1-Assumptions!$E$28)+F12*(1-F13)</f>
        <v/>
      </c>
      <c r="G14" s="29">
        <f>F19*(1-Assumptions!$E$28)+G12*(1-G13)</f>
        <v/>
      </c>
      <c r="H14" s="29">
        <f>G19*(1-Assumptions!$E$28)+H12*(1-H13)</f>
        <v/>
      </c>
      <c r="I14" s="29">
        <f>H19*(1-Assumptions!$E$28)+I12*(1-I13)</f>
        <v/>
      </c>
      <c r="J14" s="29">
        <f>I19*(1-Assumptions!$E$28)+J12*(1-J13)</f>
        <v/>
      </c>
      <c r="K14" s="29">
        <f>J19*(1-Assumptions!$E$28)+K12*(1-K13)</f>
        <v/>
      </c>
      <c r="L14" s="29">
        <f>K19*(1-Assumptions!$E$28)+L12*(1-L13)</f>
        <v/>
      </c>
      <c r="M14" s="29">
        <f>L19*(1-Assumptions!$E$28)+M12*(1-M13)</f>
        <v/>
      </c>
      <c r="N14" s="29">
        <f>M19*(1-Assumptions!$E$28)+N12*(1-N13)</f>
        <v/>
      </c>
      <c r="O14" s="29">
        <f>N19*(1-Assumptions!$E$28)+O12*(1-O13)</f>
        <v/>
      </c>
      <c r="P14" s="29">
        <f>O19*(1-Assumptions!$E$28)+P12*(1-P13)</f>
        <v/>
      </c>
      <c r="Q14" s="29">
        <f>P19*(1-Assumptions!$E$28)+Q12*(1-Q13)</f>
        <v/>
      </c>
      <c r="R14" s="29">
        <f>Q19*(1-Assumptions!$E$28)+R12*(1-R13)</f>
        <v/>
      </c>
      <c r="S14" s="29">
        <f>R19*(1-Assumptions!$E$28)+S12*(1-S13)</f>
        <v/>
      </c>
      <c r="T14" s="29">
        <f>S19*(1-Assumptions!$E$28)+T12*(1-T13)</f>
        <v/>
      </c>
      <c r="U14" s="29">
        <f>T19*(1-Assumptions!$E$28)+U12*(1-U13)</f>
        <v/>
      </c>
      <c r="V14" s="29">
        <f>U19*(1-Assumptions!$E$28)+V12*(1-V13)</f>
        <v/>
      </c>
      <c r="W14" s="29">
        <f>V19*(1-Assumptions!$E$28)+W12*(1-W13)</f>
        <v/>
      </c>
      <c r="X14" s="29">
        <f>W19*(1-Assumptions!$E$28)+X12*(1-X13)</f>
        <v/>
      </c>
      <c r="Y14" s="29">
        <f>X19*(1-Assumptions!$E$28)+Y12*(1-Y13)</f>
        <v/>
      </c>
      <c r="Z14" s="29">
        <f>Y19*(1-Assumptions!$E$28)+Z12*(1-Z13)</f>
        <v/>
      </c>
      <c r="AA14" s="29">
        <f>Z19*(1-Assumptions!$E$28)+AA12*(1-AA13)</f>
        <v/>
      </c>
      <c r="AB14" s="29">
        <f>AA19*(1-Assumptions!$E$28)+AB12*(1-AB13)</f>
        <v/>
      </c>
      <c r="AC14" s="29">
        <f>AB19*(1-Assumptions!$E$28)+AC12*(1-AC13)</f>
        <v/>
      </c>
      <c r="AD14" s="29">
        <f>AC19*(1-Assumptions!$E$28)+AD12*(1-AD13)</f>
        <v/>
      </c>
      <c r="AE14" s="29">
        <f>AD19*(1-Assumptions!$E$28)+AE12*(1-AE13)</f>
        <v/>
      </c>
      <c r="AF14" s="29">
        <f>AE19*(1-Assumptions!$E$28)+AF12*(1-AF13)</f>
        <v/>
      </c>
      <c r="AG14" s="29">
        <f>AF19*(1-Assumptions!$E$28)+AG12*(1-AG13)</f>
        <v/>
      </c>
      <c r="AH14" s="29">
        <f>AG19*(1-Assumptions!$E$28)+AH12*(1-AH13)</f>
        <v/>
      </c>
      <c r="AI14" s="29">
        <f>AH19*(1-Assumptions!$E$28)+AI12*(1-AI13)</f>
        <v/>
      </c>
      <c r="AJ14" s="29">
        <f>AI19*(1-Assumptions!$E$28)+AJ12*(1-AJ13)</f>
        <v/>
      </c>
      <c r="AK14" s="29">
        <f>AJ19*(1-Assumptions!$E$28)+AK12*(1-AK13)</f>
        <v/>
      </c>
      <c r="AL14" s="29">
        <f>AK19*(1-Assumptions!$E$28)+AL12*(1-AL13)</f>
        <v/>
      </c>
    </row>
    <row r="15">
      <c r="B15" s="8" t="inlineStr">
        <is>
          <t>Upgrades from the free base</t>
        </is>
      </c>
      <c r="C15" s="29">
        <f>C14*Assumptions!$E$29</f>
        <v/>
      </c>
      <c r="D15" s="29">
        <f>D14*Assumptions!$E$29</f>
        <v/>
      </c>
      <c r="E15" s="29">
        <f>E14*Assumptions!$E$29</f>
        <v/>
      </c>
      <c r="F15" s="29">
        <f>F14*Assumptions!$E$29</f>
        <v/>
      </c>
      <c r="G15" s="29">
        <f>G14*Assumptions!$E$29</f>
        <v/>
      </c>
      <c r="H15" s="29">
        <f>H14*Assumptions!$E$29</f>
        <v/>
      </c>
      <c r="I15" s="29">
        <f>I14*Assumptions!$E$29</f>
        <v/>
      </c>
      <c r="J15" s="29">
        <f>J14*Assumptions!$E$29</f>
        <v/>
      </c>
      <c r="K15" s="29">
        <f>K14*Assumptions!$E$29</f>
        <v/>
      </c>
      <c r="L15" s="29">
        <f>L14*Assumptions!$E$29</f>
        <v/>
      </c>
      <c r="M15" s="29">
        <f>M14*Assumptions!$E$29</f>
        <v/>
      </c>
      <c r="N15" s="29">
        <f>N14*Assumptions!$E$29</f>
        <v/>
      </c>
      <c r="O15" s="29">
        <f>O14*Assumptions!$E$29</f>
        <v/>
      </c>
      <c r="P15" s="29">
        <f>P14*Assumptions!$E$29</f>
        <v/>
      </c>
      <c r="Q15" s="29">
        <f>Q14*Assumptions!$E$29</f>
        <v/>
      </c>
      <c r="R15" s="29">
        <f>R14*Assumptions!$E$29</f>
        <v/>
      </c>
      <c r="S15" s="29">
        <f>S14*Assumptions!$E$29</f>
        <v/>
      </c>
      <c r="T15" s="29">
        <f>T14*Assumptions!$E$29</f>
        <v/>
      </c>
      <c r="U15" s="29">
        <f>U14*Assumptions!$E$29</f>
        <v/>
      </c>
      <c r="V15" s="29">
        <f>V14*Assumptions!$E$29</f>
        <v/>
      </c>
      <c r="W15" s="29">
        <f>W14*Assumptions!$E$29</f>
        <v/>
      </c>
      <c r="X15" s="29">
        <f>X14*Assumptions!$E$29</f>
        <v/>
      </c>
      <c r="Y15" s="29">
        <f>Y14*Assumptions!$E$29</f>
        <v/>
      </c>
      <c r="Z15" s="29">
        <f>Z14*Assumptions!$E$29</f>
        <v/>
      </c>
      <c r="AA15" s="29">
        <f>AA14*Assumptions!$E$29</f>
        <v/>
      </c>
      <c r="AB15" s="29">
        <f>AB14*Assumptions!$E$29</f>
        <v/>
      </c>
      <c r="AC15" s="29">
        <f>AC14*Assumptions!$E$29</f>
        <v/>
      </c>
      <c r="AD15" s="29">
        <f>AD14*Assumptions!$E$29</f>
        <v/>
      </c>
      <c r="AE15" s="29">
        <f>AE14*Assumptions!$E$29</f>
        <v/>
      </c>
      <c r="AF15" s="29">
        <f>AF14*Assumptions!$E$29</f>
        <v/>
      </c>
      <c r="AG15" s="29">
        <f>AG14*Assumptions!$E$29</f>
        <v/>
      </c>
      <c r="AH15" s="29">
        <f>AH14*Assumptions!$E$29</f>
        <v/>
      </c>
      <c r="AI15" s="29">
        <f>AI14*Assumptions!$E$29</f>
        <v/>
      </c>
      <c r="AJ15" s="29">
        <f>AJ14*Assumptions!$E$29</f>
        <v/>
      </c>
      <c r="AK15" s="29">
        <f>AK14*Assumptions!$E$29</f>
        <v/>
      </c>
      <c r="AL15" s="29">
        <f>AL14*Assumptions!$E$29</f>
        <v/>
      </c>
    </row>
    <row r="16">
      <c r="B16" s="8" t="inlineStr">
        <is>
          <t>New paying subscribers</t>
        </is>
      </c>
      <c r="C16" s="29">
        <f>C12*C13+C15</f>
        <v/>
      </c>
      <c r="D16" s="29">
        <f>D12*D13+D15</f>
        <v/>
      </c>
      <c r="E16" s="29">
        <f>E12*E13+E15</f>
        <v/>
      </c>
      <c r="F16" s="29">
        <f>F12*F13+F15</f>
        <v/>
      </c>
      <c r="G16" s="29">
        <f>G12*G13+G15</f>
        <v/>
      </c>
      <c r="H16" s="29">
        <f>H12*H13+H15</f>
        <v/>
      </c>
      <c r="I16" s="29">
        <f>I12*I13+I15</f>
        <v/>
      </c>
      <c r="J16" s="29">
        <f>J12*J13+J15</f>
        <v/>
      </c>
      <c r="K16" s="29">
        <f>K12*K13+K15</f>
        <v/>
      </c>
      <c r="L16" s="29">
        <f>L12*L13+L15</f>
        <v/>
      </c>
      <c r="M16" s="29">
        <f>M12*M13+M15</f>
        <v/>
      </c>
      <c r="N16" s="29">
        <f>N12*N13+N15</f>
        <v/>
      </c>
      <c r="O16" s="29">
        <f>O12*O13+O15</f>
        <v/>
      </c>
      <c r="P16" s="29">
        <f>P12*P13+P15</f>
        <v/>
      </c>
      <c r="Q16" s="29">
        <f>Q12*Q13+Q15</f>
        <v/>
      </c>
      <c r="R16" s="29">
        <f>R12*R13+R15</f>
        <v/>
      </c>
      <c r="S16" s="29">
        <f>S12*S13+S15</f>
        <v/>
      </c>
      <c r="T16" s="29">
        <f>T12*T13+T15</f>
        <v/>
      </c>
      <c r="U16" s="29">
        <f>U12*U13+U15</f>
        <v/>
      </c>
      <c r="V16" s="29">
        <f>V12*V13+V15</f>
        <v/>
      </c>
      <c r="W16" s="29">
        <f>W12*W13+W15</f>
        <v/>
      </c>
      <c r="X16" s="29">
        <f>X12*X13+X15</f>
        <v/>
      </c>
      <c r="Y16" s="29">
        <f>Y12*Y13+Y15</f>
        <v/>
      </c>
      <c r="Z16" s="29">
        <f>Z12*Z13+Z15</f>
        <v/>
      </c>
      <c r="AA16" s="29">
        <f>AA12*AA13+AA15</f>
        <v/>
      </c>
      <c r="AB16" s="29">
        <f>AB12*AB13+AB15</f>
        <v/>
      </c>
      <c r="AC16" s="29">
        <f>AC12*AC13+AC15</f>
        <v/>
      </c>
      <c r="AD16" s="29">
        <f>AD12*AD13+AD15</f>
        <v/>
      </c>
      <c r="AE16" s="29">
        <f>AE12*AE13+AE15</f>
        <v/>
      </c>
      <c r="AF16" s="29">
        <f>AF12*AF13+AF15</f>
        <v/>
      </c>
      <c r="AG16" s="29">
        <f>AG12*AG13+AG15</f>
        <v/>
      </c>
      <c r="AH16" s="29">
        <f>AH12*AH13+AH15</f>
        <v/>
      </c>
      <c r="AI16" s="29">
        <f>AI12*AI13+AI15</f>
        <v/>
      </c>
      <c r="AJ16" s="29">
        <f>AJ12*AJ13+AJ15</f>
        <v/>
      </c>
      <c r="AK16" s="29">
        <f>AK12*AK13+AK15</f>
        <v/>
      </c>
      <c r="AL16" s="29">
        <f>AL12*AL13+AL15</f>
        <v/>
      </c>
    </row>
    <row r="18">
      <c r="B18" s="28" t="inlineStr">
        <is>
          <t>SUBSCRIBERS, END OF MONTH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</row>
    <row r="19">
      <c r="B19" s="8" t="inlineStr">
        <is>
          <t>Free users</t>
        </is>
      </c>
      <c r="C19" s="29">
        <f>C14-C15</f>
        <v/>
      </c>
      <c r="D19" s="29">
        <f>D14-D15</f>
        <v/>
      </c>
      <c r="E19" s="29">
        <f>E14-E15</f>
        <v/>
      </c>
      <c r="F19" s="29">
        <f>F14-F15</f>
        <v/>
      </c>
      <c r="G19" s="29">
        <f>G14-G15</f>
        <v/>
      </c>
      <c r="H19" s="29">
        <f>H14-H15</f>
        <v/>
      </c>
      <c r="I19" s="29">
        <f>I14-I15</f>
        <v/>
      </c>
      <c r="J19" s="29">
        <f>J14-J15</f>
        <v/>
      </c>
      <c r="K19" s="29">
        <f>K14-K15</f>
        <v/>
      </c>
      <c r="L19" s="29">
        <f>L14-L15</f>
        <v/>
      </c>
      <c r="M19" s="29">
        <f>M14-M15</f>
        <v/>
      </c>
      <c r="N19" s="29">
        <f>N14-N15</f>
        <v/>
      </c>
      <c r="O19" s="29">
        <f>O14-O15</f>
        <v/>
      </c>
      <c r="P19" s="29">
        <f>P14-P15</f>
        <v/>
      </c>
      <c r="Q19" s="29">
        <f>Q14-Q15</f>
        <v/>
      </c>
      <c r="R19" s="29">
        <f>R14-R15</f>
        <v/>
      </c>
      <c r="S19" s="29">
        <f>S14-S15</f>
        <v/>
      </c>
      <c r="T19" s="29">
        <f>T14-T15</f>
        <v/>
      </c>
      <c r="U19" s="29">
        <f>U14-U15</f>
        <v/>
      </c>
      <c r="V19" s="29">
        <f>V14-V15</f>
        <v/>
      </c>
      <c r="W19" s="29">
        <f>W14-W15</f>
        <v/>
      </c>
      <c r="X19" s="29">
        <f>X14-X15</f>
        <v/>
      </c>
      <c r="Y19" s="29">
        <f>Y14-Y15</f>
        <v/>
      </c>
      <c r="Z19" s="29">
        <f>Z14-Z15</f>
        <v/>
      </c>
      <c r="AA19" s="29">
        <f>AA14-AA15</f>
        <v/>
      </c>
      <c r="AB19" s="29">
        <f>AB14-AB15</f>
        <v/>
      </c>
      <c r="AC19" s="29">
        <f>AC14-AC15</f>
        <v/>
      </c>
      <c r="AD19" s="29">
        <f>AD14-AD15</f>
        <v/>
      </c>
      <c r="AE19" s="29">
        <f>AE14-AE15</f>
        <v/>
      </c>
      <c r="AF19" s="29">
        <f>AF14-AF15</f>
        <v/>
      </c>
      <c r="AG19" s="29">
        <f>AG14-AG15</f>
        <v/>
      </c>
      <c r="AH19" s="29">
        <f>AH14-AH15</f>
        <v/>
      </c>
      <c r="AI19" s="29">
        <f>AI14-AI15</f>
        <v/>
      </c>
      <c r="AJ19" s="29">
        <f>AJ14-AJ15</f>
        <v/>
      </c>
      <c r="AK19" s="29">
        <f>AK14-AK15</f>
        <v/>
      </c>
      <c r="AL19" s="29">
        <f>AL14-AL15</f>
        <v/>
      </c>
    </row>
    <row r="20">
      <c r="B20" s="8" t="inlineStr">
        <is>
          <t>Monthly-plan subscribers</t>
        </is>
      </c>
      <c r="C20" s="29">
        <f>C16*Assumptions!$E$13</f>
        <v/>
      </c>
      <c r="D20" s="29">
        <f>C20*(1-INDEX(Assumptions!$E$42:$E$44,D$5))+D16*Assumptions!$E$13</f>
        <v/>
      </c>
      <c r="E20" s="29">
        <f>D20*(1-INDEX(Assumptions!$E$42:$E$44,E$5))+E16*Assumptions!$E$13</f>
        <v/>
      </c>
      <c r="F20" s="29">
        <f>E20*(1-INDEX(Assumptions!$E$42:$E$44,F$5))+F16*Assumptions!$E$13</f>
        <v/>
      </c>
      <c r="G20" s="29">
        <f>F20*(1-INDEX(Assumptions!$E$42:$E$44,G$5))+G16*Assumptions!$E$13</f>
        <v/>
      </c>
      <c r="H20" s="29">
        <f>G20*(1-INDEX(Assumptions!$E$42:$E$44,H$5))+H16*Assumptions!$E$13</f>
        <v/>
      </c>
      <c r="I20" s="29">
        <f>H20*(1-INDEX(Assumptions!$E$42:$E$44,I$5))+I16*Assumptions!$E$13</f>
        <v/>
      </c>
      <c r="J20" s="29">
        <f>I20*(1-INDEX(Assumptions!$E$42:$E$44,J$5))+J16*Assumptions!$E$13</f>
        <v/>
      </c>
      <c r="K20" s="29">
        <f>J20*(1-INDEX(Assumptions!$E$42:$E$44,K$5))+K16*Assumptions!$E$13</f>
        <v/>
      </c>
      <c r="L20" s="29">
        <f>K20*(1-INDEX(Assumptions!$E$42:$E$44,L$5))+L16*Assumptions!$E$13</f>
        <v/>
      </c>
      <c r="M20" s="29">
        <f>L20*(1-INDEX(Assumptions!$E$42:$E$44,M$5))+M16*Assumptions!$E$13</f>
        <v/>
      </c>
      <c r="N20" s="29">
        <f>M20*(1-INDEX(Assumptions!$E$42:$E$44,N$5))+N16*Assumptions!$E$13</f>
        <v/>
      </c>
      <c r="O20" s="29">
        <f>N20*(1-INDEX(Assumptions!$E$42:$E$44,O$5))+O16*Assumptions!$E$13</f>
        <v/>
      </c>
      <c r="P20" s="29">
        <f>O20*(1-INDEX(Assumptions!$E$42:$E$44,P$5))+P16*Assumptions!$E$13</f>
        <v/>
      </c>
      <c r="Q20" s="29">
        <f>P20*(1-INDEX(Assumptions!$E$42:$E$44,Q$5))+Q16*Assumptions!$E$13</f>
        <v/>
      </c>
      <c r="R20" s="29">
        <f>Q20*(1-INDEX(Assumptions!$E$42:$E$44,R$5))+R16*Assumptions!$E$13</f>
        <v/>
      </c>
      <c r="S20" s="29">
        <f>R20*(1-INDEX(Assumptions!$E$42:$E$44,S$5))+S16*Assumptions!$E$13</f>
        <v/>
      </c>
      <c r="T20" s="29">
        <f>S20*(1-INDEX(Assumptions!$E$42:$E$44,T$5))+T16*Assumptions!$E$13</f>
        <v/>
      </c>
      <c r="U20" s="29">
        <f>T20*(1-INDEX(Assumptions!$E$42:$E$44,U$5))+U16*Assumptions!$E$13</f>
        <v/>
      </c>
      <c r="V20" s="29">
        <f>U20*(1-INDEX(Assumptions!$E$42:$E$44,V$5))+V16*Assumptions!$E$13</f>
        <v/>
      </c>
      <c r="W20" s="29">
        <f>V20*(1-INDEX(Assumptions!$E$42:$E$44,W$5))+W16*Assumptions!$E$13</f>
        <v/>
      </c>
      <c r="X20" s="29">
        <f>W20*(1-INDEX(Assumptions!$E$42:$E$44,X$5))+X16*Assumptions!$E$13</f>
        <v/>
      </c>
      <c r="Y20" s="29">
        <f>X20*(1-INDEX(Assumptions!$E$42:$E$44,Y$5))+Y16*Assumptions!$E$13</f>
        <v/>
      </c>
      <c r="Z20" s="29">
        <f>Y20*(1-INDEX(Assumptions!$E$42:$E$44,Z$5))+Z16*Assumptions!$E$13</f>
        <v/>
      </c>
      <c r="AA20" s="29">
        <f>Z20*(1-INDEX(Assumptions!$E$42:$E$44,AA$5))+AA16*Assumptions!$E$13</f>
        <v/>
      </c>
      <c r="AB20" s="29">
        <f>AA20*(1-INDEX(Assumptions!$E$42:$E$44,AB$5))+AB16*Assumptions!$E$13</f>
        <v/>
      </c>
      <c r="AC20" s="29">
        <f>AB20*(1-INDEX(Assumptions!$E$42:$E$44,AC$5))+AC16*Assumptions!$E$13</f>
        <v/>
      </c>
      <c r="AD20" s="29">
        <f>AC20*(1-INDEX(Assumptions!$E$42:$E$44,AD$5))+AD16*Assumptions!$E$13</f>
        <v/>
      </c>
      <c r="AE20" s="29">
        <f>AD20*(1-INDEX(Assumptions!$E$42:$E$44,AE$5))+AE16*Assumptions!$E$13</f>
        <v/>
      </c>
      <c r="AF20" s="29">
        <f>AE20*(1-INDEX(Assumptions!$E$42:$E$44,AF$5))+AF16*Assumptions!$E$13</f>
        <v/>
      </c>
      <c r="AG20" s="29">
        <f>AF20*(1-INDEX(Assumptions!$E$42:$E$44,AG$5))+AG16*Assumptions!$E$13</f>
        <v/>
      </c>
      <c r="AH20" s="29">
        <f>AG20*(1-INDEX(Assumptions!$E$42:$E$44,AH$5))+AH16*Assumptions!$E$13</f>
        <v/>
      </c>
      <c r="AI20" s="29">
        <f>AH20*(1-INDEX(Assumptions!$E$42:$E$44,AI$5))+AI16*Assumptions!$E$13</f>
        <v/>
      </c>
      <c r="AJ20" s="29">
        <f>AI20*(1-INDEX(Assumptions!$E$42:$E$44,AJ$5))+AJ16*Assumptions!$E$13</f>
        <v/>
      </c>
      <c r="AK20" s="29">
        <f>AJ20*(1-INDEX(Assumptions!$E$42:$E$44,AK$5))+AK16*Assumptions!$E$13</f>
        <v/>
      </c>
      <c r="AL20" s="29">
        <f>AK20*(1-INDEX(Assumptions!$E$42:$E$44,AL$5))+AL16*Assumptions!$E$13</f>
        <v/>
      </c>
    </row>
    <row r="21">
      <c r="B21" s="8" t="inlineStr">
        <is>
          <t>Annual-plan subscribers</t>
        </is>
      </c>
      <c r="C21" s="29">
        <f>C16*(1-Assumptions!$E$13)</f>
        <v/>
      </c>
      <c r="D21" s="29">
        <f>C21*(1-(1-INDEX(Assumptions!$E$47:$E$49,D$5))/12)+D16*(1-Assumptions!$E$13)</f>
        <v/>
      </c>
      <c r="E21" s="29">
        <f>D21*(1-(1-INDEX(Assumptions!$E$47:$E$49,E$5))/12)+E16*(1-Assumptions!$E$13)</f>
        <v/>
      </c>
      <c r="F21" s="29">
        <f>E21*(1-(1-INDEX(Assumptions!$E$47:$E$49,F$5))/12)+F16*(1-Assumptions!$E$13)</f>
        <v/>
      </c>
      <c r="G21" s="29">
        <f>F21*(1-(1-INDEX(Assumptions!$E$47:$E$49,G$5))/12)+G16*(1-Assumptions!$E$13)</f>
        <v/>
      </c>
      <c r="H21" s="29">
        <f>G21*(1-(1-INDEX(Assumptions!$E$47:$E$49,H$5))/12)+H16*(1-Assumptions!$E$13)</f>
        <v/>
      </c>
      <c r="I21" s="29">
        <f>H21*(1-(1-INDEX(Assumptions!$E$47:$E$49,I$5))/12)+I16*(1-Assumptions!$E$13)</f>
        <v/>
      </c>
      <c r="J21" s="29">
        <f>I21*(1-(1-INDEX(Assumptions!$E$47:$E$49,J$5))/12)+J16*(1-Assumptions!$E$13)</f>
        <v/>
      </c>
      <c r="K21" s="29">
        <f>J21*(1-(1-INDEX(Assumptions!$E$47:$E$49,K$5))/12)+K16*(1-Assumptions!$E$13)</f>
        <v/>
      </c>
      <c r="L21" s="29">
        <f>K21*(1-(1-INDEX(Assumptions!$E$47:$E$49,L$5))/12)+L16*(1-Assumptions!$E$13)</f>
        <v/>
      </c>
      <c r="M21" s="29">
        <f>L21*(1-(1-INDEX(Assumptions!$E$47:$E$49,M$5))/12)+M16*(1-Assumptions!$E$13)</f>
        <v/>
      </c>
      <c r="N21" s="29">
        <f>M21*(1-(1-INDEX(Assumptions!$E$47:$E$49,N$5))/12)+N16*(1-Assumptions!$E$13)</f>
        <v/>
      </c>
      <c r="O21" s="29">
        <f>N21*(1-(1-INDEX(Assumptions!$E$47:$E$49,O$5))/12)+O16*(1-Assumptions!$E$13)</f>
        <v/>
      </c>
      <c r="P21" s="29">
        <f>O21*(1-(1-INDEX(Assumptions!$E$47:$E$49,P$5))/12)+P16*(1-Assumptions!$E$13)</f>
        <v/>
      </c>
      <c r="Q21" s="29">
        <f>P21*(1-(1-INDEX(Assumptions!$E$47:$E$49,Q$5))/12)+Q16*(1-Assumptions!$E$13)</f>
        <v/>
      </c>
      <c r="R21" s="29">
        <f>Q21*(1-(1-INDEX(Assumptions!$E$47:$E$49,R$5))/12)+R16*(1-Assumptions!$E$13)</f>
        <v/>
      </c>
      <c r="S21" s="29">
        <f>R21*(1-(1-INDEX(Assumptions!$E$47:$E$49,S$5))/12)+S16*(1-Assumptions!$E$13)</f>
        <v/>
      </c>
      <c r="T21" s="29">
        <f>S21*(1-(1-INDEX(Assumptions!$E$47:$E$49,T$5))/12)+T16*(1-Assumptions!$E$13)</f>
        <v/>
      </c>
      <c r="U21" s="29">
        <f>T21*(1-(1-INDEX(Assumptions!$E$47:$E$49,U$5))/12)+U16*(1-Assumptions!$E$13)</f>
        <v/>
      </c>
      <c r="V21" s="29">
        <f>U21*(1-(1-INDEX(Assumptions!$E$47:$E$49,V$5))/12)+V16*(1-Assumptions!$E$13)</f>
        <v/>
      </c>
      <c r="W21" s="29">
        <f>V21*(1-(1-INDEX(Assumptions!$E$47:$E$49,W$5))/12)+W16*(1-Assumptions!$E$13)</f>
        <v/>
      </c>
      <c r="X21" s="29">
        <f>W21*(1-(1-INDEX(Assumptions!$E$47:$E$49,X$5))/12)+X16*(1-Assumptions!$E$13)</f>
        <v/>
      </c>
      <c r="Y21" s="29">
        <f>X21*(1-(1-INDEX(Assumptions!$E$47:$E$49,Y$5))/12)+Y16*(1-Assumptions!$E$13)</f>
        <v/>
      </c>
      <c r="Z21" s="29">
        <f>Y21*(1-(1-INDEX(Assumptions!$E$47:$E$49,Z$5))/12)+Z16*(1-Assumptions!$E$13)</f>
        <v/>
      </c>
      <c r="AA21" s="29">
        <f>Z21*(1-(1-INDEX(Assumptions!$E$47:$E$49,AA$5))/12)+AA16*(1-Assumptions!$E$13)</f>
        <v/>
      </c>
      <c r="AB21" s="29">
        <f>AA21*(1-(1-INDEX(Assumptions!$E$47:$E$49,AB$5))/12)+AB16*(1-Assumptions!$E$13)</f>
        <v/>
      </c>
      <c r="AC21" s="29">
        <f>AB21*(1-(1-INDEX(Assumptions!$E$47:$E$49,AC$5))/12)+AC16*(1-Assumptions!$E$13)</f>
        <v/>
      </c>
      <c r="AD21" s="29">
        <f>AC21*(1-(1-INDEX(Assumptions!$E$47:$E$49,AD$5))/12)+AD16*(1-Assumptions!$E$13)</f>
        <v/>
      </c>
      <c r="AE21" s="29">
        <f>AD21*(1-(1-INDEX(Assumptions!$E$47:$E$49,AE$5))/12)+AE16*(1-Assumptions!$E$13)</f>
        <v/>
      </c>
      <c r="AF21" s="29">
        <f>AE21*(1-(1-INDEX(Assumptions!$E$47:$E$49,AF$5))/12)+AF16*(1-Assumptions!$E$13)</f>
        <v/>
      </c>
      <c r="AG21" s="29">
        <f>AF21*(1-(1-INDEX(Assumptions!$E$47:$E$49,AG$5))/12)+AG16*(1-Assumptions!$E$13)</f>
        <v/>
      </c>
      <c r="AH21" s="29">
        <f>AG21*(1-(1-INDEX(Assumptions!$E$47:$E$49,AH$5))/12)+AH16*(1-Assumptions!$E$13)</f>
        <v/>
      </c>
      <c r="AI21" s="29">
        <f>AH21*(1-(1-INDEX(Assumptions!$E$47:$E$49,AI$5))/12)+AI16*(1-Assumptions!$E$13)</f>
        <v/>
      </c>
      <c r="AJ21" s="29">
        <f>AI21*(1-(1-INDEX(Assumptions!$E$47:$E$49,AJ$5))/12)+AJ16*(1-Assumptions!$E$13)</f>
        <v/>
      </c>
      <c r="AK21" s="29">
        <f>AJ21*(1-(1-INDEX(Assumptions!$E$47:$E$49,AK$5))/12)+AK16*(1-Assumptions!$E$13)</f>
        <v/>
      </c>
      <c r="AL21" s="29">
        <f>AK21*(1-(1-INDEX(Assumptions!$E$47:$E$49,AL$5))/12)+AL16*(1-Assumptions!$E$13)</f>
        <v/>
      </c>
    </row>
    <row r="22">
      <c r="B22" s="5" t="inlineStr">
        <is>
          <t>Total paying subscribers</t>
        </is>
      </c>
      <c r="C22" s="32">
        <f>C20+C21</f>
        <v/>
      </c>
      <c r="D22" s="32">
        <f>D20+D21</f>
        <v/>
      </c>
      <c r="E22" s="32">
        <f>E20+E21</f>
        <v/>
      </c>
      <c r="F22" s="32">
        <f>F20+F21</f>
        <v/>
      </c>
      <c r="G22" s="32">
        <f>G20+G21</f>
        <v/>
      </c>
      <c r="H22" s="32">
        <f>H20+H21</f>
        <v/>
      </c>
      <c r="I22" s="32">
        <f>I20+I21</f>
        <v/>
      </c>
      <c r="J22" s="32">
        <f>J20+J21</f>
        <v/>
      </c>
      <c r="K22" s="32">
        <f>K20+K21</f>
        <v/>
      </c>
      <c r="L22" s="32">
        <f>L20+L21</f>
        <v/>
      </c>
      <c r="M22" s="32">
        <f>M20+M21</f>
        <v/>
      </c>
      <c r="N22" s="32">
        <f>N20+N21</f>
        <v/>
      </c>
      <c r="O22" s="32">
        <f>O20+O21</f>
        <v/>
      </c>
      <c r="P22" s="32">
        <f>P20+P21</f>
        <v/>
      </c>
      <c r="Q22" s="32">
        <f>Q20+Q21</f>
        <v/>
      </c>
      <c r="R22" s="32">
        <f>R20+R21</f>
        <v/>
      </c>
      <c r="S22" s="32">
        <f>S20+S21</f>
        <v/>
      </c>
      <c r="T22" s="32">
        <f>T20+T21</f>
        <v/>
      </c>
      <c r="U22" s="32">
        <f>U20+U21</f>
        <v/>
      </c>
      <c r="V22" s="32">
        <f>V20+V21</f>
        <v/>
      </c>
      <c r="W22" s="32">
        <f>W20+W21</f>
        <v/>
      </c>
      <c r="X22" s="32">
        <f>X20+X21</f>
        <v/>
      </c>
      <c r="Y22" s="32">
        <f>Y20+Y21</f>
        <v/>
      </c>
      <c r="Z22" s="32">
        <f>Z20+Z21</f>
        <v/>
      </c>
      <c r="AA22" s="32">
        <f>AA20+AA21</f>
        <v/>
      </c>
      <c r="AB22" s="32">
        <f>AB20+AB21</f>
        <v/>
      </c>
      <c r="AC22" s="32">
        <f>AC20+AC21</f>
        <v/>
      </c>
      <c r="AD22" s="32">
        <f>AD20+AD21</f>
        <v/>
      </c>
      <c r="AE22" s="32">
        <f>AE20+AE21</f>
        <v/>
      </c>
      <c r="AF22" s="32">
        <f>AF20+AF21</f>
        <v/>
      </c>
      <c r="AG22" s="32">
        <f>AG20+AG21</f>
        <v/>
      </c>
      <c r="AH22" s="32">
        <f>AH20+AH21</f>
        <v/>
      </c>
      <c r="AI22" s="32">
        <f>AI20+AI21</f>
        <v/>
      </c>
      <c r="AJ22" s="32">
        <f>AJ20+AJ21</f>
        <v/>
      </c>
      <c r="AK22" s="32">
        <f>AK20+AK21</f>
        <v/>
      </c>
      <c r="AL22" s="32">
        <f>AL20+AL21</f>
        <v/>
      </c>
    </row>
    <row r="23">
      <c r="B23" s="5" t="inlineStr">
        <is>
          <t>Exit ARR</t>
        </is>
      </c>
      <c r="C23" s="33">
        <f>C26*12</f>
        <v/>
      </c>
      <c r="D23" s="33">
        <f>D26*12</f>
        <v/>
      </c>
      <c r="E23" s="33">
        <f>E26*12</f>
        <v/>
      </c>
      <c r="F23" s="33">
        <f>F26*12</f>
        <v/>
      </c>
      <c r="G23" s="33">
        <f>G26*12</f>
        <v/>
      </c>
      <c r="H23" s="33">
        <f>H26*12</f>
        <v/>
      </c>
      <c r="I23" s="33">
        <f>I26*12</f>
        <v/>
      </c>
      <c r="J23" s="33">
        <f>J26*12</f>
        <v/>
      </c>
      <c r="K23" s="33">
        <f>K26*12</f>
        <v/>
      </c>
      <c r="L23" s="33">
        <f>L26*12</f>
        <v/>
      </c>
      <c r="M23" s="33">
        <f>M26*12</f>
        <v/>
      </c>
      <c r="N23" s="33">
        <f>N26*12</f>
        <v/>
      </c>
      <c r="O23" s="33">
        <f>O26*12</f>
        <v/>
      </c>
      <c r="P23" s="33">
        <f>P26*12</f>
        <v/>
      </c>
      <c r="Q23" s="33">
        <f>Q26*12</f>
        <v/>
      </c>
      <c r="R23" s="33">
        <f>R26*12</f>
        <v/>
      </c>
      <c r="S23" s="33">
        <f>S26*12</f>
        <v/>
      </c>
      <c r="T23" s="33">
        <f>T26*12</f>
        <v/>
      </c>
      <c r="U23" s="33">
        <f>U26*12</f>
        <v/>
      </c>
      <c r="V23" s="33">
        <f>V26*12</f>
        <v/>
      </c>
      <c r="W23" s="33">
        <f>W26*12</f>
        <v/>
      </c>
      <c r="X23" s="33">
        <f>X26*12</f>
        <v/>
      </c>
      <c r="Y23" s="33">
        <f>Y26*12</f>
        <v/>
      </c>
      <c r="Z23" s="33">
        <f>Z26*12</f>
        <v/>
      </c>
      <c r="AA23" s="33">
        <f>AA26*12</f>
        <v/>
      </c>
      <c r="AB23" s="33">
        <f>AB26*12</f>
        <v/>
      </c>
      <c r="AC23" s="33">
        <f>AC26*12</f>
        <v/>
      </c>
      <c r="AD23" s="33">
        <f>AD26*12</f>
        <v/>
      </c>
      <c r="AE23" s="33">
        <f>AE26*12</f>
        <v/>
      </c>
      <c r="AF23" s="33">
        <f>AF26*12</f>
        <v/>
      </c>
      <c r="AG23" s="33">
        <f>AG26*12</f>
        <v/>
      </c>
      <c r="AH23" s="33">
        <f>AH26*12</f>
        <v/>
      </c>
      <c r="AI23" s="33">
        <f>AI26*12</f>
        <v/>
      </c>
      <c r="AJ23" s="33">
        <f>AJ26*12</f>
        <v/>
      </c>
      <c r="AK23" s="33">
        <f>AK26*12</f>
        <v/>
      </c>
      <c r="AL23" s="33">
        <f>AL26*12</f>
        <v/>
      </c>
    </row>
    <row r="25">
      <c r="B25" s="28" t="inlineStr">
        <is>
          <t>REVENUE AND COST OF GOODS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</row>
    <row r="26">
      <c r="B26" s="5" t="inlineStr">
        <is>
          <t>Revenue</t>
        </is>
      </c>
      <c r="C26" s="33">
        <f>C20*Assumptions!$E$11+C21*Assumptions!$E$12/12</f>
        <v/>
      </c>
      <c r="D26" s="33">
        <f>D20*Assumptions!$E$11+D21*Assumptions!$E$12/12</f>
        <v/>
      </c>
      <c r="E26" s="33">
        <f>E20*Assumptions!$E$11+E21*Assumptions!$E$12/12</f>
        <v/>
      </c>
      <c r="F26" s="33">
        <f>F20*Assumptions!$E$11+F21*Assumptions!$E$12/12</f>
        <v/>
      </c>
      <c r="G26" s="33">
        <f>G20*Assumptions!$E$11+G21*Assumptions!$E$12/12</f>
        <v/>
      </c>
      <c r="H26" s="33">
        <f>H20*Assumptions!$E$11+H21*Assumptions!$E$12/12</f>
        <v/>
      </c>
      <c r="I26" s="33">
        <f>I20*Assumptions!$E$11+I21*Assumptions!$E$12/12</f>
        <v/>
      </c>
      <c r="J26" s="33">
        <f>J20*Assumptions!$E$11+J21*Assumptions!$E$12/12</f>
        <v/>
      </c>
      <c r="K26" s="33">
        <f>K20*Assumptions!$E$11+K21*Assumptions!$E$12/12</f>
        <v/>
      </c>
      <c r="L26" s="33">
        <f>L20*Assumptions!$E$11+L21*Assumptions!$E$12/12</f>
        <v/>
      </c>
      <c r="M26" s="33">
        <f>M20*Assumptions!$E$11+M21*Assumptions!$E$12/12</f>
        <v/>
      </c>
      <c r="N26" s="33">
        <f>N20*Assumptions!$E$11+N21*Assumptions!$E$12/12</f>
        <v/>
      </c>
      <c r="O26" s="33">
        <f>O20*Assumptions!$E$11+O21*Assumptions!$E$12/12</f>
        <v/>
      </c>
      <c r="P26" s="33">
        <f>P20*Assumptions!$E$11+P21*Assumptions!$E$12/12</f>
        <v/>
      </c>
      <c r="Q26" s="33">
        <f>Q20*Assumptions!$E$11+Q21*Assumptions!$E$12/12</f>
        <v/>
      </c>
      <c r="R26" s="33">
        <f>R20*Assumptions!$E$11+R21*Assumptions!$E$12/12</f>
        <v/>
      </c>
      <c r="S26" s="33">
        <f>S20*Assumptions!$E$11+S21*Assumptions!$E$12/12</f>
        <v/>
      </c>
      <c r="T26" s="33">
        <f>T20*Assumptions!$E$11+T21*Assumptions!$E$12/12</f>
        <v/>
      </c>
      <c r="U26" s="33">
        <f>U20*Assumptions!$E$11+U21*Assumptions!$E$12/12</f>
        <v/>
      </c>
      <c r="V26" s="33">
        <f>V20*Assumptions!$E$11+V21*Assumptions!$E$12/12</f>
        <v/>
      </c>
      <c r="W26" s="33">
        <f>W20*Assumptions!$E$11+W21*Assumptions!$E$12/12</f>
        <v/>
      </c>
      <c r="X26" s="33">
        <f>X20*Assumptions!$E$11+X21*Assumptions!$E$12/12</f>
        <v/>
      </c>
      <c r="Y26" s="33">
        <f>Y20*Assumptions!$E$11+Y21*Assumptions!$E$12/12</f>
        <v/>
      </c>
      <c r="Z26" s="33">
        <f>Z20*Assumptions!$E$11+Z21*Assumptions!$E$12/12</f>
        <v/>
      </c>
      <c r="AA26" s="33">
        <f>AA20*Assumptions!$E$11+AA21*Assumptions!$E$12/12</f>
        <v/>
      </c>
      <c r="AB26" s="33">
        <f>AB20*Assumptions!$E$11+AB21*Assumptions!$E$12/12</f>
        <v/>
      </c>
      <c r="AC26" s="33">
        <f>AC20*Assumptions!$E$11+AC21*Assumptions!$E$12/12</f>
        <v/>
      </c>
      <c r="AD26" s="33">
        <f>AD20*Assumptions!$E$11+AD21*Assumptions!$E$12/12</f>
        <v/>
      </c>
      <c r="AE26" s="33">
        <f>AE20*Assumptions!$E$11+AE21*Assumptions!$E$12/12</f>
        <v/>
      </c>
      <c r="AF26" s="33">
        <f>AF20*Assumptions!$E$11+AF21*Assumptions!$E$12/12</f>
        <v/>
      </c>
      <c r="AG26" s="33">
        <f>AG20*Assumptions!$E$11+AG21*Assumptions!$E$12/12</f>
        <v/>
      </c>
      <c r="AH26" s="33">
        <f>AH20*Assumptions!$E$11+AH21*Assumptions!$E$12/12</f>
        <v/>
      </c>
      <c r="AI26" s="33">
        <f>AI20*Assumptions!$E$11+AI21*Assumptions!$E$12/12</f>
        <v/>
      </c>
      <c r="AJ26" s="33">
        <f>AJ20*Assumptions!$E$11+AJ21*Assumptions!$E$12/12</f>
        <v/>
      </c>
      <c r="AK26" s="33">
        <f>AK20*Assumptions!$E$11+AK21*Assumptions!$E$12/12</f>
        <v/>
      </c>
      <c r="AL26" s="33">
        <f>AL20*Assumptions!$E$11+AL21*Assumptions!$E$12/12</f>
        <v/>
      </c>
    </row>
    <row r="27">
      <c r="B27" s="8" t="inlineStr">
        <is>
          <t>Inference — paying</t>
        </is>
      </c>
      <c r="C27" s="22">
        <f>C22*Assumptions!$E$17*Assumptions!$E$16</f>
        <v/>
      </c>
      <c r="D27" s="22">
        <f>D22*Assumptions!$E$17*Assumptions!$E$16</f>
        <v/>
      </c>
      <c r="E27" s="22">
        <f>E22*Assumptions!$E$17*Assumptions!$E$16</f>
        <v/>
      </c>
      <c r="F27" s="22">
        <f>F22*Assumptions!$E$17*Assumptions!$E$16</f>
        <v/>
      </c>
      <c r="G27" s="22">
        <f>G22*Assumptions!$E$17*Assumptions!$E$16</f>
        <v/>
      </c>
      <c r="H27" s="22">
        <f>H22*Assumptions!$E$17*Assumptions!$E$16</f>
        <v/>
      </c>
      <c r="I27" s="22">
        <f>I22*Assumptions!$E$17*Assumptions!$E$16</f>
        <v/>
      </c>
      <c r="J27" s="22">
        <f>J22*Assumptions!$E$17*Assumptions!$E$16</f>
        <v/>
      </c>
      <c r="K27" s="22">
        <f>K22*Assumptions!$E$17*Assumptions!$E$16</f>
        <v/>
      </c>
      <c r="L27" s="22">
        <f>L22*Assumptions!$E$17*Assumptions!$E$16</f>
        <v/>
      </c>
      <c r="M27" s="22">
        <f>M22*Assumptions!$E$17*Assumptions!$E$16</f>
        <v/>
      </c>
      <c r="N27" s="22">
        <f>N22*Assumptions!$E$17*Assumptions!$E$16</f>
        <v/>
      </c>
      <c r="O27" s="22">
        <f>O22*Assumptions!$E$17*Assumptions!$E$16</f>
        <v/>
      </c>
      <c r="P27" s="22">
        <f>P22*Assumptions!$E$17*Assumptions!$E$16</f>
        <v/>
      </c>
      <c r="Q27" s="22">
        <f>Q22*Assumptions!$E$17*Assumptions!$E$16</f>
        <v/>
      </c>
      <c r="R27" s="22">
        <f>R22*Assumptions!$E$17*Assumptions!$E$16</f>
        <v/>
      </c>
      <c r="S27" s="22">
        <f>S22*Assumptions!$E$17*Assumptions!$E$16</f>
        <v/>
      </c>
      <c r="T27" s="22">
        <f>T22*Assumptions!$E$17*Assumptions!$E$16</f>
        <v/>
      </c>
      <c r="U27" s="22">
        <f>U22*Assumptions!$E$17*Assumptions!$E$16</f>
        <v/>
      </c>
      <c r="V27" s="22">
        <f>V22*Assumptions!$E$17*Assumptions!$E$16</f>
        <v/>
      </c>
      <c r="W27" s="22">
        <f>W22*Assumptions!$E$17*Assumptions!$E$16</f>
        <v/>
      </c>
      <c r="X27" s="22">
        <f>X22*Assumptions!$E$17*Assumptions!$E$16</f>
        <v/>
      </c>
      <c r="Y27" s="22">
        <f>Y22*Assumptions!$E$17*Assumptions!$E$16</f>
        <v/>
      </c>
      <c r="Z27" s="22">
        <f>Z22*Assumptions!$E$17*Assumptions!$E$16</f>
        <v/>
      </c>
      <c r="AA27" s="22">
        <f>AA22*Assumptions!$E$17*Assumptions!$E$16</f>
        <v/>
      </c>
      <c r="AB27" s="22">
        <f>AB22*Assumptions!$E$17*Assumptions!$E$16</f>
        <v/>
      </c>
      <c r="AC27" s="22">
        <f>AC22*Assumptions!$E$17*Assumptions!$E$16</f>
        <v/>
      </c>
      <c r="AD27" s="22">
        <f>AD22*Assumptions!$E$17*Assumptions!$E$16</f>
        <v/>
      </c>
      <c r="AE27" s="22">
        <f>AE22*Assumptions!$E$17*Assumptions!$E$16</f>
        <v/>
      </c>
      <c r="AF27" s="22">
        <f>AF22*Assumptions!$E$17*Assumptions!$E$16</f>
        <v/>
      </c>
      <c r="AG27" s="22">
        <f>AG22*Assumptions!$E$17*Assumptions!$E$16</f>
        <v/>
      </c>
      <c r="AH27" s="22">
        <f>AH22*Assumptions!$E$17*Assumptions!$E$16</f>
        <v/>
      </c>
      <c r="AI27" s="22">
        <f>AI22*Assumptions!$E$17*Assumptions!$E$16</f>
        <v/>
      </c>
      <c r="AJ27" s="22">
        <f>AJ22*Assumptions!$E$17*Assumptions!$E$16</f>
        <v/>
      </c>
      <c r="AK27" s="22">
        <f>AK22*Assumptions!$E$17*Assumptions!$E$16</f>
        <v/>
      </c>
      <c r="AL27" s="22">
        <f>AL22*Assumptions!$E$17*Assumptions!$E$16</f>
        <v/>
      </c>
    </row>
    <row r="28">
      <c r="B28" s="8" t="inlineStr">
        <is>
          <t>Inference — free tier</t>
        </is>
      </c>
      <c r="C28" s="22">
        <f>C19*Assumptions!$E$18*Assumptions!$E$16</f>
        <v/>
      </c>
      <c r="D28" s="22">
        <f>D19*Assumptions!$E$18*Assumptions!$E$16</f>
        <v/>
      </c>
      <c r="E28" s="22">
        <f>E19*Assumptions!$E$18*Assumptions!$E$16</f>
        <v/>
      </c>
      <c r="F28" s="22">
        <f>F19*Assumptions!$E$18*Assumptions!$E$16</f>
        <v/>
      </c>
      <c r="G28" s="22">
        <f>G19*Assumptions!$E$18*Assumptions!$E$16</f>
        <v/>
      </c>
      <c r="H28" s="22">
        <f>H19*Assumptions!$E$18*Assumptions!$E$16</f>
        <v/>
      </c>
      <c r="I28" s="22">
        <f>I19*Assumptions!$E$18*Assumptions!$E$16</f>
        <v/>
      </c>
      <c r="J28" s="22">
        <f>J19*Assumptions!$E$18*Assumptions!$E$16</f>
        <v/>
      </c>
      <c r="K28" s="22">
        <f>K19*Assumptions!$E$18*Assumptions!$E$16</f>
        <v/>
      </c>
      <c r="L28" s="22">
        <f>L19*Assumptions!$E$18*Assumptions!$E$16</f>
        <v/>
      </c>
      <c r="M28" s="22">
        <f>M19*Assumptions!$E$18*Assumptions!$E$16</f>
        <v/>
      </c>
      <c r="N28" s="22">
        <f>N19*Assumptions!$E$18*Assumptions!$E$16</f>
        <v/>
      </c>
      <c r="O28" s="22">
        <f>O19*Assumptions!$E$18*Assumptions!$E$16</f>
        <v/>
      </c>
      <c r="P28" s="22">
        <f>P19*Assumptions!$E$18*Assumptions!$E$16</f>
        <v/>
      </c>
      <c r="Q28" s="22">
        <f>Q19*Assumptions!$E$18*Assumptions!$E$16</f>
        <v/>
      </c>
      <c r="R28" s="22">
        <f>R19*Assumptions!$E$18*Assumptions!$E$16</f>
        <v/>
      </c>
      <c r="S28" s="22">
        <f>S19*Assumptions!$E$18*Assumptions!$E$16</f>
        <v/>
      </c>
      <c r="T28" s="22">
        <f>T19*Assumptions!$E$18*Assumptions!$E$16</f>
        <v/>
      </c>
      <c r="U28" s="22">
        <f>U19*Assumptions!$E$18*Assumptions!$E$16</f>
        <v/>
      </c>
      <c r="V28" s="22">
        <f>V19*Assumptions!$E$18*Assumptions!$E$16</f>
        <v/>
      </c>
      <c r="W28" s="22">
        <f>W19*Assumptions!$E$18*Assumptions!$E$16</f>
        <v/>
      </c>
      <c r="X28" s="22">
        <f>X19*Assumptions!$E$18*Assumptions!$E$16</f>
        <v/>
      </c>
      <c r="Y28" s="22">
        <f>Y19*Assumptions!$E$18*Assumptions!$E$16</f>
        <v/>
      </c>
      <c r="Z28" s="22">
        <f>Z19*Assumptions!$E$18*Assumptions!$E$16</f>
        <v/>
      </c>
      <c r="AA28" s="22">
        <f>AA19*Assumptions!$E$18*Assumptions!$E$16</f>
        <v/>
      </c>
      <c r="AB28" s="22">
        <f>AB19*Assumptions!$E$18*Assumptions!$E$16</f>
        <v/>
      </c>
      <c r="AC28" s="22">
        <f>AC19*Assumptions!$E$18*Assumptions!$E$16</f>
        <v/>
      </c>
      <c r="AD28" s="22">
        <f>AD19*Assumptions!$E$18*Assumptions!$E$16</f>
        <v/>
      </c>
      <c r="AE28" s="22">
        <f>AE19*Assumptions!$E$18*Assumptions!$E$16</f>
        <v/>
      </c>
      <c r="AF28" s="22">
        <f>AF19*Assumptions!$E$18*Assumptions!$E$16</f>
        <v/>
      </c>
      <c r="AG28" s="22">
        <f>AG19*Assumptions!$E$18*Assumptions!$E$16</f>
        <v/>
      </c>
      <c r="AH28" s="22">
        <f>AH19*Assumptions!$E$18*Assumptions!$E$16</f>
        <v/>
      </c>
      <c r="AI28" s="22">
        <f>AI19*Assumptions!$E$18*Assumptions!$E$16</f>
        <v/>
      </c>
      <c r="AJ28" s="22">
        <f>AJ19*Assumptions!$E$18*Assumptions!$E$16</f>
        <v/>
      </c>
      <c r="AK28" s="22">
        <f>AK19*Assumptions!$E$18*Assumptions!$E$16</f>
        <v/>
      </c>
      <c r="AL28" s="22">
        <f>AL19*Assumptions!$E$18*Assumptions!$E$16</f>
        <v/>
      </c>
    </row>
    <row r="29">
      <c r="B29" s="8" t="inlineStr">
        <is>
          <t>Hosting</t>
        </is>
      </c>
      <c r="C29" s="22">
        <f>C22*Assumptions!$E$19</f>
        <v/>
      </c>
      <c r="D29" s="22">
        <f>D22*Assumptions!$E$19</f>
        <v/>
      </c>
      <c r="E29" s="22">
        <f>E22*Assumptions!$E$19</f>
        <v/>
      </c>
      <c r="F29" s="22">
        <f>F22*Assumptions!$E$19</f>
        <v/>
      </c>
      <c r="G29" s="22">
        <f>G22*Assumptions!$E$19</f>
        <v/>
      </c>
      <c r="H29" s="22">
        <f>H22*Assumptions!$E$19</f>
        <v/>
      </c>
      <c r="I29" s="22">
        <f>I22*Assumptions!$E$19</f>
        <v/>
      </c>
      <c r="J29" s="22">
        <f>J22*Assumptions!$E$19</f>
        <v/>
      </c>
      <c r="K29" s="22">
        <f>K22*Assumptions!$E$19</f>
        <v/>
      </c>
      <c r="L29" s="22">
        <f>L22*Assumptions!$E$19</f>
        <v/>
      </c>
      <c r="M29" s="22">
        <f>M22*Assumptions!$E$19</f>
        <v/>
      </c>
      <c r="N29" s="22">
        <f>N22*Assumptions!$E$19</f>
        <v/>
      </c>
      <c r="O29" s="22">
        <f>O22*Assumptions!$E$19</f>
        <v/>
      </c>
      <c r="P29" s="22">
        <f>P22*Assumptions!$E$19</f>
        <v/>
      </c>
      <c r="Q29" s="22">
        <f>Q22*Assumptions!$E$19</f>
        <v/>
      </c>
      <c r="R29" s="22">
        <f>R22*Assumptions!$E$19</f>
        <v/>
      </c>
      <c r="S29" s="22">
        <f>S22*Assumptions!$E$19</f>
        <v/>
      </c>
      <c r="T29" s="22">
        <f>T22*Assumptions!$E$19</f>
        <v/>
      </c>
      <c r="U29" s="22">
        <f>U22*Assumptions!$E$19</f>
        <v/>
      </c>
      <c r="V29" s="22">
        <f>V22*Assumptions!$E$19</f>
        <v/>
      </c>
      <c r="W29" s="22">
        <f>W22*Assumptions!$E$19</f>
        <v/>
      </c>
      <c r="X29" s="22">
        <f>X22*Assumptions!$E$19</f>
        <v/>
      </c>
      <c r="Y29" s="22">
        <f>Y22*Assumptions!$E$19</f>
        <v/>
      </c>
      <c r="Z29" s="22">
        <f>Z22*Assumptions!$E$19</f>
        <v/>
      </c>
      <c r="AA29" s="22">
        <f>AA22*Assumptions!$E$19</f>
        <v/>
      </c>
      <c r="AB29" s="22">
        <f>AB22*Assumptions!$E$19</f>
        <v/>
      </c>
      <c r="AC29" s="22">
        <f>AC22*Assumptions!$E$19</f>
        <v/>
      </c>
      <c r="AD29" s="22">
        <f>AD22*Assumptions!$E$19</f>
        <v/>
      </c>
      <c r="AE29" s="22">
        <f>AE22*Assumptions!$E$19</f>
        <v/>
      </c>
      <c r="AF29" s="22">
        <f>AF22*Assumptions!$E$19</f>
        <v/>
      </c>
      <c r="AG29" s="22">
        <f>AG22*Assumptions!$E$19</f>
        <v/>
      </c>
      <c r="AH29" s="22">
        <f>AH22*Assumptions!$E$19</f>
        <v/>
      </c>
      <c r="AI29" s="22">
        <f>AI22*Assumptions!$E$19</f>
        <v/>
      </c>
      <c r="AJ29" s="22">
        <f>AJ22*Assumptions!$E$19</f>
        <v/>
      </c>
      <c r="AK29" s="22">
        <f>AK22*Assumptions!$E$19</f>
        <v/>
      </c>
      <c r="AL29" s="22">
        <f>AL22*Assumptions!$E$19</f>
        <v/>
      </c>
    </row>
    <row r="30">
      <c r="B30" s="8" t="inlineStr">
        <is>
          <t>Support</t>
        </is>
      </c>
      <c r="C30" s="22">
        <f>C22*Assumptions!$E$20</f>
        <v/>
      </c>
      <c r="D30" s="22">
        <f>D22*Assumptions!$E$20</f>
        <v/>
      </c>
      <c r="E30" s="22">
        <f>E22*Assumptions!$E$20</f>
        <v/>
      </c>
      <c r="F30" s="22">
        <f>F22*Assumptions!$E$20</f>
        <v/>
      </c>
      <c r="G30" s="22">
        <f>G22*Assumptions!$E$20</f>
        <v/>
      </c>
      <c r="H30" s="22">
        <f>H22*Assumptions!$E$20</f>
        <v/>
      </c>
      <c r="I30" s="22">
        <f>I22*Assumptions!$E$20</f>
        <v/>
      </c>
      <c r="J30" s="22">
        <f>J22*Assumptions!$E$20</f>
        <v/>
      </c>
      <c r="K30" s="22">
        <f>K22*Assumptions!$E$20</f>
        <v/>
      </c>
      <c r="L30" s="22">
        <f>L22*Assumptions!$E$20</f>
        <v/>
      </c>
      <c r="M30" s="22">
        <f>M22*Assumptions!$E$20</f>
        <v/>
      </c>
      <c r="N30" s="22">
        <f>N22*Assumptions!$E$20</f>
        <v/>
      </c>
      <c r="O30" s="22">
        <f>O22*Assumptions!$E$20</f>
        <v/>
      </c>
      <c r="P30" s="22">
        <f>P22*Assumptions!$E$20</f>
        <v/>
      </c>
      <c r="Q30" s="22">
        <f>Q22*Assumptions!$E$20</f>
        <v/>
      </c>
      <c r="R30" s="22">
        <f>R22*Assumptions!$E$20</f>
        <v/>
      </c>
      <c r="S30" s="22">
        <f>S22*Assumptions!$E$20</f>
        <v/>
      </c>
      <c r="T30" s="22">
        <f>T22*Assumptions!$E$20</f>
        <v/>
      </c>
      <c r="U30" s="22">
        <f>U22*Assumptions!$E$20</f>
        <v/>
      </c>
      <c r="V30" s="22">
        <f>V22*Assumptions!$E$20</f>
        <v/>
      </c>
      <c r="W30" s="22">
        <f>W22*Assumptions!$E$20</f>
        <v/>
      </c>
      <c r="X30" s="22">
        <f>X22*Assumptions!$E$20</f>
        <v/>
      </c>
      <c r="Y30" s="22">
        <f>Y22*Assumptions!$E$20</f>
        <v/>
      </c>
      <c r="Z30" s="22">
        <f>Z22*Assumptions!$E$20</f>
        <v/>
      </c>
      <c r="AA30" s="22">
        <f>AA22*Assumptions!$E$20</f>
        <v/>
      </c>
      <c r="AB30" s="22">
        <f>AB22*Assumptions!$E$20</f>
        <v/>
      </c>
      <c r="AC30" s="22">
        <f>AC22*Assumptions!$E$20</f>
        <v/>
      </c>
      <c r="AD30" s="22">
        <f>AD22*Assumptions!$E$20</f>
        <v/>
      </c>
      <c r="AE30" s="22">
        <f>AE22*Assumptions!$E$20</f>
        <v/>
      </c>
      <c r="AF30" s="22">
        <f>AF22*Assumptions!$E$20</f>
        <v/>
      </c>
      <c r="AG30" s="22">
        <f>AG22*Assumptions!$E$20</f>
        <v/>
      </c>
      <c r="AH30" s="22">
        <f>AH22*Assumptions!$E$20</f>
        <v/>
      </c>
      <c r="AI30" s="22">
        <f>AI22*Assumptions!$E$20</f>
        <v/>
      </c>
      <c r="AJ30" s="22">
        <f>AJ22*Assumptions!$E$20</f>
        <v/>
      </c>
      <c r="AK30" s="22">
        <f>AK22*Assumptions!$E$20</f>
        <v/>
      </c>
      <c r="AL30" s="22">
        <f>AL22*Assumptions!$E$20</f>
        <v/>
      </c>
    </row>
    <row r="31">
      <c r="B31" s="8" t="inlineStr">
        <is>
          <t>Card fees</t>
        </is>
      </c>
      <c r="C31" s="22">
        <f>C20*(Assumptions!$E$21*Assumptions!$E$11+Assumptions!$E$22)+C21*(Assumptions!$E$21*Assumptions!$E$12+Assumptions!$E$22)/12</f>
        <v/>
      </c>
      <c r="D31" s="22">
        <f>D20*(Assumptions!$E$21*Assumptions!$E$11+Assumptions!$E$22)+D21*(Assumptions!$E$21*Assumptions!$E$12+Assumptions!$E$22)/12</f>
        <v/>
      </c>
      <c r="E31" s="22">
        <f>E20*(Assumptions!$E$21*Assumptions!$E$11+Assumptions!$E$22)+E21*(Assumptions!$E$21*Assumptions!$E$12+Assumptions!$E$22)/12</f>
        <v/>
      </c>
      <c r="F31" s="22">
        <f>F20*(Assumptions!$E$21*Assumptions!$E$11+Assumptions!$E$22)+F21*(Assumptions!$E$21*Assumptions!$E$12+Assumptions!$E$22)/12</f>
        <v/>
      </c>
      <c r="G31" s="22">
        <f>G20*(Assumptions!$E$21*Assumptions!$E$11+Assumptions!$E$22)+G21*(Assumptions!$E$21*Assumptions!$E$12+Assumptions!$E$22)/12</f>
        <v/>
      </c>
      <c r="H31" s="22">
        <f>H20*(Assumptions!$E$21*Assumptions!$E$11+Assumptions!$E$22)+H21*(Assumptions!$E$21*Assumptions!$E$12+Assumptions!$E$22)/12</f>
        <v/>
      </c>
      <c r="I31" s="22">
        <f>I20*(Assumptions!$E$21*Assumptions!$E$11+Assumptions!$E$22)+I21*(Assumptions!$E$21*Assumptions!$E$12+Assumptions!$E$22)/12</f>
        <v/>
      </c>
      <c r="J31" s="22">
        <f>J20*(Assumptions!$E$21*Assumptions!$E$11+Assumptions!$E$22)+J21*(Assumptions!$E$21*Assumptions!$E$12+Assumptions!$E$22)/12</f>
        <v/>
      </c>
      <c r="K31" s="22">
        <f>K20*(Assumptions!$E$21*Assumptions!$E$11+Assumptions!$E$22)+K21*(Assumptions!$E$21*Assumptions!$E$12+Assumptions!$E$22)/12</f>
        <v/>
      </c>
      <c r="L31" s="22">
        <f>L20*(Assumptions!$E$21*Assumptions!$E$11+Assumptions!$E$22)+L21*(Assumptions!$E$21*Assumptions!$E$12+Assumptions!$E$22)/12</f>
        <v/>
      </c>
      <c r="M31" s="22">
        <f>M20*(Assumptions!$E$21*Assumptions!$E$11+Assumptions!$E$22)+M21*(Assumptions!$E$21*Assumptions!$E$12+Assumptions!$E$22)/12</f>
        <v/>
      </c>
      <c r="N31" s="22">
        <f>N20*(Assumptions!$E$21*Assumptions!$E$11+Assumptions!$E$22)+N21*(Assumptions!$E$21*Assumptions!$E$12+Assumptions!$E$22)/12</f>
        <v/>
      </c>
      <c r="O31" s="22">
        <f>O20*(Assumptions!$E$21*Assumptions!$E$11+Assumptions!$E$22)+O21*(Assumptions!$E$21*Assumptions!$E$12+Assumptions!$E$22)/12</f>
        <v/>
      </c>
      <c r="P31" s="22">
        <f>P20*(Assumptions!$E$21*Assumptions!$E$11+Assumptions!$E$22)+P21*(Assumptions!$E$21*Assumptions!$E$12+Assumptions!$E$22)/12</f>
        <v/>
      </c>
      <c r="Q31" s="22">
        <f>Q20*(Assumptions!$E$21*Assumptions!$E$11+Assumptions!$E$22)+Q21*(Assumptions!$E$21*Assumptions!$E$12+Assumptions!$E$22)/12</f>
        <v/>
      </c>
      <c r="R31" s="22">
        <f>R20*(Assumptions!$E$21*Assumptions!$E$11+Assumptions!$E$22)+R21*(Assumptions!$E$21*Assumptions!$E$12+Assumptions!$E$22)/12</f>
        <v/>
      </c>
      <c r="S31" s="22">
        <f>S20*(Assumptions!$E$21*Assumptions!$E$11+Assumptions!$E$22)+S21*(Assumptions!$E$21*Assumptions!$E$12+Assumptions!$E$22)/12</f>
        <v/>
      </c>
      <c r="T31" s="22">
        <f>T20*(Assumptions!$E$21*Assumptions!$E$11+Assumptions!$E$22)+T21*(Assumptions!$E$21*Assumptions!$E$12+Assumptions!$E$22)/12</f>
        <v/>
      </c>
      <c r="U31" s="22">
        <f>U20*(Assumptions!$E$21*Assumptions!$E$11+Assumptions!$E$22)+U21*(Assumptions!$E$21*Assumptions!$E$12+Assumptions!$E$22)/12</f>
        <v/>
      </c>
      <c r="V31" s="22">
        <f>V20*(Assumptions!$E$21*Assumptions!$E$11+Assumptions!$E$22)+V21*(Assumptions!$E$21*Assumptions!$E$12+Assumptions!$E$22)/12</f>
        <v/>
      </c>
      <c r="W31" s="22">
        <f>W20*(Assumptions!$E$21*Assumptions!$E$11+Assumptions!$E$22)+W21*(Assumptions!$E$21*Assumptions!$E$12+Assumptions!$E$22)/12</f>
        <v/>
      </c>
      <c r="X31" s="22">
        <f>X20*(Assumptions!$E$21*Assumptions!$E$11+Assumptions!$E$22)+X21*(Assumptions!$E$21*Assumptions!$E$12+Assumptions!$E$22)/12</f>
        <v/>
      </c>
      <c r="Y31" s="22">
        <f>Y20*(Assumptions!$E$21*Assumptions!$E$11+Assumptions!$E$22)+Y21*(Assumptions!$E$21*Assumptions!$E$12+Assumptions!$E$22)/12</f>
        <v/>
      </c>
      <c r="Z31" s="22">
        <f>Z20*(Assumptions!$E$21*Assumptions!$E$11+Assumptions!$E$22)+Z21*(Assumptions!$E$21*Assumptions!$E$12+Assumptions!$E$22)/12</f>
        <v/>
      </c>
      <c r="AA31" s="22">
        <f>AA20*(Assumptions!$E$21*Assumptions!$E$11+Assumptions!$E$22)+AA21*(Assumptions!$E$21*Assumptions!$E$12+Assumptions!$E$22)/12</f>
        <v/>
      </c>
      <c r="AB31" s="22">
        <f>AB20*(Assumptions!$E$21*Assumptions!$E$11+Assumptions!$E$22)+AB21*(Assumptions!$E$21*Assumptions!$E$12+Assumptions!$E$22)/12</f>
        <v/>
      </c>
      <c r="AC31" s="22">
        <f>AC20*(Assumptions!$E$21*Assumptions!$E$11+Assumptions!$E$22)+AC21*(Assumptions!$E$21*Assumptions!$E$12+Assumptions!$E$22)/12</f>
        <v/>
      </c>
      <c r="AD31" s="22">
        <f>AD20*(Assumptions!$E$21*Assumptions!$E$11+Assumptions!$E$22)+AD21*(Assumptions!$E$21*Assumptions!$E$12+Assumptions!$E$22)/12</f>
        <v/>
      </c>
      <c r="AE31" s="22">
        <f>AE20*(Assumptions!$E$21*Assumptions!$E$11+Assumptions!$E$22)+AE21*(Assumptions!$E$21*Assumptions!$E$12+Assumptions!$E$22)/12</f>
        <v/>
      </c>
      <c r="AF31" s="22">
        <f>AF20*(Assumptions!$E$21*Assumptions!$E$11+Assumptions!$E$22)+AF21*(Assumptions!$E$21*Assumptions!$E$12+Assumptions!$E$22)/12</f>
        <v/>
      </c>
      <c r="AG31" s="22">
        <f>AG20*(Assumptions!$E$21*Assumptions!$E$11+Assumptions!$E$22)+AG21*(Assumptions!$E$21*Assumptions!$E$12+Assumptions!$E$22)/12</f>
        <v/>
      </c>
      <c r="AH31" s="22">
        <f>AH20*(Assumptions!$E$21*Assumptions!$E$11+Assumptions!$E$22)+AH21*(Assumptions!$E$21*Assumptions!$E$12+Assumptions!$E$22)/12</f>
        <v/>
      </c>
      <c r="AI31" s="22">
        <f>AI20*(Assumptions!$E$21*Assumptions!$E$11+Assumptions!$E$22)+AI21*(Assumptions!$E$21*Assumptions!$E$12+Assumptions!$E$22)/12</f>
        <v/>
      </c>
      <c r="AJ31" s="22">
        <f>AJ20*(Assumptions!$E$21*Assumptions!$E$11+Assumptions!$E$22)+AJ21*(Assumptions!$E$21*Assumptions!$E$12+Assumptions!$E$22)/12</f>
        <v/>
      </c>
      <c r="AK31" s="22">
        <f>AK20*(Assumptions!$E$21*Assumptions!$E$11+Assumptions!$E$22)+AK21*(Assumptions!$E$21*Assumptions!$E$12+Assumptions!$E$22)/12</f>
        <v/>
      </c>
      <c r="AL31" s="22">
        <f>AL20*(Assumptions!$E$21*Assumptions!$E$11+Assumptions!$E$22)+AL21*(Assumptions!$E$21*Assumptions!$E$12+Assumptions!$E$22)/12</f>
        <v/>
      </c>
    </row>
    <row r="32">
      <c r="B32" s="5" t="inlineStr">
        <is>
          <t>Total cost of goods</t>
        </is>
      </c>
      <c r="C32" s="33">
        <f>SUM(C27:C31)</f>
        <v/>
      </c>
      <c r="D32" s="33">
        <f>SUM(D27:D31)</f>
        <v/>
      </c>
      <c r="E32" s="33">
        <f>SUM(E27:E31)</f>
        <v/>
      </c>
      <c r="F32" s="33">
        <f>SUM(F27:F31)</f>
        <v/>
      </c>
      <c r="G32" s="33">
        <f>SUM(G27:G31)</f>
        <v/>
      </c>
      <c r="H32" s="33">
        <f>SUM(H27:H31)</f>
        <v/>
      </c>
      <c r="I32" s="33">
        <f>SUM(I27:I31)</f>
        <v/>
      </c>
      <c r="J32" s="33">
        <f>SUM(J27:J31)</f>
        <v/>
      </c>
      <c r="K32" s="33">
        <f>SUM(K27:K31)</f>
        <v/>
      </c>
      <c r="L32" s="33">
        <f>SUM(L27:L31)</f>
        <v/>
      </c>
      <c r="M32" s="33">
        <f>SUM(M27:M31)</f>
        <v/>
      </c>
      <c r="N32" s="33">
        <f>SUM(N27:N31)</f>
        <v/>
      </c>
      <c r="O32" s="33">
        <f>SUM(O27:O31)</f>
        <v/>
      </c>
      <c r="P32" s="33">
        <f>SUM(P27:P31)</f>
        <v/>
      </c>
      <c r="Q32" s="33">
        <f>SUM(Q27:Q31)</f>
        <v/>
      </c>
      <c r="R32" s="33">
        <f>SUM(R27:R31)</f>
        <v/>
      </c>
      <c r="S32" s="33">
        <f>SUM(S27:S31)</f>
        <v/>
      </c>
      <c r="T32" s="33">
        <f>SUM(T27:T31)</f>
        <v/>
      </c>
      <c r="U32" s="33">
        <f>SUM(U27:U31)</f>
        <v/>
      </c>
      <c r="V32" s="33">
        <f>SUM(V27:V31)</f>
        <v/>
      </c>
      <c r="W32" s="33">
        <f>SUM(W27:W31)</f>
        <v/>
      </c>
      <c r="X32" s="33">
        <f>SUM(X27:X31)</f>
        <v/>
      </c>
      <c r="Y32" s="33">
        <f>SUM(Y27:Y31)</f>
        <v/>
      </c>
      <c r="Z32" s="33">
        <f>SUM(Z27:Z31)</f>
        <v/>
      </c>
      <c r="AA32" s="33">
        <f>SUM(AA27:AA31)</f>
        <v/>
      </c>
      <c r="AB32" s="33">
        <f>SUM(AB27:AB31)</f>
        <v/>
      </c>
      <c r="AC32" s="33">
        <f>SUM(AC27:AC31)</f>
        <v/>
      </c>
      <c r="AD32" s="33">
        <f>SUM(AD27:AD31)</f>
        <v/>
      </c>
      <c r="AE32" s="33">
        <f>SUM(AE27:AE31)</f>
        <v/>
      </c>
      <c r="AF32" s="33">
        <f>SUM(AF27:AF31)</f>
        <v/>
      </c>
      <c r="AG32" s="33">
        <f>SUM(AG27:AG31)</f>
        <v/>
      </c>
      <c r="AH32" s="33">
        <f>SUM(AH27:AH31)</f>
        <v/>
      </c>
      <c r="AI32" s="33">
        <f>SUM(AI27:AI31)</f>
        <v/>
      </c>
      <c r="AJ32" s="33">
        <f>SUM(AJ27:AJ31)</f>
        <v/>
      </c>
      <c r="AK32" s="33">
        <f>SUM(AK27:AK31)</f>
        <v/>
      </c>
      <c r="AL32" s="33">
        <f>SUM(AL27:AL31)</f>
        <v/>
      </c>
    </row>
    <row r="33">
      <c r="B33" s="5" t="inlineStr">
        <is>
          <t>Gross profit</t>
        </is>
      </c>
      <c r="C33" s="33">
        <f>C26-C32</f>
        <v/>
      </c>
      <c r="D33" s="33">
        <f>D26-D32</f>
        <v/>
      </c>
      <c r="E33" s="33">
        <f>E26-E32</f>
        <v/>
      </c>
      <c r="F33" s="33">
        <f>F26-F32</f>
        <v/>
      </c>
      <c r="G33" s="33">
        <f>G26-G32</f>
        <v/>
      </c>
      <c r="H33" s="33">
        <f>H26-H32</f>
        <v/>
      </c>
      <c r="I33" s="33">
        <f>I26-I32</f>
        <v/>
      </c>
      <c r="J33" s="33">
        <f>J26-J32</f>
        <v/>
      </c>
      <c r="K33" s="33">
        <f>K26-K32</f>
        <v/>
      </c>
      <c r="L33" s="33">
        <f>L26-L32</f>
        <v/>
      </c>
      <c r="M33" s="33">
        <f>M26-M32</f>
        <v/>
      </c>
      <c r="N33" s="33">
        <f>N26-N32</f>
        <v/>
      </c>
      <c r="O33" s="33">
        <f>O26-O32</f>
        <v/>
      </c>
      <c r="P33" s="33">
        <f>P26-P32</f>
        <v/>
      </c>
      <c r="Q33" s="33">
        <f>Q26-Q32</f>
        <v/>
      </c>
      <c r="R33" s="33">
        <f>R26-R32</f>
        <v/>
      </c>
      <c r="S33" s="33">
        <f>S26-S32</f>
        <v/>
      </c>
      <c r="T33" s="33">
        <f>T26-T32</f>
        <v/>
      </c>
      <c r="U33" s="33">
        <f>U26-U32</f>
        <v/>
      </c>
      <c r="V33" s="33">
        <f>V26-V32</f>
        <v/>
      </c>
      <c r="W33" s="33">
        <f>W26-W32</f>
        <v/>
      </c>
      <c r="X33" s="33">
        <f>X26-X32</f>
        <v/>
      </c>
      <c r="Y33" s="33">
        <f>Y26-Y32</f>
        <v/>
      </c>
      <c r="Z33" s="33">
        <f>Z26-Z32</f>
        <v/>
      </c>
      <c r="AA33" s="33">
        <f>AA26-AA32</f>
        <v/>
      </c>
      <c r="AB33" s="33">
        <f>AB26-AB32</f>
        <v/>
      </c>
      <c r="AC33" s="33">
        <f>AC26-AC32</f>
        <v/>
      </c>
      <c r="AD33" s="33">
        <f>AD26-AD32</f>
        <v/>
      </c>
      <c r="AE33" s="33">
        <f>AE26-AE32</f>
        <v/>
      </c>
      <c r="AF33" s="33">
        <f>AF26-AF32</f>
        <v/>
      </c>
      <c r="AG33" s="33">
        <f>AG26-AG32</f>
        <v/>
      </c>
      <c r="AH33" s="33">
        <f>AH26-AH32</f>
        <v/>
      </c>
      <c r="AI33" s="33">
        <f>AI26-AI32</f>
        <v/>
      </c>
      <c r="AJ33" s="33">
        <f>AJ26-AJ32</f>
        <v/>
      </c>
      <c r="AK33" s="33">
        <f>AK26-AK32</f>
        <v/>
      </c>
      <c r="AL33" s="33">
        <f>AL26-AL32</f>
        <v/>
      </c>
    </row>
    <row r="34">
      <c r="B34" s="8" t="inlineStr">
        <is>
          <t>Gross margin</t>
        </is>
      </c>
      <c r="C34" s="31">
        <f>IFERROR(C33/C26,0)</f>
        <v/>
      </c>
      <c r="D34" s="31">
        <f>IFERROR(D33/D26,0)</f>
        <v/>
      </c>
      <c r="E34" s="31">
        <f>IFERROR(E33/E26,0)</f>
        <v/>
      </c>
      <c r="F34" s="31">
        <f>IFERROR(F33/F26,0)</f>
        <v/>
      </c>
      <c r="G34" s="31">
        <f>IFERROR(G33/G26,0)</f>
        <v/>
      </c>
      <c r="H34" s="31">
        <f>IFERROR(H33/H26,0)</f>
        <v/>
      </c>
      <c r="I34" s="31">
        <f>IFERROR(I33/I26,0)</f>
        <v/>
      </c>
      <c r="J34" s="31">
        <f>IFERROR(J33/J26,0)</f>
        <v/>
      </c>
      <c r="K34" s="31">
        <f>IFERROR(K33/K26,0)</f>
        <v/>
      </c>
      <c r="L34" s="31">
        <f>IFERROR(L33/L26,0)</f>
        <v/>
      </c>
      <c r="M34" s="31">
        <f>IFERROR(M33/M26,0)</f>
        <v/>
      </c>
      <c r="N34" s="31">
        <f>IFERROR(N33/N26,0)</f>
        <v/>
      </c>
      <c r="O34" s="31">
        <f>IFERROR(O33/O26,0)</f>
        <v/>
      </c>
      <c r="P34" s="31">
        <f>IFERROR(P33/P26,0)</f>
        <v/>
      </c>
      <c r="Q34" s="31">
        <f>IFERROR(Q33/Q26,0)</f>
        <v/>
      </c>
      <c r="R34" s="31">
        <f>IFERROR(R33/R26,0)</f>
        <v/>
      </c>
      <c r="S34" s="31">
        <f>IFERROR(S33/S26,0)</f>
        <v/>
      </c>
      <c r="T34" s="31">
        <f>IFERROR(T33/T26,0)</f>
        <v/>
      </c>
      <c r="U34" s="31">
        <f>IFERROR(U33/U26,0)</f>
        <v/>
      </c>
      <c r="V34" s="31">
        <f>IFERROR(V33/V26,0)</f>
        <v/>
      </c>
      <c r="W34" s="31">
        <f>IFERROR(W33/W26,0)</f>
        <v/>
      </c>
      <c r="X34" s="31">
        <f>IFERROR(X33/X26,0)</f>
        <v/>
      </c>
      <c r="Y34" s="31">
        <f>IFERROR(Y33/Y26,0)</f>
        <v/>
      </c>
      <c r="Z34" s="31">
        <f>IFERROR(Z33/Z26,0)</f>
        <v/>
      </c>
      <c r="AA34" s="31">
        <f>IFERROR(AA33/AA26,0)</f>
        <v/>
      </c>
      <c r="AB34" s="31">
        <f>IFERROR(AB33/AB26,0)</f>
        <v/>
      </c>
      <c r="AC34" s="31">
        <f>IFERROR(AC33/AC26,0)</f>
        <v/>
      </c>
      <c r="AD34" s="31">
        <f>IFERROR(AD33/AD26,0)</f>
        <v/>
      </c>
      <c r="AE34" s="31">
        <f>IFERROR(AE33/AE26,0)</f>
        <v/>
      </c>
      <c r="AF34" s="31">
        <f>IFERROR(AF33/AF26,0)</f>
        <v/>
      </c>
      <c r="AG34" s="31">
        <f>IFERROR(AG33/AG26,0)</f>
        <v/>
      </c>
      <c r="AH34" s="31">
        <f>IFERROR(AH33/AH26,0)</f>
        <v/>
      </c>
      <c r="AI34" s="31">
        <f>IFERROR(AI33/AI26,0)</f>
        <v/>
      </c>
      <c r="AJ34" s="31">
        <f>IFERROR(AJ33/AJ26,0)</f>
        <v/>
      </c>
      <c r="AK34" s="31">
        <f>IFERROR(AK33/AK26,0)</f>
        <v/>
      </c>
      <c r="AL34" s="31">
        <f>IFERROR(AL33/AL26,0)</f>
        <v/>
      </c>
    </row>
    <row r="36">
      <c r="B36" s="28" t="inlineStr">
        <is>
          <t>OPERATING EXPENSE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</row>
    <row r="37">
      <c r="B37" s="8" t="inlineStr">
        <is>
          <t>Personnel</t>
        </is>
      </c>
      <c r="C37" s="34">
        <f>Team!J34</f>
        <v/>
      </c>
      <c r="D37" s="34">
        <f>Team!K34</f>
        <v/>
      </c>
      <c r="E37" s="34">
        <f>Team!L34</f>
        <v/>
      </c>
      <c r="F37" s="34">
        <f>Team!M34</f>
        <v/>
      </c>
      <c r="G37" s="34">
        <f>Team!N34</f>
        <v/>
      </c>
      <c r="H37" s="34">
        <f>Team!O34</f>
        <v/>
      </c>
      <c r="I37" s="34">
        <f>Team!P34</f>
        <v/>
      </c>
      <c r="J37" s="34">
        <f>Team!Q34</f>
        <v/>
      </c>
      <c r="K37" s="34">
        <f>Team!R34</f>
        <v/>
      </c>
      <c r="L37" s="34">
        <f>Team!S34</f>
        <v/>
      </c>
      <c r="M37" s="34">
        <f>Team!T34</f>
        <v/>
      </c>
      <c r="N37" s="34">
        <f>Team!U34</f>
        <v/>
      </c>
      <c r="O37" s="34">
        <f>Team!V34</f>
        <v/>
      </c>
      <c r="P37" s="34">
        <f>Team!W34</f>
        <v/>
      </c>
      <c r="Q37" s="34">
        <f>Team!X34</f>
        <v/>
      </c>
      <c r="R37" s="34">
        <f>Team!Y34</f>
        <v/>
      </c>
      <c r="S37" s="34">
        <f>Team!Z34</f>
        <v/>
      </c>
      <c r="T37" s="34">
        <f>Team!AA34</f>
        <v/>
      </c>
      <c r="U37" s="34">
        <f>Team!AB34</f>
        <v/>
      </c>
      <c r="V37" s="34">
        <f>Team!AC34</f>
        <v/>
      </c>
      <c r="W37" s="34">
        <f>Team!AD34</f>
        <v/>
      </c>
      <c r="X37" s="34">
        <f>Team!AE34</f>
        <v/>
      </c>
      <c r="Y37" s="34">
        <f>Team!AF34</f>
        <v/>
      </c>
      <c r="Z37" s="34">
        <f>Team!AG34</f>
        <v/>
      </c>
      <c r="AA37" s="34">
        <f>Team!AH34</f>
        <v/>
      </c>
      <c r="AB37" s="34">
        <f>Team!AI34</f>
        <v/>
      </c>
      <c r="AC37" s="34">
        <f>Team!AJ34</f>
        <v/>
      </c>
      <c r="AD37" s="34">
        <f>Team!AK34</f>
        <v/>
      </c>
      <c r="AE37" s="34">
        <f>Team!AL34</f>
        <v/>
      </c>
      <c r="AF37" s="34">
        <f>Team!AM34</f>
        <v/>
      </c>
      <c r="AG37" s="34">
        <f>Team!AN34</f>
        <v/>
      </c>
      <c r="AH37" s="34">
        <f>Team!AO34</f>
        <v/>
      </c>
      <c r="AI37" s="34">
        <f>Team!AP34</f>
        <v/>
      </c>
      <c r="AJ37" s="34">
        <f>Team!AQ34</f>
        <v/>
      </c>
      <c r="AK37" s="34">
        <f>Team!AR34</f>
        <v/>
      </c>
      <c r="AL37" s="34">
        <f>Team!AS34</f>
        <v/>
      </c>
    </row>
    <row r="38">
      <c r="B38" s="8" t="inlineStr">
        <is>
          <t>Sales and marketing</t>
        </is>
      </c>
      <c r="C38" s="22">
        <f>C9</f>
        <v/>
      </c>
      <c r="D38" s="22">
        <f>D9</f>
        <v/>
      </c>
      <c r="E38" s="22">
        <f>E9</f>
        <v/>
      </c>
      <c r="F38" s="22">
        <f>F9</f>
        <v/>
      </c>
      <c r="G38" s="22">
        <f>G9</f>
        <v/>
      </c>
      <c r="H38" s="22">
        <f>H9</f>
        <v/>
      </c>
      <c r="I38" s="22">
        <f>I9</f>
        <v/>
      </c>
      <c r="J38" s="22">
        <f>J9</f>
        <v/>
      </c>
      <c r="K38" s="22">
        <f>K9</f>
        <v/>
      </c>
      <c r="L38" s="22">
        <f>L9</f>
        <v/>
      </c>
      <c r="M38" s="22">
        <f>M9</f>
        <v/>
      </c>
      <c r="N38" s="22">
        <f>N9</f>
        <v/>
      </c>
      <c r="O38" s="22">
        <f>O9</f>
        <v/>
      </c>
      <c r="P38" s="22">
        <f>P9</f>
        <v/>
      </c>
      <c r="Q38" s="22">
        <f>Q9</f>
        <v/>
      </c>
      <c r="R38" s="22">
        <f>R9</f>
        <v/>
      </c>
      <c r="S38" s="22">
        <f>S9</f>
        <v/>
      </c>
      <c r="T38" s="22">
        <f>T9</f>
        <v/>
      </c>
      <c r="U38" s="22">
        <f>U9</f>
        <v/>
      </c>
      <c r="V38" s="22">
        <f>V9</f>
        <v/>
      </c>
      <c r="W38" s="22">
        <f>W9</f>
        <v/>
      </c>
      <c r="X38" s="22">
        <f>X9</f>
        <v/>
      </c>
      <c r="Y38" s="22">
        <f>Y9</f>
        <v/>
      </c>
      <c r="Z38" s="22">
        <f>Z9</f>
        <v/>
      </c>
      <c r="AA38" s="22">
        <f>AA9</f>
        <v/>
      </c>
      <c r="AB38" s="22">
        <f>AB9</f>
        <v/>
      </c>
      <c r="AC38" s="22">
        <f>AC9</f>
        <v/>
      </c>
      <c r="AD38" s="22">
        <f>AD9</f>
        <v/>
      </c>
      <c r="AE38" s="22">
        <f>AE9</f>
        <v/>
      </c>
      <c r="AF38" s="22">
        <f>AF9</f>
        <v/>
      </c>
      <c r="AG38" s="22">
        <f>AG9</f>
        <v/>
      </c>
      <c r="AH38" s="22">
        <f>AH9</f>
        <v/>
      </c>
      <c r="AI38" s="22">
        <f>AI9</f>
        <v/>
      </c>
      <c r="AJ38" s="22">
        <f>AJ9</f>
        <v/>
      </c>
      <c r="AK38" s="22">
        <f>AK9</f>
        <v/>
      </c>
      <c r="AL38" s="22">
        <f>AL9</f>
        <v/>
      </c>
    </row>
    <row r="39">
      <c r="B39" s="8" t="inlineStr">
        <is>
          <t>G&amp;A, legal, compliance, data</t>
        </is>
      </c>
      <c r="C39" s="22">
        <f>INDEX(Assumptions!$E$58:$E$60,C$5)</f>
        <v/>
      </c>
      <c r="D39" s="22">
        <f>INDEX(Assumptions!$E$58:$E$60,D$5)</f>
        <v/>
      </c>
      <c r="E39" s="22">
        <f>INDEX(Assumptions!$E$58:$E$60,E$5)</f>
        <v/>
      </c>
      <c r="F39" s="22">
        <f>INDEX(Assumptions!$E$58:$E$60,F$5)</f>
        <v/>
      </c>
      <c r="G39" s="22">
        <f>INDEX(Assumptions!$E$58:$E$60,G$5)</f>
        <v/>
      </c>
      <c r="H39" s="22">
        <f>INDEX(Assumptions!$E$58:$E$60,H$5)</f>
        <v/>
      </c>
      <c r="I39" s="22">
        <f>INDEX(Assumptions!$E$58:$E$60,I$5)</f>
        <v/>
      </c>
      <c r="J39" s="22">
        <f>INDEX(Assumptions!$E$58:$E$60,J$5)</f>
        <v/>
      </c>
      <c r="K39" s="22">
        <f>INDEX(Assumptions!$E$58:$E$60,K$5)</f>
        <v/>
      </c>
      <c r="L39" s="22">
        <f>INDEX(Assumptions!$E$58:$E$60,L$5)</f>
        <v/>
      </c>
      <c r="M39" s="22">
        <f>INDEX(Assumptions!$E$58:$E$60,M$5)</f>
        <v/>
      </c>
      <c r="N39" s="22">
        <f>INDEX(Assumptions!$E$58:$E$60,N$5)</f>
        <v/>
      </c>
      <c r="O39" s="22">
        <f>INDEX(Assumptions!$E$58:$E$60,O$5)</f>
        <v/>
      </c>
      <c r="P39" s="22">
        <f>INDEX(Assumptions!$E$58:$E$60,P$5)</f>
        <v/>
      </c>
      <c r="Q39" s="22">
        <f>INDEX(Assumptions!$E$58:$E$60,Q$5)</f>
        <v/>
      </c>
      <c r="R39" s="22">
        <f>INDEX(Assumptions!$E$58:$E$60,R$5)</f>
        <v/>
      </c>
      <c r="S39" s="22">
        <f>INDEX(Assumptions!$E$58:$E$60,S$5)</f>
        <v/>
      </c>
      <c r="T39" s="22">
        <f>INDEX(Assumptions!$E$58:$E$60,T$5)</f>
        <v/>
      </c>
      <c r="U39" s="22">
        <f>INDEX(Assumptions!$E$58:$E$60,U$5)</f>
        <v/>
      </c>
      <c r="V39" s="22">
        <f>INDEX(Assumptions!$E$58:$E$60,V$5)</f>
        <v/>
      </c>
      <c r="W39" s="22">
        <f>INDEX(Assumptions!$E$58:$E$60,W$5)</f>
        <v/>
      </c>
      <c r="X39" s="22">
        <f>INDEX(Assumptions!$E$58:$E$60,X$5)</f>
        <v/>
      </c>
      <c r="Y39" s="22">
        <f>INDEX(Assumptions!$E$58:$E$60,Y$5)</f>
        <v/>
      </c>
      <c r="Z39" s="22">
        <f>INDEX(Assumptions!$E$58:$E$60,Z$5)</f>
        <v/>
      </c>
      <c r="AA39" s="22">
        <f>INDEX(Assumptions!$E$58:$E$60,AA$5)</f>
        <v/>
      </c>
      <c r="AB39" s="22">
        <f>INDEX(Assumptions!$E$58:$E$60,AB$5)</f>
        <v/>
      </c>
      <c r="AC39" s="22">
        <f>INDEX(Assumptions!$E$58:$E$60,AC$5)</f>
        <v/>
      </c>
      <c r="AD39" s="22">
        <f>INDEX(Assumptions!$E$58:$E$60,AD$5)</f>
        <v/>
      </c>
      <c r="AE39" s="22">
        <f>INDEX(Assumptions!$E$58:$E$60,AE$5)</f>
        <v/>
      </c>
      <c r="AF39" s="22">
        <f>INDEX(Assumptions!$E$58:$E$60,AF$5)</f>
        <v/>
      </c>
      <c r="AG39" s="22">
        <f>INDEX(Assumptions!$E$58:$E$60,AG$5)</f>
        <v/>
      </c>
      <c r="AH39" s="22">
        <f>INDEX(Assumptions!$E$58:$E$60,AH$5)</f>
        <v/>
      </c>
      <c r="AI39" s="22">
        <f>INDEX(Assumptions!$E$58:$E$60,AI$5)</f>
        <v/>
      </c>
      <c r="AJ39" s="22">
        <f>INDEX(Assumptions!$E$58:$E$60,AJ$5)</f>
        <v/>
      </c>
      <c r="AK39" s="22">
        <f>INDEX(Assumptions!$E$58:$E$60,AK$5)</f>
        <v/>
      </c>
      <c r="AL39" s="22">
        <f>INDEX(Assumptions!$E$58:$E$60,AL$5)</f>
        <v/>
      </c>
    </row>
    <row r="40">
      <c r="B40" s="8" t="inlineStr">
        <is>
          <t>One-off costs</t>
        </is>
      </c>
      <c r="C40" s="22">
        <f>SUMIF(Assumptions!$B$80:$B$85,C$4,Assumptions!$C$80:$C$85)</f>
        <v/>
      </c>
      <c r="D40" s="22">
        <f>SUMIF(Assumptions!$B$80:$B$85,D$4,Assumptions!$C$80:$C$85)</f>
        <v/>
      </c>
      <c r="E40" s="22">
        <f>SUMIF(Assumptions!$B$80:$B$85,E$4,Assumptions!$C$80:$C$85)</f>
        <v/>
      </c>
      <c r="F40" s="22">
        <f>SUMIF(Assumptions!$B$80:$B$85,F$4,Assumptions!$C$80:$C$85)</f>
        <v/>
      </c>
      <c r="G40" s="22">
        <f>SUMIF(Assumptions!$B$80:$B$85,G$4,Assumptions!$C$80:$C$85)</f>
        <v/>
      </c>
      <c r="H40" s="22">
        <f>SUMIF(Assumptions!$B$80:$B$85,H$4,Assumptions!$C$80:$C$85)</f>
        <v/>
      </c>
      <c r="I40" s="22">
        <f>SUMIF(Assumptions!$B$80:$B$85,I$4,Assumptions!$C$80:$C$85)</f>
        <v/>
      </c>
      <c r="J40" s="22">
        <f>SUMIF(Assumptions!$B$80:$B$85,J$4,Assumptions!$C$80:$C$85)</f>
        <v/>
      </c>
      <c r="K40" s="22">
        <f>SUMIF(Assumptions!$B$80:$B$85,K$4,Assumptions!$C$80:$C$85)</f>
        <v/>
      </c>
      <c r="L40" s="22">
        <f>SUMIF(Assumptions!$B$80:$B$85,L$4,Assumptions!$C$80:$C$85)</f>
        <v/>
      </c>
      <c r="M40" s="22">
        <f>SUMIF(Assumptions!$B$80:$B$85,M$4,Assumptions!$C$80:$C$85)</f>
        <v/>
      </c>
      <c r="N40" s="22">
        <f>SUMIF(Assumptions!$B$80:$B$85,N$4,Assumptions!$C$80:$C$85)</f>
        <v/>
      </c>
      <c r="O40" s="22">
        <f>SUMIF(Assumptions!$B$80:$B$85,O$4,Assumptions!$C$80:$C$85)</f>
        <v/>
      </c>
      <c r="P40" s="22">
        <f>SUMIF(Assumptions!$B$80:$B$85,P$4,Assumptions!$C$80:$C$85)</f>
        <v/>
      </c>
      <c r="Q40" s="22">
        <f>SUMIF(Assumptions!$B$80:$B$85,Q$4,Assumptions!$C$80:$C$85)</f>
        <v/>
      </c>
      <c r="R40" s="22">
        <f>SUMIF(Assumptions!$B$80:$B$85,R$4,Assumptions!$C$80:$C$85)</f>
        <v/>
      </c>
      <c r="S40" s="22">
        <f>SUMIF(Assumptions!$B$80:$B$85,S$4,Assumptions!$C$80:$C$85)</f>
        <v/>
      </c>
      <c r="T40" s="22">
        <f>SUMIF(Assumptions!$B$80:$B$85,T$4,Assumptions!$C$80:$C$85)</f>
        <v/>
      </c>
      <c r="U40" s="22">
        <f>SUMIF(Assumptions!$B$80:$B$85,U$4,Assumptions!$C$80:$C$85)</f>
        <v/>
      </c>
      <c r="V40" s="22">
        <f>SUMIF(Assumptions!$B$80:$B$85,V$4,Assumptions!$C$80:$C$85)</f>
        <v/>
      </c>
      <c r="W40" s="22">
        <f>SUMIF(Assumptions!$B$80:$B$85,W$4,Assumptions!$C$80:$C$85)</f>
        <v/>
      </c>
      <c r="X40" s="22">
        <f>SUMIF(Assumptions!$B$80:$B$85,X$4,Assumptions!$C$80:$C$85)</f>
        <v/>
      </c>
      <c r="Y40" s="22">
        <f>SUMIF(Assumptions!$B$80:$B$85,Y$4,Assumptions!$C$80:$C$85)</f>
        <v/>
      </c>
      <c r="Z40" s="22">
        <f>SUMIF(Assumptions!$B$80:$B$85,Z$4,Assumptions!$C$80:$C$85)</f>
        <v/>
      </c>
      <c r="AA40" s="22">
        <f>SUMIF(Assumptions!$B$80:$B$85,AA$4,Assumptions!$C$80:$C$85)</f>
        <v/>
      </c>
      <c r="AB40" s="22">
        <f>SUMIF(Assumptions!$B$80:$B$85,AB$4,Assumptions!$C$80:$C$85)</f>
        <v/>
      </c>
      <c r="AC40" s="22">
        <f>SUMIF(Assumptions!$B$80:$B$85,AC$4,Assumptions!$C$80:$C$85)</f>
        <v/>
      </c>
      <c r="AD40" s="22">
        <f>SUMIF(Assumptions!$B$80:$B$85,AD$4,Assumptions!$C$80:$C$85)</f>
        <v/>
      </c>
      <c r="AE40" s="22">
        <f>SUMIF(Assumptions!$B$80:$B$85,AE$4,Assumptions!$C$80:$C$85)</f>
        <v/>
      </c>
      <c r="AF40" s="22">
        <f>SUMIF(Assumptions!$B$80:$B$85,AF$4,Assumptions!$C$80:$C$85)</f>
        <v/>
      </c>
      <c r="AG40" s="22">
        <f>SUMIF(Assumptions!$B$80:$B$85,AG$4,Assumptions!$C$80:$C$85)</f>
        <v/>
      </c>
      <c r="AH40" s="22">
        <f>SUMIF(Assumptions!$B$80:$B$85,AH$4,Assumptions!$C$80:$C$85)</f>
        <v/>
      </c>
      <c r="AI40" s="22">
        <f>SUMIF(Assumptions!$B$80:$B$85,AI$4,Assumptions!$C$80:$C$85)</f>
        <v/>
      </c>
      <c r="AJ40" s="22">
        <f>SUMIF(Assumptions!$B$80:$B$85,AJ$4,Assumptions!$C$80:$C$85)</f>
        <v/>
      </c>
      <c r="AK40" s="22">
        <f>SUMIF(Assumptions!$B$80:$B$85,AK$4,Assumptions!$C$80:$C$85)</f>
        <v/>
      </c>
      <c r="AL40" s="22">
        <f>SUMIF(Assumptions!$B$80:$B$85,AL$4,Assumptions!$C$80:$C$85)</f>
        <v/>
      </c>
    </row>
    <row r="41">
      <c r="B41" s="8" t="inlineStr">
        <is>
          <t>Fixed infrastructure</t>
        </is>
      </c>
      <c r="C41" s="22">
        <f>IF(C$4&lt;Assumptions!$E$25,Assumptions!$E$52,INDEX(Assumptions!$E$53:$E$55,C$5))</f>
        <v/>
      </c>
      <c r="D41" s="22">
        <f>IF(D$4&lt;Assumptions!$E$25,Assumptions!$E$52,INDEX(Assumptions!$E$53:$E$55,D$5))</f>
        <v/>
      </c>
      <c r="E41" s="22">
        <f>IF(E$4&lt;Assumptions!$E$25,Assumptions!$E$52,INDEX(Assumptions!$E$53:$E$55,E$5))</f>
        <v/>
      </c>
      <c r="F41" s="22">
        <f>IF(F$4&lt;Assumptions!$E$25,Assumptions!$E$52,INDEX(Assumptions!$E$53:$E$55,F$5))</f>
        <v/>
      </c>
      <c r="G41" s="22">
        <f>IF(G$4&lt;Assumptions!$E$25,Assumptions!$E$52,INDEX(Assumptions!$E$53:$E$55,G$5))</f>
        <v/>
      </c>
      <c r="H41" s="22">
        <f>IF(H$4&lt;Assumptions!$E$25,Assumptions!$E$52,INDEX(Assumptions!$E$53:$E$55,H$5))</f>
        <v/>
      </c>
      <c r="I41" s="22">
        <f>IF(I$4&lt;Assumptions!$E$25,Assumptions!$E$52,INDEX(Assumptions!$E$53:$E$55,I$5))</f>
        <v/>
      </c>
      <c r="J41" s="22">
        <f>IF(J$4&lt;Assumptions!$E$25,Assumptions!$E$52,INDEX(Assumptions!$E$53:$E$55,J$5))</f>
        <v/>
      </c>
      <c r="K41" s="22">
        <f>IF(K$4&lt;Assumptions!$E$25,Assumptions!$E$52,INDEX(Assumptions!$E$53:$E$55,K$5))</f>
        <v/>
      </c>
      <c r="L41" s="22">
        <f>IF(L$4&lt;Assumptions!$E$25,Assumptions!$E$52,INDEX(Assumptions!$E$53:$E$55,L$5))</f>
        <v/>
      </c>
      <c r="M41" s="22">
        <f>IF(M$4&lt;Assumptions!$E$25,Assumptions!$E$52,INDEX(Assumptions!$E$53:$E$55,M$5))</f>
        <v/>
      </c>
      <c r="N41" s="22">
        <f>IF(N$4&lt;Assumptions!$E$25,Assumptions!$E$52,INDEX(Assumptions!$E$53:$E$55,N$5))</f>
        <v/>
      </c>
      <c r="O41" s="22">
        <f>IF(O$4&lt;Assumptions!$E$25,Assumptions!$E$52,INDEX(Assumptions!$E$53:$E$55,O$5))</f>
        <v/>
      </c>
      <c r="P41" s="22">
        <f>IF(P$4&lt;Assumptions!$E$25,Assumptions!$E$52,INDEX(Assumptions!$E$53:$E$55,P$5))</f>
        <v/>
      </c>
      <c r="Q41" s="22">
        <f>IF(Q$4&lt;Assumptions!$E$25,Assumptions!$E$52,INDEX(Assumptions!$E$53:$E$55,Q$5))</f>
        <v/>
      </c>
      <c r="R41" s="22">
        <f>IF(R$4&lt;Assumptions!$E$25,Assumptions!$E$52,INDEX(Assumptions!$E$53:$E$55,R$5))</f>
        <v/>
      </c>
      <c r="S41" s="22">
        <f>IF(S$4&lt;Assumptions!$E$25,Assumptions!$E$52,INDEX(Assumptions!$E$53:$E$55,S$5))</f>
        <v/>
      </c>
      <c r="T41" s="22">
        <f>IF(T$4&lt;Assumptions!$E$25,Assumptions!$E$52,INDEX(Assumptions!$E$53:$E$55,T$5))</f>
        <v/>
      </c>
      <c r="U41" s="22">
        <f>IF(U$4&lt;Assumptions!$E$25,Assumptions!$E$52,INDEX(Assumptions!$E$53:$E$55,U$5))</f>
        <v/>
      </c>
      <c r="V41" s="22">
        <f>IF(V$4&lt;Assumptions!$E$25,Assumptions!$E$52,INDEX(Assumptions!$E$53:$E$55,V$5))</f>
        <v/>
      </c>
      <c r="W41" s="22">
        <f>IF(W$4&lt;Assumptions!$E$25,Assumptions!$E$52,INDEX(Assumptions!$E$53:$E$55,W$5))</f>
        <v/>
      </c>
      <c r="X41" s="22">
        <f>IF(X$4&lt;Assumptions!$E$25,Assumptions!$E$52,INDEX(Assumptions!$E$53:$E$55,X$5))</f>
        <v/>
      </c>
      <c r="Y41" s="22">
        <f>IF(Y$4&lt;Assumptions!$E$25,Assumptions!$E$52,INDEX(Assumptions!$E$53:$E$55,Y$5))</f>
        <v/>
      </c>
      <c r="Z41" s="22">
        <f>IF(Z$4&lt;Assumptions!$E$25,Assumptions!$E$52,INDEX(Assumptions!$E$53:$E$55,Z$5))</f>
        <v/>
      </c>
      <c r="AA41" s="22">
        <f>IF(AA$4&lt;Assumptions!$E$25,Assumptions!$E$52,INDEX(Assumptions!$E$53:$E$55,AA$5))</f>
        <v/>
      </c>
      <c r="AB41" s="22">
        <f>IF(AB$4&lt;Assumptions!$E$25,Assumptions!$E$52,INDEX(Assumptions!$E$53:$E$55,AB$5))</f>
        <v/>
      </c>
      <c r="AC41" s="22">
        <f>IF(AC$4&lt;Assumptions!$E$25,Assumptions!$E$52,INDEX(Assumptions!$E$53:$E$55,AC$5))</f>
        <v/>
      </c>
      <c r="AD41" s="22">
        <f>IF(AD$4&lt;Assumptions!$E$25,Assumptions!$E$52,INDEX(Assumptions!$E$53:$E$55,AD$5))</f>
        <v/>
      </c>
      <c r="AE41" s="22">
        <f>IF(AE$4&lt;Assumptions!$E$25,Assumptions!$E$52,INDEX(Assumptions!$E$53:$E$55,AE$5))</f>
        <v/>
      </c>
      <c r="AF41" s="22">
        <f>IF(AF$4&lt;Assumptions!$E$25,Assumptions!$E$52,INDEX(Assumptions!$E$53:$E$55,AF$5))</f>
        <v/>
      </c>
      <c r="AG41" s="22">
        <f>IF(AG$4&lt;Assumptions!$E$25,Assumptions!$E$52,INDEX(Assumptions!$E$53:$E$55,AG$5))</f>
        <v/>
      </c>
      <c r="AH41" s="22">
        <f>IF(AH$4&lt;Assumptions!$E$25,Assumptions!$E$52,INDEX(Assumptions!$E$53:$E$55,AH$5))</f>
        <v/>
      </c>
      <c r="AI41" s="22">
        <f>IF(AI$4&lt;Assumptions!$E$25,Assumptions!$E$52,INDEX(Assumptions!$E$53:$E$55,AI$5))</f>
        <v/>
      </c>
      <c r="AJ41" s="22">
        <f>IF(AJ$4&lt;Assumptions!$E$25,Assumptions!$E$52,INDEX(Assumptions!$E$53:$E$55,AJ$5))</f>
        <v/>
      </c>
      <c r="AK41" s="22">
        <f>IF(AK$4&lt;Assumptions!$E$25,Assumptions!$E$52,INDEX(Assumptions!$E$53:$E$55,AK$5))</f>
        <v/>
      </c>
      <c r="AL41" s="22">
        <f>IF(AL$4&lt;Assumptions!$E$25,Assumptions!$E$52,INDEX(Assumptions!$E$53:$E$55,AL$5))</f>
        <v/>
      </c>
    </row>
    <row r="42">
      <c r="B42" s="5" t="inlineStr">
        <is>
          <t>Total operating expense</t>
        </is>
      </c>
      <c r="C42" s="33">
        <f>SUM(C37:C41)</f>
        <v/>
      </c>
      <c r="D42" s="33">
        <f>SUM(D37:D41)</f>
        <v/>
      </c>
      <c r="E42" s="33">
        <f>SUM(E37:E41)</f>
        <v/>
      </c>
      <c r="F42" s="33">
        <f>SUM(F37:F41)</f>
        <v/>
      </c>
      <c r="G42" s="33">
        <f>SUM(G37:G41)</f>
        <v/>
      </c>
      <c r="H42" s="33">
        <f>SUM(H37:H41)</f>
        <v/>
      </c>
      <c r="I42" s="33">
        <f>SUM(I37:I41)</f>
        <v/>
      </c>
      <c r="J42" s="33">
        <f>SUM(J37:J41)</f>
        <v/>
      </c>
      <c r="K42" s="33">
        <f>SUM(K37:K41)</f>
        <v/>
      </c>
      <c r="L42" s="33">
        <f>SUM(L37:L41)</f>
        <v/>
      </c>
      <c r="M42" s="33">
        <f>SUM(M37:M41)</f>
        <v/>
      </c>
      <c r="N42" s="33">
        <f>SUM(N37:N41)</f>
        <v/>
      </c>
      <c r="O42" s="33">
        <f>SUM(O37:O41)</f>
        <v/>
      </c>
      <c r="P42" s="33">
        <f>SUM(P37:P41)</f>
        <v/>
      </c>
      <c r="Q42" s="33">
        <f>SUM(Q37:Q41)</f>
        <v/>
      </c>
      <c r="R42" s="33">
        <f>SUM(R37:R41)</f>
        <v/>
      </c>
      <c r="S42" s="33">
        <f>SUM(S37:S41)</f>
        <v/>
      </c>
      <c r="T42" s="33">
        <f>SUM(T37:T41)</f>
        <v/>
      </c>
      <c r="U42" s="33">
        <f>SUM(U37:U41)</f>
        <v/>
      </c>
      <c r="V42" s="33">
        <f>SUM(V37:V41)</f>
        <v/>
      </c>
      <c r="W42" s="33">
        <f>SUM(W37:W41)</f>
        <v/>
      </c>
      <c r="X42" s="33">
        <f>SUM(X37:X41)</f>
        <v/>
      </c>
      <c r="Y42" s="33">
        <f>SUM(Y37:Y41)</f>
        <v/>
      </c>
      <c r="Z42" s="33">
        <f>SUM(Z37:Z41)</f>
        <v/>
      </c>
      <c r="AA42" s="33">
        <f>SUM(AA37:AA41)</f>
        <v/>
      </c>
      <c r="AB42" s="33">
        <f>SUM(AB37:AB41)</f>
        <v/>
      </c>
      <c r="AC42" s="33">
        <f>SUM(AC37:AC41)</f>
        <v/>
      </c>
      <c r="AD42" s="33">
        <f>SUM(AD37:AD41)</f>
        <v/>
      </c>
      <c r="AE42" s="33">
        <f>SUM(AE37:AE41)</f>
        <v/>
      </c>
      <c r="AF42" s="33">
        <f>SUM(AF37:AF41)</f>
        <v/>
      </c>
      <c r="AG42" s="33">
        <f>SUM(AG37:AG41)</f>
        <v/>
      </c>
      <c r="AH42" s="33">
        <f>SUM(AH37:AH41)</f>
        <v/>
      </c>
      <c r="AI42" s="33">
        <f>SUM(AI37:AI41)</f>
        <v/>
      </c>
      <c r="AJ42" s="33">
        <f>SUM(AJ37:AJ41)</f>
        <v/>
      </c>
      <c r="AK42" s="33">
        <f>SUM(AK37:AK41)</f>
        <v/>
      </c>
      <c r="AL42" s="33">
        <f>SUM(AL37:AL41)</f>
        <v/>
      </c>
    </row>
    <row r="44">
      <c r="B44" s="28" t="inlineStr">
        <is>
          <t>RESULT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</row>
    <row r="45">
      <c r="B45" s="5" t="inlineStr">
        <is>
          <t>EBITDA</t>
        </is>
      </c>
      <c r="C45" s="33">
        <f>C33-C42</f>
        <v/>
      </c>
      <c r="D45" s="33">
        <f>D33-D42</f>
        <v/>
      </c>
      <c r="E45" s="33">
        <f>E33-E42</f>
        <v/>
      </c>
      <c r="F45" s="33">
        <f>F33-F42</f>
        <v/>
      </c>
      <c r="G45" s="33">
        <f>G33-G42</f>
        <v/>
      </c>
      <c r="H45" s="33">
        <f>H33-H42</f>
        <v/>
      </c>
      <c r="I45" s="33">
        <f>I33-I42</f>
        <v/>
      </c>
      <c r="J45" s="33">
        <f>J33-J42</f>
        <v/>
      </c>
      <c r="K45" s="33">
        <f>K33-K42</f>
        <v/>
      </c>
      <c r="L45" s="33">
        <f>L33-L42</f>
        <v/>
      </c>
      <c r="M45" s="33">
        <f>M33-M42</f>
        <v/>
      </c>
      <c r="N45" s="33">
        <f>N33-N42</f>
        <v/>
      </c>
      <c r="O45" s="33">
        <f>O33-O42</f>
        <v/>
      </c>
      <c r="P45" s="33">
        <f>P33-P42</f>
        <v/>
      </c>
      <c r="Q45" s="33">
        <f>Q33-Q42</f>
        <v/>
      </c>
      <c r="R45" s="33">
        <f>R33-R42</f>
        <v/>
      </c>
      <c r="S45" s="33">
        <f>S33-S42</f>
        <v/>
      </c>
      <c r="T45" s="33">
        <f>T33-T42</f>
        <v/>
      </c>
      <c r="U45" s="33">
        <f>U33-U42</f>
        <v/>
      </c>
      <c r="V45" s="33">
        <f>V33-V42</f>
        <v/>
      </c>
      <c r="W45" s="33">
        <f>W33-W42</f>
        <v/>
      </c>
      <c r="X45" s="33">
        <f>X33-X42</f>
        <v/>
      </c>
      <c r="Y45" s="33">
        <f>Y33-Y42</f>
        <v/>
      </c>
      <c r="Z45" s="33">
        <f>Z33-Z42</f>
        <v/>
      </c>
      <c r="AA45" s="33">
        <f>AA33-AA42</f>
        <v/>
      </c>
      <c r="AB45" s="33">
        <f>AB33-AB42</f>
        <v/>
      </c>
      <c r="AC45" s="33">
        <f>AC33-AC42</f>
        <v/>
      </c>
      <c r="AD45" s="33">
        <f>AD33-AD42</f>
        <v/>
      </c>
      <c r="AE45" s="33">
        <f>AE33-AE42</f>
        <v/>
      </c>
      <c r="AF45" s="33">
        <f>AF33-AF42</f>
        <v/>
      </c>
      <c r="AG45" s="33">
        <f>AG33-AG42</f>
        <v/>
      </c>
      <c r="AH45" s="33">
        <f>AH33-AH42</f>
        <v/>
      </c>
      <c r="AI45" s="33">
        <f>AI33-AI42</f>
        <v/>
      </c>
      <c r="AJ45" s="33">
        <f>AJ33-AJ42</f>
        <v/>
      </c>
      <c r="AK45" s="33">
        <f>AK33-AK42</f>
        <v/>
      </c>
      <c r="AL45" s="33">
        <f>AL33-AL42</f>
        <v/>
      </c>
    </row>
    <row r="46">
      <c r="B46" s="8" t="inlineStr">
        <is>
          <t>Cumulative EBITDA</t>
        </is>
      </c>
      <c r="C46" s="22">
        <f>C45</f>
        <v/>
      </c>
      <c r="D46" s="22">
        <f>C46+D45</f>
        <v/>
      </c>
      <c r="E46" s="22">
        <f>D46+E45</f>
        <v/>
      </c>
      <c r="F46" s="22">
        <f>E46+F45</f>
        <v/>
      </c>
      <c r="G46" s="22">
        <f>F46+G45</f>
        <v/>
      </c>
      <c r="H46" s="22">
        <f>G46+H45</f>
        <v/>
      </c>
      <c r="I46" s="22">
        <f>H46+I45</f>
        <v/>
      </c>
      <c r="J46" s="22">
        <f>I46+J45</f>
        <v/>
      </c>
      <c r="K46" s="22">
        <f>J46+K45</f>
        <v/>
      </c>
      <c r="L46" s="22">
        <f>K46+L45</f>
        <v/>
      </c>
      <c r="M46" s="22">
        <f>L46+M45</f>
        <v/>
      </c>
      <c r="N46" s="22">
        <f>M46+N45</f>
        <v/>
      </c>
      <c r="O46" s="22">
        <f>N46+O45</f>
        <v/>
      </c>
      <c r="P46" s="22">
        <f>O46+P45</f>
        <v/>
      </c>
      <c r="Q46" s="22">
        <f>P46+Q45</f>
        <v/>
      </c>
      <c r="R46" s="22">
        <f>Q46+R45</f>
        <v/>
      </c>
      <c r="S46" s="22">
        <f>R46+S45</f>
        <v/>
      </c>
      <c r="T46" s="22">
        <f>S46+T45</f>
        <v/>
      </c>
      <c r="U46" s="22">
        <f>T46+U45</f>
        <v/>
      </c>
      <c r="V46" s="22">
        <f>U46+V45</f>
        <v/>
      </c>
      <c r="W46" s="22">
        <f>V46+W45</f>
        <v/>
      </c>
      <c r="X46" s="22">
        <f>W46+X45</f>
        <v/>
      </c>
      <c r="Y46" s="22">
        <f>X46+Y45</f>
        <v/>
      </c>
      <c r="Z46" s="22">
        <f>Y46+Z45</f>
        <v/>
      </c>
      <c r="AA46" s="22">
        <f>Z46+AA45</f>
        <v/>
      </c>
      <c r="AB46" s="22">
        <f>AA46+AB45</f>
        <v/>
      </c>
      <c r="AC46" s="22">
        <f>AB46+AC45</f>
        <v/>
      </c>
      <c r="AD46" s="22">
        <f>AC46+AD45</f>
        <v/>
      </c>
      <c r="AE46" s="22">
        <f>AD46+AE45</f>
        <v/>
      </c>
      <c r="AF46" s="22">
        <f>AE46+AF45</f>
        <v/>
      </c>
      <c r="AG46" s="22">
        <f>AF46+AG45</f>
        <v/>
      </c>
      <c r="AH46" s="22">
        <f>AG46+AH45</f>
        <v/>
      </c>
      <c r="AI46" s="22">
        <f>AH46+AI45</f>
        <v/>
      </c>
      <c r="AJ46" s="22">
        <f>AI46+AJ45</f>
        <v/>
      </c>
      <c r="AK46" s="22">
        <f>AJ46+AK45</f>
        <v/>
      </c>
      <c r="AL46" s="22">
        <f>AK46+AL45</f>
        <v/>
      </c>
    </row>
    <row r="47">
      <c r="B47" s="8" t="inlineStr">
        <is>
          <t>Funding received</t>
        </is>
      </c>
      <c r="C47" s="22">
        <f>IF(C$4=Assumptions!$E$64,Assumptions!$E$63,0)+IF(C$4=Assumptions!$E$66,Assumptions!$E$65,0)</f>
        <v/>
      </c>
      <c r="D47" s="22">
        <f>IF(D$4=Assumptions!$E$64,Assumptions!$E$63,0)+IF(D$4=Assumptions!$E$66,Assumptions!$E$65,0)</f>
        <v/>
      </c>
      <c r="E47" s="22">
        <f>IF(E$4=Assumptions!$E$64,Assumptions!$E$63,0)+IF(E$4=Assumptions!$E$66,Assumptions!$E$65,0)</f>
        <v/>
      </c>
      <c r="F47" s="22">
        <f>IF(F$4=Assumptions!$E$64,Assumptions!$E$63,0)+IF(F$4=Assumptions!$E$66,Assumptions!$E$65,0)</f>
        <v/>
      </c>
      <c r="G47" s="22">
        <f>IF(G$4=Assumptions!$E$64,Assumptions!$E$63,0)+IF(G$4=Assumptions!$E$66,Assumptions!$E$65,0)</f>
        <v/>
      </c>
      <c r="H47" s="22">
        <f>IF(H$4=Assumptions!$E$64,Assumptions!$E$63,0)+IF(H$4=Assumptions!$E$66,Assumptions!$E$65,0)</f>
        <v/>
      </c>
      <c r="I47" s="22">
        <f>IF(I$4=Assumptions!$E$64,Assumptions!$E$63,0)+IF(I$4=Assumptions!$E$66,Assumptions!$E$65,0)</f>
        <v/>
      </c>
      <c r="J47" s="22">
        <f>IF(J$4=Assumptions!$E$64,Assumptions!$E$63,0)+IF(J$4=Assumptions!$E$66,Assumptions!$E$65,0)</f>
        <v/>
      </c>
      <c r="K47" s="22">
        <f>IF(K$4=Assumptions!$E$64,Assumptions!$E$63,0)+IF(K$4=Assumptions!$E$66,Assumptions!$E$65,0)</f>
        <v/>
      </c>
      <c r="L47" s="22">
        <f>IF(L$4=Assumptions!$E$64,Assumptions!$E$63,0)+IF(L$4=Assumptions!$E$66,Assumptions!$E$65,0)</f>
        <v/>
      </c>
      <c r="M47" s="22">
        <f>IF(M$4=Assumptions!$E$64,Assumptions!$E$63,0)+IF(M$4=Assumptions!$E$66,Assumptions!$E$65,0)</f>
        <v/>
      </c>
      <c r="N47" s="22">
        <f>IF(N$4=Assumptions!$E$64,Assumptions!$E$63,0)+IF(N$4=Assumptions!$E$66,Assumptions!$E$65,0)</f>
        <v/>
      </c>
      <c r="O47" s="22">
        <f>IF(O$4=Assumptions!$E$64,Assumptions!$E$63,0)+IF(O$4=Assumptions!$E$66,Assumptions!$E$65,0)</f>
        <v/>
      </c>
      <c r="P47" s="22">
        <f>IF(P$4=Assumptions!$E$64,Assumptions!$E$63,0)+IF(P$4=Assumptions!$E$66,Assumptions!$E$65,0)</f>
        <v/>
      </c>
      <c r="Q47" s="22">
        <f>IF(Q$4=Assumptions!$E$64,Assumptions!$E$63,0)+IF(Q$4=Assumptions!$E$66,Assumptions!$E$65,0)</f>
        <v/>
      </c>
      <c r="R47" s="22">
        <f>IF(R$4=Assumptions!$E$64,Assumptions!$E$63,0)+IF(R$4=Assumptions!$E$66,Assumptions!$E$65,0)</f>
        <v/>
      </c>
      <c r="S47" s="22">
        <f>IF(S$4=Assumptions!$E$64,Assumptions!$E$63,0)+IF(S$4=Assumptions!$E$66,Assumptions!$E$65,0)</f>
        <v/>
      </c>
      <c r="T47" s="22">
        <f>IF(T$4=Assumptions!$E$64,Assumptions!$E$63,0)+IF(T$4=Assumptions!$E$66,Assumptions!$E$65,0)</f>
        <v/>
      </c>
      <c r="U47" s="22">
        <f>IF(U$4=Assumptions!$E$64,Assumptions!$E$63,0)+IF(U$4=Assumptions!$E$66,Assumptions!$E$65,0)</f>
        <v/>
      </c>
      <c r="V47" s="22">
        <f>IF(V$4=Assumptions!$E$64,Assumptions!$E$63,0)+IF(V$4=Assumptions!$E$66,Assumptions!$E$65,0)</f>
        <v/>
      </c>
      <c r="W47" s="22">
        <f>IF(W$4=Assumptions!$E$64,Assumptions!$E$63,0)+IF(W$4=Assumptions!$E$66,Assumptions!$E$65,0)</f>
        <v/>
      </c>
      <c r="X47" s="22">
        <f>IF(X$4=Assumptions!$E$64,Assumptions!$E$63,0)+IF(X$4=Assumptions!$E$66,Assumptions!$E$65,0)</f>
        <v/>
      </c>
      <c r="Y47" s="22">
        <f>IF(Y$4=Assumptions!$E$64,Assumptions!$E$63,0)+IF(Y$4=Assumptions!$E$66,Assumptions!$E$65,0)</f>
        <v/>
      </c>
      <c r="Z47" s="22">
        <f>IF(Z$4=Assumptions!$E$64,Assumptions!$E$63,0)+IF(Z$4=Assumptions!$E$66,Assumptions!$E$65,0)</f>
        <v/>
      </c>
      <c r="AA47" s="22">
        <f>IF(AA$4=Assumptions!$E$64,Assumptions!$E$63,0)+IF(AA$4=Assumptions!$E$66,Assumptions!$E$65,0)</f>
        <v/>
      </c>
      <c r="AB47" s="22">
        <f>IF(AB$4=Assumptions!$E$64,Assumptions!$E$63,0)+IF(AB$4=Assumptions!$E$66,Assumptions!$E$65,0)</f>
        <v/>
      </c>
      <c r="AC47" s="22">
        <f>IF(AC$4=Assumptions!$E$64,Assumptions!$E$63,0)+IF(AC$4=Assumptions!$E$66,Assumptions!$E$65,0)</f>
        <v/>
      </c>
      <c r="AD47" s="22">
        <f>IF(AD$4=Assumptions!$E$64,Assumptions!$E$63,0)+IF(AD$4=Assumptions!$E$66,Assumptions!$E$65,0)</f>
        <v/>
      </c>
      <c r="AE47" s="22">
        <f>IF(AE$4=Assumptions!$E$64,Assumptions!$E$63,0)+IF(AE$4=Assumptions!$E$66,Assumptions!$E$65,0)</f>
        <v/>
      </c>
      <c r="AF47" s="22">
        <f>IF(AF$4=Assumptions!$E$64,Assumptions!$E$63,0)+IF(AF$4=Assumptions!$E$66,Assumptions!$E$65,0)</f>
        <v/>
      </c>
      <c r="AG47" s="22">
        <f>IF(AG$4=Assumptions!$E$64,Assumptions!$E$63,0)+IF(AG$4=Assumptions!$E$66,Assumptions!$E$65,0)</f>
        <v/>
      </c>
      <c r="AH47" s="22">
        <f>IF(AH$4=Assumptions!$E$64,Assumptions!$E$63,0)+IF(AH$4=Assumptions!$E$66,Assumptions!$E$65,0)</f>
        <v/>
      </c>
      <c r="AI47" s="22">
        <f>IF(AI$4=Assumptions!$E$64,Assumptions!$E$63,0)+IF(AI$4=Assumptions!$E$66,Assumptions!$E$65,0)</f>
        <v/>
      </c>
      <c r="AJ47" s="22">
        <f>IF(AJ$4=Assumptions!$E$64,Assumptions!$E$63,0)+IF(AJ$4=Assumptions!$E$66,Assumptions!$E$65,0)</f>
        <v/>
      </c>
      <c r="AK47" s="22">
        <f>IF(AK$4=Assumptions!$E$64,Assumptions!$E$63,0)+IF(AK$4=Assumptions!$E$66,Assumptions!$E$65,0)</f>
        <v/>
      </c>
      <c r="AL47" s="22">
        <f>IF(AL$4=Assumptions!$E$64,Assumptions!$E$63,0)+IF(AL$4=Assumptions!$E$66,Assumptions!$E$65,0)</f>
        <v/>
      </c>
    </row>
    <row r="48">
      <c r="B48" s="5" t="inlineStr">
        <is>
          <t>Cash on hand</t>
        </is>
      </c>
      <c r="C48" s="33">
        <f>C47+C45</f>
        <v/>
      </c>
      <c r="D48" s="33">
        <f>C48+D47+D45</f>
        <v/>
      </c>
      <c r="E48" s="33">
        <f>D48+E47+E45</f>
        <v/>
      </c>
      <c r="F48" s="33">
        <f>E48+F47+F45</f>
        <v/>
      </c>
      <c r="G48" s="33">
        <f>F48+G47+G45</f>
        <v/>
      </c>
      <c r="H48" s="33">
        <f>G48+H47+H45</f>
        <v/>
      </c>
      <c r="I48" s="33">
        <f>H48+I47+I45</f>
        <v/>
      </c>
      <c r="J48" s="33">
        <f>I48+J47+J45</f>
        <v/>
      </c>
      <c r="K48" s="33">
        <f>J48+K47+K45</f>
        <v/>
      </c>
      <c r="L48" s="33">
        <f>K48+L47+L45</f>
        <v/>
      </c>
      <c r="M48" s="33">
        <f>L48+M47+M45</f>
        <v/>
      </c>
      <c r="N48" s="33">
        <f>M48+N47+N45</f>
        <v/>
      </c>
      <c r="O48" s="33">
        <f>N48+O47+O45</f>
        <v/>
      </c>
      <c r="P48" s="33">
        <f>O48+P47+P45</f>
        <v/>
      </c>
      <c r="Q48" s="33">
        <f>P48+Q47+Q45</f>
        <v/>
      </c>
      <c r="R48" s="33">
        <f>Q48+R47+R45</f>
        <v/>
      </c>
      <c r="S48" s="33">
        <f>R48+S47+S45</f>
        <v/>
      </c>
      <c r="T48" s="33">
        <f>S48+T47+T45</f>
        <v/>
      </c>
      <c r="U48" s="33">
        <f>T48+U47+U45</f>
        <v/>
      </c>
      <c r="V48" s="33">
        <f>U48+V47+V45</f>
        <v/>
      </c>
      <c r="W48" s="33">
        <f>V48+W47+W45</f>
        <v/>
      </c>
      <c r="X48" s="33">
        <f>W48+X47+X45</f>
        <v/>
      </c>
      <c r="Y48" s="33">
        <f>X48+Y47+Y45</f>
        <v/>
      </c>
      <c r="Z48" s="33">
        <f>Y48+Z47+Z45</f>
        <v/>
      </c>
      <c r="AA48" s="33">
        <f>Z48+AA47+AA45</f>
        <v/>
      </c>
      <c r="AB48" s="33">
        <f>AA48+AB47+AB45</f>
        <v/>
      </c>
      <c r="AC48" s="33">
        <f>AB48+AC47+AC45</f>
        <v/>
      </c>
      <c r="AD48" s="33">
        <f>AC48+AD47+AD45</f>
        <v/>
      </c>
      <c r="AE48" s="33">
        <f>AD48+AE47+AE45</f>
        <v/>
      </c>
      <c r="AF48" s="33">
        <f>AE48+AF47+AF45</f>
        <v/>
      </c>
      <c r="AG48" s="33">
        <f>AF48+AG47+AG45</f>
        <v/>
      </c>
      <c r="AH48" s="33">
        <f>AG48+AH47+AH45</f>
        <v/>
      </c>
      <c r="AI48" s="33">
        <f>AH48+AI47+AI45</f>
        <v/>
      </c>
      <c r="AJ48" s="33">
        <f>AI48+AJ47+AJ45</f>
        <v/>
      </c>
      <c r="AK48" s="33">
        <f>AJ48+AK47+AK45</f>
        <v/>
      </c>
      <c r="AL48" s="33">
        <f>AK48+AL47+AL45</f>
        <v/>
      </c>
    </row>
    <row r="49">
      <c r="B49" s="8" t="inlineStr">
        <is>
          <t>Headcount</t>
        </is>
      </c>
      <c r="C49" s="35">
        <f>Team!J35</f>
        <v/>
      </c>
      <c r="D49" s="35">
        <f>Team!K35</f>
        <v/>
      </c>
      <c r="E49" s="35">
        <f>Team!L35</f>
        <v/>
      </c>
      <c r="F49" s="35">
        <f>Team!M35</f>
        <v/>
      </c>
      <c r="G49" s="35">
        <f>Team!N35</f>
        <v/>
      </c>
      <c r="H49" s="35">
        <f>Team!O35</f>
        <v/>
      </c>
      <c r="I49" s="35">
        <f>Team!P35</f>
        <v/>
      </c>
      <c r="J49" s="35">
        <f>Team!Q35</f>
        <v/>
      </c>
      <c r="K49" s="35">
        <f>Team!R35</f>
        <v/>
      </c>
      <c r="L49" s="35">
        <f>Team!S35</f>
        <v/>
      </c>
      <c r="M49" s="35">
        <f>Team!T35</f>
        <v/>
      </c>
      <c r="N49" s="35">
        <f>Team!U35</f>
        <v/>
      </c>
      <c r="O49" s="35">
        <f>Team!V35</f>
        <v/>
      </c>
      <c r="P49" s="35">
        <f>Team!W35</f>
        <v/>
      </c>
      <c r="Q49" s="35">
        <f>Team!X35</f>
        <v/>
      </c>
      <c r="R49" s="35">
        <f>Team!Y35</f>
        <v/>
      </c>
      <c r="S49" s="35">
        <f>Team!Z35</f>
        <v/>
      </c>
      <c r="T49" s="35">
        <f>Team!AA35</f>
        <v/>
      </c>
      <c r="U49" s="35">
        <f>Team!AB35</f>
        <v/>
      </c>
      <c r="V49" s="35">
        <f>Team!AC35</f>
        <v/>
      </c>
      <c r="W49" s="35">
        <f>Team!AD35</f>
        <v/>
      </c>
      <c r="X49" s="35">
        <f>Team!AE35</f>
        <v/>
      </c>
      <c r="Y49" s="35">
        <f>Team!AF35</f>
        <v/>
      </c>
      <c r="Z49" s="35">
        <f>Team!AG35</f>
        <v/>
      </c>
      <c r="AA49" s="35">
        <f>Team!AH35</f>
        <v/>
      </c>
      <c r="AB49" s="35">
        <f>Team!AI35</f>
        <v/>
      </c>
      <c r="AC49" s="35">
        <f>Team!AJ35</f>
        <v/>
      </c>
      <c r="AD49" s="35">
        <f>Team!AK35</f>
        <v/>
      </c>
      <c r="AE49" s="35">
        <f>Team!AL35</f>
        <v/>
      </c>
      <c r="AF49" s="35">
        <f>Team!AM35</f>
        <v/>
      </c>
      <c r="AG49" s="35">
        <f>Team!AN35</f>
        <v/>
      </c>
      <c r="AH49" s="35">
        <f>Team!AO35</f>
        <v/>
      </c>
      <c r="AI49" s="35">
        <f>Team!AP35</f>
        <v/>
      </c>
      <c r="AJ49" s="35">
        <f>Team!AQ35</f>
        <v/>
      </c>
      <c r="AK49" s="35">
        <f>Team!AR35</f>
        <v/>
      </c>
      <c r="AL49" s="35">
        <f>Team!AS35</f>
        <v/>
      </c>
    </row>
    <row r="51">
      <c r="B51" s="2" t="inlineStr">
        <is>
          <t>First EBITDA-positive month (helper)</t>
        </is>
      </c>
      <c r="C51" s="51">
        <f>IF(C45&gt;0,C$4,999)</f>
        <v/>
      </c>
      <c r="D51" s="51">
        <f>IF(D45&gt;0,D$4,999)</f>
        <v/>
      </c>
      <c r="E51" s="51">
        <f>IF(E45&gt;0,E$4,999)</f>
        <v/>
      </c>
      <c r="F51" s="51">
        <f>IF(F45&gt;0,F$4,999)</f>
        <v/>
      </c>
      <c r="G51" s="51">
        <f>IF(G45&gt;0,G$4,999)</f>
        <v/>
      </c>
      <c r="H51" s="51">
        <f>IF(H45&gt;0,H$4,999)</f>
        <v/>
      </c>
      <c r="I51" s="51">
        <f>IF(I45&gt;0,I$4,999)</f>
        <v/>
      </c>
      <c r="J51" s="51">
        <f>IF(J45&gt;0,J$4,999)</f>
        <v/>
      </c>
      <c r="K51" s="51">
        <f>IF(K45&gt;0,K$4,999)</f>
        <v/>
      </c>
      <c r="L51" s="51">
        <f>IF(L45&gt;0,L$4,999)</f>
        <v/>
      </c>
      <c r="M51" s="51">
        <f>IF(M45&gt;0,M$4,999)</f>
        <v/>
      </c>
      <c r="N51" s="51">
        <f>IF(N45&gt;0,N$4,999)</f>
        <v/>
      </c>
      <c r="O51" s="51">
        <f>IF(O45&gt;0,O$4,999)</f>
        <v/>
      </c>
      <c r="P51" s="51">
        <f>IF(P45&gt;0,P$4,999)</f>
        <v/>
      </c>
      <c r="Q51" s="51">
        <f>IF(Q45&gt;0,Q$4,999)</f>
        <v/>
      </c>
      <c r="R51" s="51">
        <f>IF(R45&gt;0,R$4,999)</f>
        <v/>
      </c>
      <c r="S51" s="51">
        <f>IF(S45&gt;0,S$4,999)</f>
        <v/>
      </c>
      <c r="T51" s="51">
        <f>IF(T45&gt;0,T$4,999)</f>
        <v/>
      </c>
      <c r="U51" s="51">
        <f>IF(U45&gt;0,U$4,999)</f>
        <v/>
      </c>
      <c r="V51" s="51">
        <f>IF(V45&gt;0,V$4,999)</f>
        <v/>
      </c>
      <c r="W51" s="51">
        <f>IF(W45&gt;0,W$4,999)</f>
        <v/>
      </c>
      <c r="X51" s="51">
        <f>IF(X45&gt;0,X$4,999)</f>
        <v/>
      </c>
      <c r="Y51" s="51">
        <f>IF(Y45&gt;0,Y$4,999)</f>
        <v/>
      </c>
      <c r="Z51" s="51">
        <f>IF(Z45&gt;0,Z$4,999)</f>
        <v/>
      </c>
      <c r="AA51" s="51">
        <f>IF(AA45&gt;0,AA$4,999)</f>
        <v/>
      </c>
      <c r="AB51" s="51">
        <f>IF(AB45&gt;0,AB$4,999)</f>
        <v/>
      </c>
      <c r="AC51" s="51">
        <f>IF(AC45&gt;0,AC$4,999)</f>
        <v/>
      </c>
      <c r="AD51" s="51">
        <f>IF(AD45&gt;0,AD$4,999)</f>
        <v/>
      </c>
      <c r="AE51" s="51">
        <f>IF(AE45&gt;0,AE$4,999)</f>
        <v/>
      </c>
      <c r="AF51" s="51">
        <f>IF(AF45&gt;0,AF$4,999)</f>
        <v/>
      </c>
      <c r="AG51" s="51">
        <f>IF(AG45&gt;0,AG$4,999)</f>
        <v/>
      </c>
      <c r="AH51" s="51">
        <f>IF(AH45&gt;0,AH$4,999)</f>
        <v/>
      </c>
      <c r="AI51" s="51">
        <f>IF(AI45&gt;0,AI$4,999)</f>
        <v/>
      </c>
      <c r="AJ51" s="51">
        <f>IF(AJ45&gt;0,AJ$4,999)</f>
        <v/>
      </c>
      <c r="AK51" s="51">
        <f>IF(AK45&gt;0,AK$4,999)</f>
        <v/>
      </c>
      <c r="AL51" s="51">
        <f>IF(AL45&gt;0,AL$4,999)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40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2">
      <c r="B2" s="1" t="inlineStr">
        <is>
          <t>DiaBite — unit economics</t>
        </is>
      </c>
    </row>
    <row r="3">
      <c r="B3" s="2" t="inlineStr">
        <is>
          <t>Per paying subscriber, per month. The inference line is measured; everything else is assumed.</t>
        </is>
      </c>
    </row>
    <row r="5">
      <c r="B5" s="52" t="inlineStr"/>
      <c r="C5" s="11" t="inlineStr">
        <is>
          <t>Conservative</t>
        </is>
      </c>
      <c r="D5" s="40" t="inlineStr">
        <is>
          <t>Base</t>
        </is>
      </c>
      <c r="E5" s="11" t="inlineStr">
        <is>
          <t>Upside</t>
        </is>
      </c>
      <c r="F5" s="12" t="inlineStr">
        <is>
          <t>Note</t>
        </is>
      </c>
    </row>
    <row r="7">
      <c r="B7" s="3" t="inlineStr">
        <is>
          <t>Revenue</t>
        </is>
      </c>
      <c r="C7" s="4" t="n"/>
      <c r="D7" s="4" t="n"/>
      <c r="E7" s="4" t="n"/>
      <c r="F7" s="4" t="n"/>
    </row>
    <row r="8">
      <c r="B8" s="8" t="inlineStr">
        <is>
          <t>Blended ARPU</t>
        </is>
      </c>
      <c r="C8" s="30">
        <f>Assumptions!$C$13*Assumptions!$C$11+(1-Assumptions!$C$13)*Assumptions!$C$12/12</f>
        <v/>
      </c>
      <c r="D8" s="53">
        <f>Assumptions!$D$13*Assumptions!$D$11+(1-Assumptions!$D$13)*Assumptions!$D$12/12</f>
        <v/>
      </c>
      <c r="E8" s="30">
        <f>Assumptions!$E$13*Assumptions!$E$11+(1-Assumptions!$E$13)*Assumptions!$E$12/12</f>
        <v/>
      </c>
      <c r="F8" s="2" t="inlineStr">
        <is>
          <t>55% monthly / 45% annual</t>
        </is>
      </c>
    </row>
    <row r="10">
      <c r="B10" s="3" t="inlineStr">
        <is>
          <t>Cost of goods, per paying subscriber</t>
        </is>
      </c>
      <c r="C10" s="4" t="n"/>
      <c r="D10" s="4" t="n"/>
      <c r="E10" s="4" t="n"/>
      <c r="F10" s="4" t="n"/>
    </row>
    <row r="11">
      <c r="B11" s="8" t="inlineStr">
        <is>
          <t>Inference</t>
        </is>
      </c>
      <c r="C11" s="30">
        <f>Assumptions!$C$17*Assumptions!$C$16</f>
        <v/>
      </c>
      <c r="D11" s="53">
        <f>Assumptions!$D$17*Assumptions!$D$16</f>
        <v/>
      </c>
      <c r="E11" s="30">
        <f>Assumptions!$E$17*Assumptions!$E$16</f>
        <v/>
      </c>
      <c r="F11" s="2" t="inlineStr">
        <is>
          <t>MEASURED · 135 questions at $0.0028</t>
        </is>
      </c>
    </row>
    <row r="12">
      <c r="B12" s="8" t="inlineStr">
        <is>
          <t>Hosting</t>
        </is>
      </c>
      <c r="C12" s="30">
        <f>Assumptions!$C$19</f>
        <v/>
      </c>
      <c r="D12" s="53">
        <f>Assumptions!$D$19</f>
        <v/>
      </c>
      <c r="E12" s="30">
        <f>Assumptions!$E$19</f>
        <v/>
      </c>
      <c r="F12" s="2" t="inlineStr"/>
    </row>
    <row r="13">
      <c r="B13" s="8" t="inlineStr">
        <is>
          <t>Support</t>
        </is>
      </c>
      <c r="C13" s="30">
        <f>Assumptions!$C$20</f>
        <v/>
      </c>
      <c r="D13" s="53">
        <f>Assumptions!$D$20</f>
        <v/>
      </c>
      <c r="E13" s="30">
        <f>Assumptions!$E$20</f>
        <v/>
      </c>
      <c r="F13" s="2" t="inlineStr"/>
    </row>
    <row r="14">
      <c r="B14" s="8" t="inlineStr">
        <is>
          <t>Card fees</t>
        </is>
      </c>
      <c r="C14" s="30">
        <f>Assumptions!$C$13*(Assumptions!$C$21*Assumptions!$C$11+Assumptions!$C$22)+(1-Assumptions!$C$13)*(Assumptions!$C$21*Assumptions!$C$12+Assumptions!$C$22)/12</f>
        <v/>
      </c>
      <c r="D14" s="53">
        <f>Assumptions!$D$13*(Assumptions!$D$21*Assumptions!$D$11+Assumptions!$D$22)+(1-Assumptions!$D$13)*(Assumptions!$D$21*Assumptions!$D$12+Assumptions!$D$22)/12</f>
        <v/>
      </c>
      <c r="E14" s="30">
        <f>Assumptions!$E$13*(Assumptions!$E$21*Assumptions!$E$11+Assumptions!$E$22)+(1-Assumptions!$E$13)*(Assumptions!$E$21*Assumptions!$E$12+Assumptions!$E$22)/12</f>
        <v/>
      </c>
      <c r="F14" s="2" t="inlineStr"/>
    </row>
    <row r="15">
      <c r="B15" s="5" t="inlineStr">
        <is>
          <t>Total cost of goods</t>
        </is>
      </c>
      <c r="C15" s="54">
        <f>SUM(C11:C14)</f>
        <v/>
      </c>
      <c r="D15" s="55">
        <f>SUM(D11:D14)</f>
        <v/>
      </c>
      <c r="E15" s="54">
        <f>SUM(E11:E14)</f>
        <v/>
      </c>
      <c r="F15" s="2" t="inlineStr"/>
    </row>
    <row r="16">
      <c r="B16" s="5" t="inlineStr">
        <is>
          <t>Contribution</t>
        </is>
      </c>
      <c r="C16" s="54">
        <f>C8-C15</f>
        <v/>
      </c>
      <c r="D16" s="55">
        <f>D8-D15</f>
        <v/>
      </c>
      <c r="E16" s="54">
        <f>E8-E15</f>
        <v/>
      </c>
      <c r="F16" s="2" t="inlineStr"/>
    </row>
    <row r="17">
      <c r="B17" s="5" t="inlineStr">
        <is>
          <t>Contribution margin</t>
        </is>
      </c>
      <c r="C17" s="56">
        <f>IFERROR(C16/C8,0)</f>
        <v/>
      </c>
      <c r="D17" s="57">
        <f>IFERROR(D16/D8,0)</f>
        <v/>
      </c>
      <c r="E17" s="56">
        <f>IFERROR(E16/E8,0)</f>
        <v/>
      </c>
      <c r="F17" s="2" t="inlineStr"/>
    </row>
    <row r="18">
      <c r="B18" s="8" t="inlineStr">
        <is>
          <t>Free user, cost per month</t>
        </is>
      </c>
      <c r="C18" s="30">
        <f>Assumptions!$C$18*Assumptions!$C$16</f>
        <v/>
      </c>
      <c r="D18" s="53">
        <f>Assumptions!$D$18*Assumptions!$D$16</f>
        <v/>
      </c>
      <c r="E18" s="30">
        <f>Assumptions!$E$18*Assumptions!$E$16</f>
        <v/>
      </c>
      <c r="F18" s="2" t="inlineStr">
        <is>
          <t>the 15-answer ceiling</t>
        </is>
      </c>
    </row>
    <row r="19">
      <c r="B19" s="8" t="inlineStr">
        <is>
          <t>Subscribers to cover fixed infrastructure</t>
        </is>
      </c>
      <c r="C19" s="58">
        <f>IFERROR(Assumptions!$C$53/C16,0)</f>
        <v/>
      </c>
      <c r="D19" s="59">
        <f>IFERROR(Assumptions!$D$53/D16,0)</f>
        <v/>
      </c>
      <c r="E19" s="58">
        <f>IFERROR(Assumptions!$E$53/E16,0)</f>
        <v/>
      </c>
      <c r="F19" s="2" t="inlineStr">
        <is>
          <t>year 1 run rate</t>
        </is>
      </c>
    </row>
    <row r="21">
      <c r="B21" s="3" t="inlineStr">
        <is>
          <t>Retention and lifetime value</t>
        </is>
      </c>
      <c r="C21" s="4" t="n"/>
      <c r="D21" s="4" t="n"/>
      <c r="E21" s="4" t="n"/>
      <c r="F21" s="4" t="n"/>
    </row>
    <row r="22">
      <c r="B22" s="8" t="inlineStr">
        <is>
          <t>Blended churn (year 2)</t>
        </is>
      </c>
      <c r="C22" s="31">
        <f>Assumptions!$C$13*Assumptions!$C$43+(1-Assumptions!$C$13)*(1-Assumptions!$C$48)/12</f>
        <v/>
      </c>
      <c r="D22" s="60">
        <f>Assumptions!$D$13*Assumptions!$D$43+(1-Assumptions!$D$13)*(1-Assumptions!$D$48)/12</f>
        <v/>
      </c>
      <c r="E22" s="31">
        <f>Assumptions!$E$13*Assumptions!$E$43+(1-Assumptions!$E$13)*(1-Assumptions!$E$48)/12</f>
        <v/>
      </c>
      <c r="F22" s="2" t="inlineStr">
        <is>
          <t>monthly and annual plans combined</t>
        </is>
      </c>
    </row>
    <row r="23">
      <c r="B23" s="8" t="inlineStr">
        <is>
          <t>Average subscription life</t>
        </is>
      </c>
      <c r="C23" s="58">
        <f>IFERROR(1/C22,0)</f>
        <v/>
      </c>
      <c r="D23" s="59">
        <f>IFERROR(1/D22,0)</f>
        <v/>
      </c>
      <c r="E23" s="58">
        <f>IFERROR(1/E22,0)</f>
        <v/>
      </c>
      <c r="F23" s="2" t="inlineStr">
        <is>
          <t>months</t>
        </is>
      </c>
    </row>
    <row r="24">
      <c r="B24" s="5" t="inlineStr">
        <is>
          <t>LTV</t>
        </is>
      </c>
      <c r="C24" s="61">
        <f>C8*C17*C23</f>
        <v/>
      </c>
      <c r="D24" s="62">
        <f>D8*D17*D23</f>
        <v/>
      </c>
      <c r="E24" s="61">
        <f>E8*E17*E23</f>
        <v/>
      </c>
      <c r="F24" s="2" t="inlineStr">
        <is>
          <t>contribution x life</t>
        </is>
      </c>
    </row>
    <row r="26">
      <c r="B26" s="3" t="inlineStr">
        <is>
          <t>Acquisition — paid channel only (the number that governs decisions)</t>
        </is>
      </c>
      <c r="C26" s="4" t="n"/>
      <c r="D26" s="4" t="n"/>
      <c r="E26" s="4" t="n"/>
      <c r="F26" s="4" t="n"/>
    </row>
    <row r="27">
      <c r="B27" s="8" t="inlineStr">
        <is>
          <t>CAC, year 1</t>
        </is>
      </c>
      <c r="C27" s="22">
        <f>IFERROR(Assumptions!$C$32/Assumptions!$C$37,0)</f>
        <v/>
      </c>
      <c r="D27" s="63">
        <f>IFERROR(Assumptions!$D$32/Assumptions!$D$37,0)</f>
        <v/>
      </c>
      <c r="E27" s="22">
        <f>IFERROR(Assumptions!$E$32/Assumptions!$E$37,0)</f>
        <v/>
      </c>
      <c r="F27" s="2" t="inlineStr">
        <is>
          <t>cost per signup / conversion</t>
        </is>
      </c>
    </row>
    <row r="28">
      <c r="B28" s="8" t="inlineStr">
        <is>
          <t>CAC, year 2</t>
        </is>
      </c>
      <c r="C28" s="22">
        <f>IFERROR(Assumptions!$C$33/Assumptions!$C$38,0)</f>
        <v/>
      </c>
      <c r="D28" s="63">
        <f>IFERROR(Assumptions!$D$33/Assumptions!$D$38,0)</f>
        <v/>
      </c>
      <c r="E28" s="22">
        <f>IFERROR(Assumptions!$E$33/Assumptions!$E$38,0)</f>
        <v/>
      </c>
      <c r="F28" s="2" t="inlineStr">
        <is>
          <t>cost per signup / conversion</t>
        </is>
      </c>
    </row>
    <row r="29">
      <c r="B29" s="8" t="inlineStr">
        <is>
          <t>CAC, year 3</t>
        </is>
      </c>
      <c r="C29" s="22">
        <f>IFERROR(Assumptions!$C$34/Assumptions!$C$39,0)</f>
        <v/>
      </c>
      <c r="D29" s="63">
        <f>IFERROR(Assumptions!$D$34/Assumptions!$D$39,0)</f>
        <v/>
      </c>
      <c r="E29" s="22">
        <f>IFERROR(Assumptions!$E$34/Assumptions!$E$39,0)</f>
        <v/>
      </c>
      <c r="F29" s="2" t="inlineStr">
        <is>
          <t>cost per signup / conversion</t>
        </is>
      </c>
    </row>
    <row r="30">
      <c r="B30" s="8" t="inlineStr">
        <is>
          <t>LTV / CAC, year 1</t>
        </is>
      </c>
      <c r="C30" s="64">
        <f>IFERROR(C24/C27,0)</f>
        <v/>
      </c>
      <c r="D30" s="65">
        <f>IFERROR(D24/D27,0)</f>
        <v/>
      </c>
      <c r="E30" s="64">
        <f>IFERROR(E24/E27,0)</f>
        <v/>
      </c>
      <c r="F30" s="2" t="inlineStr"/>
    </row>
    <row r="31">
      <c r="B31" s="8" t="inlineStr">
        <is>
          <t>LTV / CAC, year 2</t>
        </is>
      </c>
      <c r="C31" s="64">
        <f>IFERROR(C24/C28,0)</f>
        <v/>
      </c>
      <c r="D31" s="65">
        <f>IFERROR(D24/D28,0)</f>
        <v/>
      </c>
      <c r="E31" s="64">
        <f>IFERROR(E24/E28,0)</f>
        <v/>
      </c>
      <c r="F31" s="2" t="inlineStr"/>
    </row>
    <row r="32">
      <c r="B32" s="8" t="inlineStr">
        <is>
          <t>LTV / CAC, year 3</t>
        </is>
      </c>
      <c r="C32" s="64">
        <f>IFERROR(C24/C29,0)</f>
        <v/>
      </c>
      <c r="D32" s="65">
        <f>IFERROR(D24/D29,0)</f>
        <v/>
      </c>
      <c r="E32" s="64">
        <f>IFERROR(E24/E29,0)</f>
        <v/>
      </c>
      <c r="F32" s="2" t="inlineStr"/>
    </row>
    <row r="33">
      <c r="B33" s="8" t="inlineStr">
        <is>
          <t>Payback, year 1</t>
        </is>
      </c>
      <c r="C33" s="58">
        <f>IFERROR(C27/(C8*C17),0)</f>
        <v/>
      </c>
      <c r="D33" s="59">
        <f>IFERROR(D27/(D8*D17),0)</f>
        <v/>
      </c>
      <c r="E33" s="58">
        <f>IFERROR(E27/(E8*E17),0)</f>
        <v/>
      </c>
      <c r="F33" s="2" t="inlineStr">
        <is>
          <t>months</t>
        </is>
      </c>
    </row>
    <row r="34">
      <c r="B34" s="8" t="inlineStr">
        <is>
          <t>Payback, year 2</t>
        </is>
      </c>
      <c r="C34" s="58">
        <f>IFERROR(C28/(C8*C17),0)</f>
        <v/>
      </c>
      <c r="D34" s="59">
        <f>IFERROR(D28/(D8*D17),0)</f>
        <v/>
      </c>
      <c r="E34" s="58">
        <f>IFERROR(E28/(E8*E17),0)</f>
        <v/>
      </c>
      <c r="F34" s="2" t="inlineStr">
        <is>
          <t>months</t>
        </is>
      </c>
    </row>
    <row r="35">
      <c r="B35" s="8" t="inlineStr">
        <is>
          <t>Payback, year 3</t>
        </is>
      </c>
      <c r="C35" s="58">
        <f>IFERROR(C29/(C8*C17),0)</f>
        <v/>
      </c>
      <c r="D35" s="59">
        <f>IFERROR(D29/(D8*D17),0)</f>
        <v/>
      </c>
      <c r="E35" s="58">
        <f>IFERROR(E29/(E8*E17),0)</f>
        <v/>
      </c>
      <c r="F35" s="2" t="inlineStr">
        <is>
          <t>months</t>
        </is>
      </c>
    </row>
    <row r="37">
      <c r="B37" s="3" t="inlineStr">
        <is>
          <t>Acquisition — blended with organic (reporting only)</t>
        </is>
      </c>
      <c r="C37" s="4" t="n"/>
      <c r="D37" s="4" t="n"/>
      <c r="E37" s="4" t="n"/>
      <c r="F37" s="4" t="n"/>
    </row>
    <row r="38">
      <c r="B38" s="8" t="inlineStr">
        <is>
          <t>Blended CAC, year 1</t>
        </is>
      </c>
      <c r="C38" s="22">
        <f>IFERROR(SUM('Conservative'!C38:N38)/SUM('Conservative'!C16:N16),0)</f>
        <v/>
      </c>
      <c r="D38" s="63">
        <f>IFERROR(SUM('Base'!C38:N38)/SUM('Base'!C16:N16),0)</f>
        <v/>
      </c>
      <c r="E38" s="22">
        <f>IFERROR(SUM('Upside'!C38:N38)/SUM('Upside'!C16:N16),0)</f>
        <v/>
      </c>
      <c r="F38" s="2" t="inlineStr">
        <is>
          <t>marketing spend / new paying subscribers</t>
        </is>
      </c>
    </row>
    <row r="39">
      <c r="B39" s="8" t="inlineStr">
        <is>
          <t>Blended CAC, year 2</t>
        </is>
      </c>
      <c r="C39" s="22">
        <f>IFERROR(SUM('Conservative'!O38:Z38)/SUM('Conservative'!O16:Z16),0)</f>
        <v/>
      </c>
      <c r="D39" s="63">
        <f>IFERROR(SUM('Base'!O38:Z38)/SUM('Base'!O16:Z16),0)</f>
        <v/>
      </c>
      <c r="E39" s="22">
        <f>IFERROR(SUM('Upside'!O38:Z38)/SUM('Upside'!O16:Z16),0)</f>
        <v/>
      </c>
      <c r="F39" s="2" t="inlineStr">
        <is>
          <t>marketing spend / new paying subscribers</t>
        </is>
      </c>
    </row>
    <row r="40">
      <c r="B40" s="8" t="inlineStr">
        <is>
          <t>Blended CAC, year 3</t>
        </is>
      </c>
      <c r="C40" s="22">
        <f>IFERROR(SUM('Conservative'!AA38:AL38)/SUM('Conservative'!AA16:AL16),0)</f>
        <v/>
      </c>
      <c r="D40" s="63">
        <f>IFERROR(SUM('Base'!AA38:AL38)/SUM('Base'!AA16:AL16),0)</f>
        <v/>
      </c>
      <c r="E40" s="22">
        <f>IFERROR(SUM('Upside'!AA38:AL38)/SUM('Upside'!AA16:AL16),0)</f>
        <v/>
      </c>
      <c r="F40" s="2" t="inlineStr">
        <is>
          <t>marketing spend / new paying subscribers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2026-10-20T21:22:02Z</dcterms:created>
  <dcterms:modified xsi:type="dcterms:W3CDTF">2026-10-20T21:22:03Z</dcterms:modified>
</cp:coreProperties>
</file>